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https://d.docs.live.net/e39ff069d611eebf/Desktop/"/>
    </mc:Choice>
  </mc:AlternateContent>
  <xr:revisionPtr revIDLastSave="0" documentId="8_{E2F1110B-075A-4AB6-BF7B-1AB2F5214D7C}" xr6:coauthVersionLast="47" xr6:coauthVersionMax="47" xr10:uidLastSave="{00000000-0000-0000-0000-000000000000}"/>
  <bookViews>
    <workbookView xWindow="-108" yWindow="-108" windowWidth="16608" windowHeight="8832" firstSheet="2" activeTab="11" xr2:uid="{00000000-000D-0000-FFFF-FFFF00000000}"/>
  </bookViews>
  <sheets>
    <sheet name="Slicers" sheetId="28" r:id="rId1"/>
    <sheet name="First time sales(country )" sheetId="13" r:id="rId2"/>
    <sheet name="DASHBOARD" sheetId="27" r:id="rId3"/>
    <sheet name="Service level Proxy" sheetId="21" r:id="rId4"/>
    <sheet name="price compliance" sheetId="26" r:id="rId5"/>
    <sheet name="Brief" sheetId="2" r:id="rId6"/>
    <sheet name="KPIS" sheetId="29" r:id="rId7"/>
    <sheet name="Rvenue by month" sheetId="30" r:id="rId8"/>
    <sheet name="profit by regchannel" sheetId="32" r:id="rId9"/>
    <sheet name="Top 10 SKU" sheetId="33" r:id="rId10"/>
    <sheet name="Discount outliers" sheetId="34" r:id="rId11"/>
    <sheet name="STAGING DATA" sheetId="7" r:id="rId12"/>
    <sheet name="Channel mix" sheetId="20" r:id="rId13"/>
    <sheet name="SKU (pt)" sheetId="16" r:id="rId14"/>
    <sheet name="Salesperson prod" sheetId="18" r:id="rId15"/>
    <sheet name="Region heirachy" sheetId="19" r:id="rId16"/>
  </sheets>
  <definedNames>
    <definedName name="_xlnm._FilterDatabase" localSheetId="11" hidden="1">'STAGING DATA'!$G$1:$G$1266</definedName>
    <definedName name="Slicer_Channel">#N/A</definedName>
    <definedName name="Slicer_Country1">#N/A</definedName>
    <definedName name="Slicer_Gross_revenue">#N/A</definedName>
    <definedName name="Slicer_ORDER_DATE__M_Y">#N/A</definedName>
    <definedName name="Slicer_OrderDate">#N/A</definedName>
    <definedName name="Slicer_ProductCategory">#N/A</definedName>
    <definedName name="Slicer_Region">#N/A</definedName>
    <definedName name="Slicer_Salesperson">#N/A</definedName>
  </definedNames>
  <calcPr calcId="191029"/>
  <pivotCaches>
    <pivotCache cacheId="1" r:id="rId17"/>
    <pivotCache cacheId="85"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7" l="1" a="1"/>
  <c r="H2" i="7" s="1"/>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502" i="7"/>
  <c r="X503" i="7"/>
  <c r="X504" i="7"/>
  <c r="X505" i="7"/>
  <c r="X506" i="7"/>
  <c r="X507" i="7"/>
  <c r="X508" i="7"/>
  <c r="X509" i="7"/>
  <c r="X510" i="7"/>
  <c r="X511" i="7"/>
  <c r="X512" i="7"/>
  <c r="X513" i="7"/>
  <c r="X514" i="7"/>
  <c r="X515" i="7"/>
  <c r="X516" i="7"/>
  <c r="X517" i="7"/>
  <c r="X518" i="7"/>
  <c r="X519" i="7"/>
  <c r="X520" i="7"/>
  <c r="X521" i="7"/>
  <c r="X522" i="7"/>
  <c r="X523" i="7"/>
  <c r="X524" i="7"/>
  <c r="X525" i="7"/>
  <c r="X526" i="7"/>
  <c r="X527" i="7"/>
  <c r="X528" i="7"/>
  <c r="X529" i="7"/>
  <c r="X530" i="7"/>
  <c r="X531" i="7"/>
  <c r="X532" i="7"/>
  <c r="X533" i="7"/>
  <c r="X534" i="7"/>
  <c r="X535" i="7"/>
  <c r="X536" i="7"/>
  <c r="X537" i="7"/>
  <c r="X538" i="7"/>
  <c r="X539" i="7"/>
  <c r="X540" i="7"/>
  <c r="X541" i="7"/>
  <c r="X542" i="7"/>
  <c r="X543" i="7"/>
  <c r="X544" i="7"/>
  <c r="X545" i="7"/>
  <c r="X546" i="7"/>
  <c r="X547" i="7"/>
  <c r="X548" i="7"/>
  <c r="X549" i="7"/>
  <c r="X550" i="7"/>
  <c r="X551" i="7"/>
  <c r="X552" i="7"/>
  <c r="X553" i="7"/>
  <c r="X554" i="7"/>
  <c r="X555" i="7"/>
  <c r="X556" i="7"/>
  <c r="X557" i="7"/>
  <c r="X558" i="7"/>
  <c r="X559" i="7"/>
  <c r="X560" i="7"/>
  <c r="X561" i="7"/>
  <c r="X562" i="7"/>
  <c r="X563" i="7"/>
  <c r="X564" i="7"/>
  <c r="X565" i="7"/>
  <c r="X566" i="7"/>
  <c r="X567" i="7"/>
  <c r="X568" i="7"/>
  <c r="X569" i="7"/>
  <c r="X570" i="7"/>
  <c r="X571" i="7"/>
  <c r="X572" i="7"/>
  <c r="X573" i="7"/>
  <c r="X574" i="7"/>
  <c r="X575" i="7"/>
  <c r="X576" i="7"/>
  <c r="X577" i="7"/>
  <c r="X578" i="7"/>
  <c r="X579" i="7"/>
  <c r="X580" i="7"/>
  <c r="X581" i="7"/>
  <c r="X582" i="7"/>
  <c r="X583" i="7"/>
  <c r="X584" i="7"/>
  <c r="X585" i="7"/>
  <c r="X586" i="7"/>
  <c r="X587" i="7"/>
  <c r="X588" i="7"/>
  <c r="X589" i="7"/>
  <c r="X590" i="7"/>
  <c r="X591" i="7"/>
  <c r="X592" i="7"/>
  <c r="X593" i="7"/>
  <c r="X594" i="7"/>
  <c r="X595" i="7"/>
  <c r="X596" i="7"/>
  <c r="X597" i="7"/>
  <c r="X598" i="7"/>
  <c r="X599" i="7"/>
  <c r="X600" i="7"/>
  <c r="X601" i="7"/>
  <c r="X602" i="7"/>
  <c r="X603" i="7"/>
  <c r="X604" i="7"/>
  <c r="X605" i="7"/>
  <c r="X606" i="7"/>
  <c r="X607" i="7"/>
  <c r="X608" i="7"/>
  <c r="X609" i="7"/>
  <c r="X610" i="7"/>
  <c r="X611" i="7"/>
  <c r="X612" i="7"/>
  <c r="X613" i="7"/>
  <c r="X614" i="7"/>
  <c r="X615" i="7"/>
  <c r="X616" i="7"/>
  <c r="X617" i="7"/>
  <c r="X618" i="7"/>
  <c r="X619" i="7"/>
  <c r="X620" i="7"/>
  <c r="X621" i="7"/>
  <c r="X622" i="7"/>
  <c r="X623" i="7"/>
  <c r="X624" i="7"/>
  <c r="X625" i="7"/>
  <c r="X626" i="7"/>
  <c r="X627" i="7"/>
  <c r="X628" i="7"/>
  <c r="X629" i="7"/>
  <c r="X630" i="7"/>
  <c r="X631" i="7"/>
  <c r="X632" i="7"/>
  <c r="X633" i="7"/>
  <c r="X3" i="7"/>
  <c r="X4" i="7"/>
  <c r="X2" i="7"/>
  <c r="C2" i="7" a="1"/>
  <c r="D209" i="7" s="1"/>
  <c r="AA2" i="7" a="1"/>
  <c r="AA2" i="7" s="1"/>
  <c r="W2" i="7" a="1"/>
  <c r="W2" i="7" s="1"/>
  <c r="U2" i="7" a="1"/>
  <c r="F2" i="7" a="1"/>
  <c r="G89" i="7" s="1"/>
  <c r="I89" i="7" s="1"/>
  <c r="V635" i="7" a="1"/>
  <c r="V635" i="7" s="1"/>
  <c r="T635" i="7"/>
  <c r="G3" i="7" l="1"/>
  <c r="I3" i="7" s="1"/>
  <c r="D55" i="7"/>
  <c r="D28" i="7"/>
  <c r="D620" i="7"/>
  <c r="D588" i="7"/>
  <c r="D562" i="7"/>
  <c r="D535" i="7"/>
  <c r="D503" i="7"/>
  <c r="D472" i="7"/>
  <c r="D432" i="7"/>
  <c r="D379" i="7"/>
  <c r="D326" i="7"/>
  <c r="D273" i="7"/>
  <c r="G68" i="7"/>
  <c r="I68" i="7" s="1"/>
  <c r="G63" i="7"/>
  <c r="I63" i="7" s="1"/>
  <c r="G57" i="7"/>
  <c r="I57" i="7" s="1"/>
  <c r="G52" i="7"/>
  <c r="I52" i="7" s="1"/>
  <c r="G47" i="7"/>
  <c r="I47" i="7" s="1"/>
  <c r="G41" i="7"/>
  <c r="I41" i="7" s="1"/>
  <c r="G36" i="7"/>
  <c r="I36" i="7" s="1"/>
  <c r="G31" i="7"/>
  <c r="I31" i="7" s="1"/>
  <c r="G25" i="7"/>
  <c r="I25" i="7" s="1"/>
  <c r="G20" i="7"/>
  <c r="I20" i="7" s="1"/>
  <c r="G13" i="7"/>
  <c r="I13" i="7" s="1"/>
  <c r="G5" i="7"/>
  <c r="I5" i="7" s="1"/>
  <c r="G624" i="7"/>
  <c r="I624" i="7" s="1"/>
  <c r="G616" i="7"/>
  <c r="I616" i="7" s="1"/>
  <c r="G608" i="7"/>
  <c r="I608" i="7" s="1"/>
  <c r="G600" i="7"/>
  <c r="I600" i="7" s="1"/>
  <c r="G592" i="7"/>
  <c r="I592" i="7" s="1"/>
  <c r="G584" i="7"/>
  <c r="I584" i="7" s="1"/>
  <c r="G576" i="7"/>
  <c r="I576" i="7" s="1"/>
  <c r="G568" i="7"/>
  <c r="I568" i="7" s="1"/>
  <c r="G560" i="7"/>
  <c r="I560" i="7" s="1"/>
  <c r="G550" i="7"/>
  <c r="I550" i="7" s="1"/>
  <c r="G539" i="7"/>
  <c r="I539" i="7" s="1"/>
  <c r="G529" i="7"/>
  <c r="I529" i="7" s="1"/>
  <c r="G518" i="7"/>
  <c r="I518" i="7" s="1"/>
  <c r="G507" i="7"/>
  <c r="I507" i="7" s="1"/>
  <c r="G497" i="7"/>
  <c r="I497" i="7" s="1"/>
  <c r="G486" i="7"/>
  <c r="I486" i="7" s="1"/>
  <c r="G475" i="7"/>
  <c r="I475" i="7" s="1"/>
  <c r="G465" i="7"/>
  <c r="I465" i="7" s="1"/>
  <c r="G454" i="7"/>
  <c r="I454" i="7" s="1"/>
  <c r="G443" i="7"/>
  <c r="I443" i="7" s="1"/>
  <c r="G433" i="7"/>
  <c r="I433" i="7" s="1"/>
  <c r="G422" i="7"/>
  <c r="I422" i="7" s="1"/>
  <c r="G411" i="7"/>
  <c r="I411" i="7" s="1"/>
  <c r="G399" i="7"/>
  <c r="I399" i="7" s="1"/>
  <c r="G385" i="7"/>
  <c r="I385" i="7" s="1"/>
  <c r="G370" i="7"/>
  <c r="I370" i="7" s="1"/>
  <c r="G357" i="7"/>
  <c r="I357" i="7" s="1"/>
  <c r="G342" i="7"/>
  <c r="I342" i="7" s="1"/>
  <c r="G325" i="7"/>
  <c r="I325" i="7" s="1"/>
  <c r="G305" i="7"/>
  <c r="I305" i="7" s="1"/>
  <c r="G283" i="7"/>
  <c r="I283" i="7" s="1"/>
  <c r="G261" i="7"/>
  <c r="I261" i="7" s="1"/>
  <c r="G241" i="7"/>
  <c r="I241" i="7" s="1"/>
  <c r="G219" i="7"/>
  <c r="I219" i="7" s="1"/>
  <c r="G197" i="7"/>
  <c r="I197" i="7" s="1"/>
  <c r="G177" i="7"/>
  <c r="I177" i="7" s="1"/>
  <c r="G155" i="7"/>
  <c r="I155" i="7" s="1"/>
  <c r="G133" i="7"/>
  <c r="I133" i="7" s="1"/>
  <c r="G113" i="7"/>
  <c r="I113" i="7" s="1"/>
  <c r="G91" i="7"/>
  <c r="I91" i="7" s="1"/>
  <c r="D65" i="7"/>
  <c r="D219" i="7"/>
  <c r="D262" i="7"/>
  <c r="D305" i="7"/>
  <c r="D347" i="7"/>
  <c r="D390" i="7"/>
  <c r="D424" i="7"/>
  <c r="D456" i="7"/>
  <c r="D487" i="7"/>
  <c r="D508" i="7"/>
  <c r="D530" i="7"/>
  <c r="D551" i="7"/>
  <c r="D572" i="7"/>
  <c r="D594" i="7"/>
  <c r="D615" i="7"/>
  <c r="D17" i="7"/>
  <c r="D39" i="7"/>
  <c r="D3" i="7"/>
  <c r="D49" i="7"/>
  <c r="D23" i="7"/>
  <c r="D610" i="7"/>
  <c r="D583" i="7"/>
  <c r="D556" i="7"/>
  <c r="D524" i="7"/>
  <c r="D498" i="7"/>
  <c r="D464" i="7"/>
  <c r="D416" i="7"/>
  <c r="D369" i="7"/>
  <c r="D315" i="7"/>
  <c r="D251" i="7"/>
  <c r="D198" i="7"/>
  <c r="G67" i="7"/>
  <c r="I67" i="7" s="1"/>
  <c r="G61" i="7"/>
  <c r="I61" i="7" s="1"/>
  <c r="G56" i="7"/>
  <c r="I56" i="7" s="1"/>
  <c r="G51" i="7"/>
  <c r="I51" i="7" s="1"/>
  <c r="G45" i="7"/>
  <c r="I45" i="7" s="1"/>
  <c r="G40" i="7"/>
  <c r="I40" i="7" s="1"/>
  <c r="G35" i="7"/>
  <c r="I35" i="7" s="1"/>
  <c r="G29" i="7"/>
  <c r="I29" i="7" s="1"/>
  <c r="G24" i="7"/>
  <c r="I24" i="7" s="1"/>
  <c r="G19" i="7"/>
  <c r="I19" i="7" s="1"/>
  <c r="G12" i="7"/>
  <c r="I12" i="7" s="1"/>
  <c r="G4" i="7"/>
  <c r="I4" i="7" s="1"/>
  <c r="G623" i="7"/>
  <c r="I623" i="7" s="1"/>
  <c r="G615" i="7"/>
  <c r="I615" i="7" s="1"/>
  <c r="G607" i="7"/>
  <c r="I607" i="7" s="1"/>
  <c r="G599" i="7"/>
  <c r="I599" i="7" s="1"/>
  <c r="G591" i="7"/>
  <c r="I591" i="7" s="1"/>
  <c r="G583" i="7"/>
  <c r="I583" i="7" s="1"/>
  <c r="G575" i="7"/>
  <c r="I575" i="7" s="1"/>
  <c r="G567" i="7"/>
  <c r="I567" i="7" s="1"/>
  <c r="G559" i="7"/>
  <c r="I559" i="7" s="1"/>
  <c r="G549" i="7"/>
  <c r="I549" i="7" s="1"/>
  <c r="G538" i="7"/>
  <c r="I538" i="7" s="1"/>
  <c r="G527" i="7"/>
  <c r="I527" i="7" s="1"/>
  <c r="G517" i="7"/>
  <c r="I517" i="7" s="1"/>
  <c r="G506" i="7"/>
  <c r="I506" i="7" s="1"/>
  <c r="G495" i="7"/>
  <c r="I495" i="7" s="1"/>
  <c r="G485" i="7"/>
  <c r="I485" i="7" s="1"/>
  <c r="G474" i="7"/>
  <c r="I474" i="7" s="1"/>
  <c r="G463" i="7"/>
  <c r="I463" i="7" s="1"/>
  <c r="G453" i="7"/>
  <c r="I453" i="7" s="1"/>
  <c r="G442" i="7"/>
  <c r="I442" i="7" s="1"/>
  <c r="G431" i="7"/>
  <c r="I431" i="7" s="1"/>
  <c r="G421" i="7"/>
  <c r="I421" i="7" s="1"/>
  <c r="G410" i="7"/>
  <c r="I410" i="7" s="1"/>
  <c r="G397" i="7"/>
  <c r="I397" i="7" s="1"/>
  <c r="G383" i="7"/>
  <c r="I383" i="7" s="1"/>
  <c r="G369" i="7"/>
  <c r="I369" i="7" s="1"/>
  <c r="G354" i="7"/>
  <c r="I354" i="7" s="1"/>
  <c r="G341" i="7"/>
  <c r="I341" i="7" s="1"/>
  <c r="G323" i="7"/>
  <c r="I323" i="7" s="1"/>
  <c r="G301" i="7"/>
  <c r="I301" i="7" s="1"/>
  <c r="G281" i="7"/>
  <c r="I281" i="7" s="1"/>
  <c r="G259" i="7"/>
  <c r="I259" i="7" s="1"/>
  <c r="G237" i="7"/>
  <c r="I237" i="7" s="1"/>
  <c r="G217" i="7"/>
  <c r="I217" i="7" s="1"/>
  <c r="G195" i="7"/>
  <c r="I195" i="7" s="1"/>
  <c r="G173" i="7"/>
  <c r="I173" i="7" s="1"/>
  <c r="G153" i="7"/>
  <c r="I153" i="7" s="1"/>
  <c r="G131" i="7"/>
  <c r="I131" i="7" s="1"/>
  <c r="G109" i="7"/>
  <c r="I109" i="7" s="1"/>
  <c r="F2" i="7"/>
  <c r="G2" i="7" s="1"/>
  <c r="I2" i="7" s="1"/>
  <c r="G630" i="7"/>
  <c r="I630" i="7" s="1"/>
  <c r="G74" i="7"/>
  <c r="I74" i="7" s="1"/>
  <c r="G78" i="7"/>
  <c r="I78" i="7" s="1"/>
  <c r="G82" i="7"/>
  <c r="I82" i="7" s="1"/>
  <c r="G86" i="7"/>
  <c r="I86" i="7" s="1"/>
  <c r="G90" i="7"/>
  <c r="I90" i="7" s="1"/>
  <c r="G94" i="7"/>
  <c r="I94" i="7" s="1"/>
  <c r="G98" i="7"/>
  <c r="I98" i="7" s="1"/>
  <c r="G102" i="7"/>
  <c r="I102" i="7" s="1"/>
  <c r="G106" i="7"/>
  <c r="I106" i="7" s="1"/>
  <c r="G110" i="7"/>
  <c r="I110" i="7" s="1"/>
  <c r="G114" i="7"/>
  <c r="I114" i="7" s="1"/>
  <c r="G118" i="7"/>
  <c r="I118" i="7" s="1"/>
  <c r="G122" i="7"/>
  <c r="I122" i="7" s="1"/>
  <c r="G126" i="7"/>
  <c r="I126" i="7" s="1"/>
  <c r="G130" i="7"/>
  <c r="I130" i="7" s="1"/>
  <c r="G134" i="7"/>
  <c r="I134" i="7" s="1"/>
  <c r="G138" i="7"/>
  <c r="I138" i="7" s="1"/>
  <c r="G142" i="7"/>
  <c r="I142" i="7" s="1"/>
  <c r="G146" i="7"/>
  <c r="I146" i="7" s="1"/>
  <c r="G150" i="7"/>
  <c r="I150" i="7" s="1"/>
  <c r="G154" i="7"/>
  <c r="I154" i="7" s="1"/>
  <c r="G158" i="7"/>
  <c r="I158" i="7" s="1"/>
  <c r="G162" i="7"/>
  <c r="I162" i="7" s="1"/>
  <c r="G166" i="7"/>
  <c r="I166" i="7" s="1"/>
  <c r="G170" i="7"/>
  <c r="I170" i="7" s="1"/>
  <c r="G174" i="7"/>
  <c r="I174" i="7" s="1"/>
  <c r="G178" i="7"/>
  <c r="I178" i="7" s="1"/>
  <c r="G182" i="7"/>
  <c r="I182" i="7" s="1"/>
  <c r="G186" i="7"/>
  <c r="I186" i="7" s="1"/>
  <c r="G190" i="7"/>
  <c r="I190" i="7" s="1"/>
  <c r="G194" i="7"/>
  <c r="I194" i="7" s="1"/>
  <c r="G198" i="7"/>
  <c r="I198" i="7" s="1"/>
  <c r="G202" i="7"/>
  <c r="I202" i="7" s="1"/>
  <c r="G206" i="7"/>
  <c r="I206" i="7" s="1"/>
  <c r="G210" i="7"/>
  <c r="I210" i="7" s="1"/>
  <c r="G214" i="7"/>
  <c r="I214" i="7" s="1"/>
  <c r="G218" i="7"/>
  <c r="I218" i="7" s="1"/>
  <c r="G222" i="7"/>
  <c r="I222" i="7" s="1"/>
  <c r="G226" i="7"/>
  <c r="I226" i="7" s="1"/>
  <c r="G230" i="7"/>
  <c r="I230" i="7" s="1"/>
  <c r="G234" i="7"/>
  <c r="I234" i="7" s="1"/>
  <c r="G238" i="7"/>
  <c r="I238" i="7" s="1"/>
  <c r="G242" i="7"/>
  <c r="I242" i="7" s="1"/>
  <c r="G246" i="7"/>
  <c r="I246" i="7" s="1"/>
  <c r="G250" i="7"/>
  <c r="I250" i="7" s="1"/>
  <c r="G254" i="7"/>
  <c r="I254" i="7" s="1"/>
  <c r="G258" i="7"/>
  <c r="I258" i="7" s="1"/>
  <c r="G262" i="7"/>
  <c r="I262" i="7" s="1"/>
  <c r="G266" i="7"/>
  <c r="I266" i="7" s="1"/>
  <c r="G270" i="7"/>
  <c r="I270" i="7" s="1"/>
  <c r="G274" i="7"/>
  <c r="I274" i="7" s="1"/>
  <c r="G278" i="7"/>
  <c r="I278" i="7" s="1"/>
  <c r="G282" i="7"/>
  <c r="I282" i="7" s="1"/>
  <c r="G286" i="7"/>
  <c r="I286" i="7" s="1"/>
  <c r="G290" i="7"/>
  <c r="I290" i="7" s="1"/>
  <c r="G294" i="7"/>
  <c r="I294" i="7" s="1"/>
  <c r="G298" i="7"/>
  <c r="I298" i="7" s="1"/>
  <c r="G302" i="7"/>
  <c r="I302" i="7" s="1"/>
  <c r="G306" i="7"/>
  <c r="I306" i="7" s="1"/>
  <c r="G310" i="7"/>
  <c r="I310" i="7" s="1"/>
  <c r="G314" i="7"/>
  <c r="I314" i="7" s="1"/>
  <c r="G318" i="7"/>
  <c r="I318" i="7" s="1"/>
  <c r="G322" i="7"/>
  <c r="I322" i="7" s="1"/>
  <c r="G326" i="7"/>
  <c r="I326" i="7" s="1"/>
  <c r="G330" i="7"/>
  <c r="I330" i="7" s="1"/>
  <c r="G632" i="7"/>
  <c r="I632" i="7" s="1"/>
  <c r="G72" i="7"/>
  <c r="I72" i="7" s="1"/>
  <c r="G76" i="7"/>
  <c r="I76" i="7" s="1"/>
  <c r="G80" i="7"/>
  <c r="I80" i="7" s="1"/>
  <c r="G84" i="7"/>
  <c r="I84" i="7" s="1"/>
  <c r="G88" i="7"/>
  <c r="I88" i="7" s="1"/>
  <c r="G92" i="7"/>
  <c r="I92" i="7" s="1"/>
  <c r="G96" i="7"/>
  <c r="I96" i="7" s="1"/>
  <c r="G100" i="7"/>
  <c r="I100" i="7" s="1"/>
  <c r="G104" i="7"/>
  <c r="I104" i="7" s="1"/>
  <c r="G108" i="7"/>
  <c r="I108" i="7" s="1"/>
  <c r="G112" i="7"/>
  <c r="I112" i="7" s="1"/>
  <c r="G116" i="7"/>
  <c r="I116" i="7" s="1"/>
  <c r="G120" i="7"/>
  <c r="I120" i="7" s="1"/>
  <c r="G124" i="7"/>
  <c r="I124" i="7" s="1"/>
  <c r="G128" i="7"/>
  <c r="I128" i="7" s="1"/>
  <c r="G132" i="7"/>
  <c r="I132" i="7" s="1"/>
  <c r="G136" i="7"/>
  <c r="I136" i="7" s="1"/>
  <c r="G140" i="7"/>
  <c r="I140" i="7" s="1"/>
  <c r="G144" i="7"/>
  <c r="I144" i="7" s="1"/>
  <c r="G148" i="7"/>
  <c r="I148" i="7" s="1"/>
  <c r="G152" i="7"/>
  <c r="I152" i="7" s="1"/>
  <c r="G156" i="7"/>
  <c r="I156" i="7" s="1"/>
  <c r="G160" i="7"/>
  <c r="I160" i="7" s="1"/>
  <c r="G164" i="7"/>
  <c r="I164" i="7" s="1"/>
  <c r="G168" i="7"/>
  <c r="I168" i="7" s="1"/>
  <c r="G172" i="7"/>
  <c r="I172" i="7" s="1"/>
  <c r="G176" i="7"/>
  <c r="I176" i="7" s="1"/>
  <c r="G180" i="7"/>
  <c r="I180" i="7" s="1"/>
  <c r="G184" i="7"/>
  <c r="I184" i="7" s="1"/>
  <c r="G188" i="7"/>
  <c r="I188" i="7" s="1"/>
  <c r="G192" i="7"/>
  <c r="I192" i="7" s="1"/>
  <c r="G196" i="7"/>
  <c r="I196" i="7" s="1"/>
  <c r="G200" i="7"/>
  <c r="I200" i="7" s="1"/>
  <c r="G204" i="7"/>
  <c r="I204" i="7" s="1"/>
  <c r="G208" i="7"/>
  <c r="I208" i="7" s="1"/>
  <c r="G212" i="7"/>
  <c r="I212" i="7" s="1"/>
  <c r="G216" i="7"/>
  <c r="I216" i="7" s="1"/>
  <c r="G220" i="7"/>
  <c r="I220" i="7" s="1"/>
  <c r="G224" i="7"/>
  <c r="I224" i="7" s="1"/>
  <c r="G228" i="7"/>
  <c r="I228" i="7" s="1"/>
  <c r="G232" i="7"/>
  <c r="I232" i="7" s="1"/>
  <c r="G236" i="7"/>
  <c r="I236" i="7" s="1"/>
  <c r="G240" i="7"/>
  <c r="I240" i="7" s="1"/>
  <c r="G244" i="7"/>
  <c r="I244" i="7" s="1"/>
  <c r="G248" i="7"/>
  <c r="I248" i="7" s="1"/>
  <c r="G252" i="7"/>
  <c r="I252" i="7" s="1"/>
  <c r="G256" i="7"/>
  <c r="I256" i="7" s="1"/>
  <c r="G260" i="7"/>
  <c r="I260" i="7" s="1"/>
  <c r="G264" i="7"/>
  <c r="I264" i="7" s="1"/>
  <c r="G268" i="7"/>
  <c r="I268" i="7" s="1"/>
  <c r="G272" i="7"/>
  <c r="I272" i="7" s="1"/>
  <c r="G276" i="7"/>
  <c r="I276" i="7" s="1"/>
  <c r="G280" i="7"/>
  <c r="I280" i="7" s="1"/>
  <c r="G284" i="7"/>
  <c r="I284" i="7" s="1"/>
  <c r="G288" i="7"/>
  <c r="I288" i="7" s="1"/>
  <c r="G292" i="7"/>
  <c r="I292" i="7" s="1"/>
  <c r="G296" i="7"/>
  <c r="I296" i="7" s="1"/>
  <c r="G300" i="7"/>
  <c r="I300" i="7" s="1"/>
  <c r="G304" i="7"/>
  <c r="I304" i="7" s="1"/>
  <c r="G308" i="7"/>
  <c r="I308" i="7" s="1"/>
  <c r="G312" i="7"/>
  <c r="I312" i="7" s="1"/>
  <c r="G316" i="7"/>
  <c r="I316" i="7" s="1"/>
  <c r="G320" i="7"/>
  <c r="I320" i="7" s="1"/>
  <c r="G324" i="7"/>
  <c r="I324" i="7" s="1"/>
  <c r="G328" i="7"/>
  <c r="I328" i="7" s="1"/>
  <c r="G332" i="7"/>
  <c r="I332" i="7" s="1"/>
  <c r="G336" i="7"/>
  <c r="I336" i="7" s="1"/>
  <c r="G340" i="7"/>
  <c r="I340" i="7" s="1"/>
  <c r="G344" i="7"/>
  <c r="I344" i="7" s="1"/>
  <c r="G348" i="7"/>
  <c r="I348" i="7" s="1"/>
  <c r="G352" i="7"/>
  <c r="I352" i="7" s="1"/>
  <c r="G356" i="7"/>
  <c r="I356" i="7" s="1"/>
  <c r="G360" i="7"/>
  <c r="I360" i="7" s="1"/>
  <c r="G364" i="7"/>
  <c r="I364" i="7" s="1"/>
  <c r="G368" i="7"/>
  <c r="I368" i="7" s="1"/>
  <c r="G372" i="7"/>
  <c r="I372" i="7" s="1"/>
  <c r="G376" i="7"/>
  <c r="I376" i="7" s="1"/>
  <c r="G380" i="7"/>
  <c r="I380" i="7" s="1"/>
  <c r="G384" i="7"/>
  <c r="I384" i="7" s="1"/>
  <c r="G388" i="7"/>
  <c r="I388" i="7" s="1"/>
  <c r="G392" i="7"/>
  <c r="I392" i="7" s="1"/>
  <c r="G396" i="7"/>
  <c r="I396" i="7" s="1"/>
  <c r="G400" i="7"/>
  <c r="I400" i="7" s="1"/>
  <c r="G404" i="7"/>
  <c r="I404" i="7" s="1"/>
  <c r="G633" i="7"/>
  <c r="I633" i="7" s="1"/>
  <c r="G631" i="7"/>
  <c r="I631" i="7" s="1"/>
  <c r="G79" i="7"/>
  <c r="I79" i="7" s="1"/>
  <c r="G87" i="7"/>
  <c r="I87" i="7" s="1"/>
  <c r="G95" i="7"/>
  <c r="I95" i="7" s="1"/>
  <c r="G103" i="7"/>
  <c r="I103" i="7" s="1"/>
  <c r="G111" i="7"/>
  <c r="I111" i="7" s="1"/>
  <c r="G119" i="7"/>
  <c r="I119" i="7" s="1"/>
  <c r="G127" i="7"/>
  <c r="I127" i="7" s="1"/>
  <c r="G135" i="7"/>
  <c r="I135" i="7" s="1"/>
  <c r="G143" i="7"/>
  <c r="I143" i="7" s="1"/>
  <c r="G151" i="7"/>
  <c r="I151" i="7" s="1"/>
  <c r="G159" i="7"/>
  <c r="I159" i="7" s="1"/>
  <c r="G167" i="7"/>
  <c r="I167" i="7" s="1"/>
  <c r="G175" i="7"/>
  <c r="I175" i="7" s="1"/>
  <c r="G183" i="7"/>
  <c r="I183" i="7" s="1"/>
  <c r="G191" i="7"/>
  <c r="I191" i="7" s="1"/>
  <c r="G199" i="7"/>
  <c r="I199" i="7" s="1"/>
  <c r="G207" i="7"/>
  <c r="I207" i="7" s="1"/>
  <c r="G215" i="7"/>
  <c r="I215" i="7" s="1"/>
  <c r="G223" i="7"/>
  <c r="I223" i="7" s="1"/>
  <c r="G231" i="7"/>
  <c r="I231" i="7" s="1"/>
  <c r="G239" i="7"/>
  <c r="I239" i="7" s="1"/>
  <c r="G247" i="7"/>
  <c r="I247" i="7" s="1"/>
  <c r="G255" i="7"/>
  <c r="I255" i="7" s="1"/>
  <c r="G263" i="7"/>
  <c r="I263" i="7" s="1"/>
  <c r="G271" i="7"/>
  <c r="I271" i="7" s="1"/>
  <c r="G279" i="7"/>
  <c r="I279" i="7" s="1"/>
  <c r="G287" i="7"/>
  <c r="I287" i="7" s="1"/>
  <c r="G295" i="7"/>
  <c r="I295" i="7" s="1"/>
  <c r="G303" i="7"/>
  <c r="I303" i="7" s="1"/>
  <c r="G311" i="7"/>
  <c r="I311" i="7" s="1"/>
  <c r="G319" i="7"/>
  <c r="I319" i="7" s="1"/>
  <c r="G327" i="7"/>
  <c r="I327" i="7" s="1"/>
  <c r="G334" i="7"/>
  <c r="I334" i="7" s="1"/>
  <c r="G339" i="7"/>
  <c r="I339" i="7" s="1"/>
  <c r="G345" i="7"/>
  <c r="I345" i="7" s="1"/>
  <c r="G350" i="7"/>
  <c r="I350" i="7" s="1"/>
  <c r="G355" i="7"/>
  <c r="I355" i="7" s="1"/>
  <c r="G361" i="7"/>
  <c r="I361" i="7" s="1"/>
  <c r="G366" i="7"/>
  <c r="I366" i="7" s="1"/>
  <c r="G371" i="7"/>
  <c r="I371" i="7" s="1"/>
  <c r="G377" i="7"/>
  <c r="I377" i="7" s="1"/>
  <c r="G382" i="7"/>
  <c r="I382" i="7" s="1"/>
  <c r="G387" i="7"/>
  <c r="I387" i="7" s="1"/>
  <c r="G393" i="7"/>
  <c r="I393" i="7" s="1"/>
  <c r="G398" i="7"/>
  <c r="I398" i="7" s="1"/>
  <c r="G403" i="7"/>
  <c r="I403" i="7" s="1"/>
  <c r="G408" i="7"/>
  <c r="I408" i="7" s="1"/>
  <c r="G412" i="7"/>
  <c r="I412" i="7" s="1"/>
  <c r="G416" i="7"/>
  <c r="I416" i="7" s="1"/>
  <c r="G420" i="7"/>
  <c r="I420" i="7" s="1"/>
  <c r="G424" i="7"/>
  <c r="I424" i="7" s="1"/>
  <c r="G428" i="7"/>
  <c r="I428" i="7" s="1"/>
  <c r="G432" i="7"/>
  <c r="I432" i="7" s="1"/>
  <c r="G436" i="7"/>
  <c r="I436" i="7" s="1"/>
  <c r="G440" i="7"/>
  <c r="I440" i="7" s="1"/>
  <c r="G444" i="7"/>
  <c r="I444" i="7" s="1"/>
  <c r="G448" i="7"/>
  <c r="I448" i="7" s="1"/>
  <c r="G452" i="7"/>
  <c r="I452" i="7" s="1"/>
  <c r="G456" i="7"/>
  <c r="I456" i="7" s="1"/>
  <c r="G460" i="7"/>
  <c r="I460" i="7" s="1"/>
  <c r="G464" i="7"/>
  <c r="I464" i="7" s="1"/>
  <c r="G468" i="7"/>
  <c r="I468" i="7" s="1"/>
  <c r="G472" i="7"/>
  <c r="I472" i="7" s="1"/>
  <c r="G476" i="7"/>
  <c r="I476" i="7" s="1"/>
  <c r="G480" i="7"/>
  <c r="I480" i="7" s="1"/>
  <c r="G484" i="7"/>
  <c r="I484" i="7" s="1"/>
  <c r="G488" i="7"/>
  <c r="I488" i="7" s="1"/>
  <c r="G492" i="7"/>
  <c r="I492" i="7" s="1"/>
  <c r="G496" i="7"/>
  <c r="I496" i="7" s="1"/>
  <c r="G500" i="7"/>
  <c r="I500" i="7" s="1"/>
  <c r="G504" i="7"/>
  <c r="I504" i="7" s="1"/>
  <c r="G508" i="7"/>
  <c r="I508" i="7" s="1"/>
  <c r="G512" i="7"/>
  <c r="I512" i="7" s="1"/>
  <c r="G516" i="7"/>
  <c r="I516" i="7" s="1"/>
  <c r="G520" i="7"/>
  <c r="I520" i="7" s="1"/>
  <c r="G524" i="7"/>
  <c r="I524" i="7" s="1"/>
  <c r="G528" i="7"/>
  <c r="I528" i="7" s="1"/>
  <c r="G532" i="7"/>
  <c r="I532" i="7" s="1"/>
  <c r="G536" i="7"/>
  <c r="I536" i="7" s="1"/>
  <c r="G540" i="7"/>
  <c r="I540" i="7" s="1"/>
  <c r="G544" i="7"/>
  <c r="I544" i="7" s="1"/>
  <c r="G548" i="7"/>
  <c r="I548" i="7" s="1"/>
  <c r="G552" i="7"/>
  <c r="I552" i="7" s="1"/>
  <c r="G556" i="7"/>
  <c r="I556" i="7" s="1"/>
  <c r="G73" i="7"/>
  <c r="I73" i="7" s="1"/>
  <c r="G83" i="7"/>
  <c r="I83" i="7" s="1"/>
  <c r="G93" i="7"/>
  <c r="I93" i="7" s="1"/>
  <c r="G105" i="7"/>
  <c r="I105" i="7" s="1"/>
  <c r="G115" i="7"/>
  <c r="I115" i="7" s="1"/>
  <c r="G125" i="7"/>
  <c r="I125" i="7" s="1"/>
  <c r="G137" i="7"/>
  <c r="I137" i="7" s="1"/>
  <c r="G147" i="7"/>
  <c r="I147" i="7" s="1"/>
  <c r="G157" i="7"/>
  <c r="I157" i="7" s="1"/>
  <c r="G169" i="7"/>
  <c r="I169" i="7" s="1"/>
  <c r="G179" i="7"/>
  <c r="I179" i="7" s="1"/>
  <c r="G189" i="7"/>
  <c r="I189" i="7" s="1"/>
  <c r="G201" i="7"/>
  <c r="I201" i="7" s="1"/>
  <c r="G211" i="7"/>
  <c r="I211" i="7" s="1"/>
  <c r="G221" i="7"/>
  <c r="I221" i="7" s="1"/>
  <c r="G233" i="7"/>
  <c r="I233" i="7" s="1"/>
  <c r="G243" i="7"/>
  <c r="I243" i="7" s="1"/>
  <c r="G253" i="7"/>
  <c r="I253" i="7" s="1"/>
  <c r="G265" i="7"/>
  <c r="I265" i="7" s="1"/>
  <c r="G275" i="7"/>
  <c r="I275" i="7" s="1"/>
  <c r="G285" i="7"/>
  <c r="I285" i="7" s="1"/>
  <c r="G297" i="7"/>
  <c r="I297" i="7" s="1"/>
  <c r="G307" i="7"/>
  <c r="I307" i="7" s="1"/>
  <c r="G317" i="7"/>
  <c r="I317" i="7" s="1"/>
  <c r="G329" i="7"/>
  <c r="I329" i="7" s="1"/>
  <c r="G337" i="7"/>
  <c r="I337" i="7" s="1"/>
  <c r="G343" i="7"/>
  <c r="I343" i="7" s="1"/>
  <c r="G351" i="7"/>
  <c r="I351" i="7" s="1"/>
  <c r="G358" i="7"/>
  <c r="I358" i="7" s="1"/>
  <c r="G365" i="7"/>
  <c r="I365" i="7" s="1"/>
  <c r="G373" i="7"/>
  <c r="I373" i="7" s="1"/>
  <c r="G379" i="7"/>
  <c r="I379" i="7" s="1"/>
  <c r="G386" i="7"/>
  <c r="I386" i="7" s="1"/>
  <c r="G394" i="7"/>
  <c r="I394" i="7" s="1"/>
  <c r="G401" i="7"/>
  <c r="I401" i="7" s="1"/>
  <c r="G407" i="7"/>
  <c r="I407" i="7" s="1"/>
  <c r="G413" i="7"/>
  <c r="I413" i="7" s="1"/>
  <c r="G418" i="7"/>
  <c r="I418" i="7" s="1"/>
  <c r="G423" i="7"/>
  <c r="I423" i="7" s="1"/>
  <c r="G429" i="7"/>
  <c r="I429" i="7" s="1"/>
  <c r="G434" i="7"/>
  <c r="I434" i="7" s="1"/>
  <c r="G439" i="7"/>
  <c r="I439" i="7" s="1"/>
  <c r="G445" i="7"/>
  <c r="I445" i="7" s="1"/>
  <c r="G450" i="7"/>
  <c r="I450" i="7" s="1"/>
  <c r="G455" i="7"/>
  <c r="I455" i="7" s="1"/>
  <c r="G461" i="7"/>
  <c r="I461" i="7" s="1"/>
  <c r="G466" i="7"/>
  <c r="I466" i="7" s="1"/>
  <c r="G471" i="7"/>
  <c r="I471" i="7" s="1"/>
  <c r="G477" i="7"/>
  <c r="I477" i="7" s="1"/>
  <c r="G482" i="7"/>
  <c r="I482" i="7" s="1"/>
  <c r="G487" i="7"/>
  <c r="I487" i="7" s="1"/>
  <c r="G493" i="7"/>
  <c r="I493" i="7" s="1"/>
  <c r="G498" i="7"/>
  <c r="I498" i="7" s="1"/>
  <c r="G503" i="7"/>
  <c r="I503" i="7" s="1"/>
  <c r="G509" i="7"/>
  <c r="I509" i="7" s="1"/>
  <c r="G514" i="7"/>
  <c r="I514" i="7" s="1"/>
  <c r="G519" i="7"/>
  <c r="I519" i="7" s="1"/>
  <c r="G525" i="7"/>
  <c r="I525" i="7" s="1"/>
  <c r="G530" i="7"/>
  <c r="I530" i="7" s="1"/>
  <c r="G535" i="7"/>
  <c r="I535" i="7" s="1"/>
  <c r="G541" i="7"/>
  <c r="I541" i="7" s="1"/>
  <c r="G546" i="7"/>
  <c r="I546" i="7" s="1"/>
  <c r="G551" i="7"/>
  <c r="I551" i="7" s="1"/>
  <c r="G557" i="7"/>
  <c r="I557" i="7" s="1"/>
  <c r="G561" i="7"/>
  <c r="I561" i="7" s="1"/>
  <c r="G565" i="7"/>
  <c r="I565" i="7" s="1"/>
  <c r="G569" i="7"/>
  <c r="I569" i="7" s="1"/>
  <c r="G573" i="7"/>
  <c r="I573" i="7" s="1"/>
  <c r="G577" i="7"/>
  <c r="I577" i="7" s="1"/>
  <c r="G581" i="7"/>
  <c r="I581" i="7" s="1"/>
  <c r="G585" i="7"/>
  <c r="I585" i="7" s="1"/>
  <c r="G589" i="7"/>
  <c r="I589" i="7" s="1"/>
  <c r="G593" i="7"/>
  <c r="I593" i="7" s="1"/>
  <c r="G597" i="7"/>
  <c r="I597" i="7" s="1"/>
  <c r="G601" i="7"/>
  <c r="I601" i="7" s="1"/>
  <c r="G605" i="7"/>
  <c r="I605" i="7" s="1"/>
  <c r="G609" i="7"/>
  <c r="I609" i="7" s="1"/>
  <c r="G613" i="7"/>
  <c r="I613" i="7" s="1"/>
  <c r="G617" i="7"/>
  <c r="I617" i="7" s="1"/>
  <c r="G621" i="7"/>
  <c r="I621" i="7" s="1"/>
  <c r="G625" i="7"/>
  <c r="I625" i="7" s="1"/>
  <c r="G629" i="7"/>
  <c r="I629" i="7" s="1"/>
  <c r="G6" i="7"/>
  <c r="I6" i="7" s="1"/>
  <c r="G10" i="7"/>
  <c r="I10" i="7" s="1"/>
  <c r="G14" i="7"/>
  <c r="I14" i="7" s="1"/>
  <c r="G18" i="7"/>
  <c r="I18" i="7" s="1"/>
  <c r="G22" i="7"/>
  <c r="I22" i="7" s="1"/>
  <c r="G26" i="7"/>
  <c r="I26" i="7" s="1"/>
  <c r="G30" i="7"/>
  <c r="I30" i="7" s="1"/>
  <c r="G34" i="7"/>
  <c r="I34" i="7" s="1"/>
  <c r="G38" i="7"/>
  <c r="I38" i="7" s="1"/>
  <c r="G42" i="7"/>
  <c r="I42" i="7" s="1"/>
  <c r="G46" i="7"/>
  <c r="I46" i="7" s="1"/>
  <c r="G50" i="7"/>
  <c r="I50" i="7" s="1"/>
  <c r="G54" i="7"/>
  <c r="I54" i="7" s="1"/>
  <c r="G58" i="7"/>
  <c r="I58" i="7" s="1"/>
  <c r="G62" i="7"/>
  <c r="I62" i="7" s="1"/>
  <c r="G66" i="7"/>
  <c r="I66" i="7" s="1"/>
  <c r="G70" i="7"/>
  <c r="I70" i="7" s="1"/>
  <c r="G75" i="7"/>
  <c r="I75" i="7" s="1"/>
  <c r="G85" i="7"/>
  <c r="I85" i="7" s="1"/>
  <c r="G97" i="7"/>
  <c r="I97" i="7" s="1"/>
  <c r="G107" i="7"/>
  <c r="I107" i="7" s="1"/>
  <c r="G117" i="7"/>
  <c r="I117" i="7" s="1"/>
  <c r="G129" i="7"/>
  <c r="I129" i="7" s="1"/>
  <c r="G139" i="7"/>
  <c r="I139" i="7" s="1"/>
  <c r="G149" i="7"/>
  <c r="I149" i="7" s="1"/>
  <c r="G161" i="7"/>
  <c r="I161" i="7" s="1"/>
  <c r="G171" i="7"/>
  <c r="I171" i="7" s="1"/>
  <c r="G181" i="7"/>
  <c r="I181" i="7" s="1"/>
  <c r="G193" i="7"/>
  <c r="I193" i="7" s="1"/>
  <c r="G203" i="7"/>
  <c r="I203" i="7" s="1"/>
  <c r="G213" i="7"/>
  <c r="I213" i="7" s="1"/>
  <c r="G225" i="7"/>
  <c r="I225" i="7" s="1"/>
  <c r="G235" i="7"/>
  <c r="I235" i="7" s="1"/>
  <c r="G245" i="7"/>
  <c r="I245" i="7" s="1"/>
  <c r="G257" i="7"/>
  <c r="I257" i="7" s="1"/>
  <c r="G267" i="7"/>
  <c r="I267" i="7" s="1"/>
  <c r="G277" i="7"/>
  <c r="I277" i="7" s="1"/>
  <c r="G289" i="7"/>
  <c r="I289" i="7" s="1"/>
  <c r="G299" i="7"/>
  <c r="I299" i="7" s="1"/>
  <c r="G309" i="7"/>
  <c r="I309" i="7" s="1"/>
  <c r="G321" i="7"/>
  <c r="I321" i="7" s="1"/>
  <c r="G331" i="7"/>
  <c r="I331" i="7" s="1"/>
  <c r="G338" i="7"/>
  <c r="I338" i="7" s="1"/>
  <c r="G346" i="7"/>
  <c r="I346" i="7" s="1"/>
  <c r="G353" i="7"/>
  <c r="I353" i="7" s="1"/>
  <c r="G359" i="7"/>
  <c r="I359" i="7" s="1"/>
  <c r="G367" i="7"/>
  <c r="I367" i="7" s="1"/>
  <c r="G374" i="7"/>
  <c r="I374" i="7" s="1"/>
  <c r="G381" i="7"/>
  <c r="I381" i="7" s="1"/>
  <c r="G389" i="7"/>
  <c r="I389" i="7" s="1"/>
  <c r="G395" i="7"/>
  <c r="I395" i="7" s="1"/>
  <c r="G402" i="7"/>
  <c r="I402" i="7" s="1"/>
  <c r="G409" i="7"/>
  <c r="I409" i="7" s="1"/>
  <c r="G414" i="7"/>
  <c r="I414" i="7" s="1"/>
  <c r="G419" i="7"/>
  <c r="I419" i="7" s="1"/>
  <c r="G425" i="7"/>
  <c r="I425" i="7" s="1"/>
  <c r="G430" i="7"/>
  <c r="I430" i="7" s="1"/>
  <c r="G435" i="7"/>
  <c r="I435" i="7" s="1"/>
  <c r="G441" i="7"/>
  <c r="I441" i="7" s="1"/>
  <c r="G446" i="7"/>
  <c r="I446" i="7" s="1"/>
  <c r="G451" i="7"/>
  <c r="I451" i="7" s="1"/>
  <c r="G457" i="7"/>
  <c r="I457" i="7" s="1"/>
  <c r="G462" i="7"/>
  <c r="I462" i="7" s="1"/>
  <c r="G467" i="7"/>
  <c r="I467" i="7" s="1"/>
  <c r="G473" i="7"/>
  <c r="I473" i="7" s="1"/>
  <c r="G478" i="7"/>
  <c r="I478" i="7" s="1"/>
  <c r="G483" i="7"/>
  <c r="I483" i="7" s="1"/>
  <c r="G489" i="7"/>
  <c r="I489" i="7" s="1"/>
  <c r="G494" i="7"/>
  <c r="I494" i="7" s="1"/>
  <c r="G499" i="7"/>
  <c r="I499" i="7" s="1"/>
  <c r="G505" i="7"/>
  <c r="I505" i="7" s="1"/>
  <c r="G510" i="7"/>
  <c r="I510" i="7" s="1"/>
  <c r="G515" i="7"/>
  <c r="I515" i="7" s="1"/>
  <c r="G521" i="7"/>
  <c r="I521" i="7" s="1"/>
  <c r="G526" i="7"/>
  <c r="I526" i="7" s="1"/>
  <c r="G531" i="7"/>
  <c r="I531" i="7" s="1"/>
  <c r="G537" i="7"/>
  <c r="I537" i="7" s="1"/>
  <c r="G542" i="7"/>
  <c r="I542" i="7" s="1"/>
  <c r="G547" i="7"/>
  <c r="I547" i="7" s="1"/>
  <c r="G553" i="7"/>
  <c r="I553" i="7" s="1"/>
  <c r="G558" i="7"/>
  <c r="I558" i="7" s="1"/>
  <c r="G562" i="7"/>
  <c r="I562" i="7" s="1"/>
  <c r="G566" i="7"/>
  <c r="I566" i="7" s="1"/>
  <c r="G570" i="7"/>
  <c r="I570" i="7" s="1"/>
  <c r="G574" i="7"/>
  <c r="I574" i="7" s="1"/>
  <c r="G578" i="7"/>
  <c r="I578" i="7" s="1"/>
  <c r="G582" i="7"/>
  <c r="I582" i="7" s="1"/>
  <c r="G586" i="7"/>
  <c r="I586" i="7" s="1"/>
  <c r="G590" i="7"/>
  <c r="I590" i="7" s="1"/>
  <c r="G594" i="7"/>
  <c r="I594" i="7" s="1"/>
  <c r="G598" i="7"/>
  <c r="I598" i="7" s="1"/>
  <c r="G602" i="7"/>
  <c r="I602" i="7" s="1"/>
  <c r="G606" i="7"/>
  <c r="I606" i="7" s="1"/>
  <c r="G610" i="7"/>
  <c r="I610" i="7" s="1"/>
  <c r="G614" i="7"/>
  <c r="I614" i="7" s="1"/>
  <c r="G618" i="7"/>
  <c r="I618" i="7" s="1"/>
  <c r="G622" i="7"/>
  <c r="I622" i="7" s="1"/>
  <c r="G626" i="7"/>
  <c r="I626" i="7" s="1"/>
  <c r="G7" i="7"/>
  <c r="I7" i="7" s="1"/>
  <c r="G11" i="7"/>
  <c r="I11" i="7" s="1"/>
  <c r="G15" i="7"/>
  <c r="I15" i="7" s="1"/>
  <c r="U2" i="7"/>
  <c r="Q49" i="7" s="1" a="1"/>
  <c r="Q49" i="7" s="1"/>
  <c r="D14" i="7"/>
  <c r="D44" i="7"/>
  <c r="D631" i="7"/>
  <c r="D604" i="7"/>
  <c r="D578" i="7"/>
  <c r="D546" i="7"/>
  <c r="D519" i="7"/>
  <c r="D492" i="7"/>
  <c r="D448" i="7"/>
  <c r="D408" i="7"/>
  <c r="D358" i="7"/>
  <c r="D294" i="7"/>
  <c r="D241" i="7"/>
  <c r="D187" i="7"/>
  <c r="G71" i="7"/>
  <c r="I71" i="7" s="1"/>
  <c r="G65" i="7"/>
  <c r="I65" i="7" s="1"/>
  <c r="G60" i="7"/>
  <c r="I60" i="7" s="1"/>
  <c r="G55" i="7"/>
  <c r="I55" i="7" s="1"/>
  <c r="G49" i="7"/>
  <c r="I49" i="7" s="1"/>
  <c r="G44" i="7"/>
  <c r="I44" i="7" s="1"/>
  <c r="G39" i="7"/>
  <c r="I39" i="7" s="1"/>
  <c r="G33" i="7"/>
  <c r="I33" i="7" s="1"/>
  <c r="G28" i="7"/>
  <c r="I28" i="7" s="1"/>
  <c r="G23" i="7"/>
  <c r="I23" i="7" s="1"/>
  <c r="G17" i="7"/>
  <c r="I17" i="7" s="1"/>
  <c r="G9" i="7"/>
  <c r="I9" i="7" s="1"/>
  <c r="G628" i="7"/>
  <c r="I628" i="7" s="1"/>
  <c r="G620" i="7"/>
  <c r="I620" i="7" s="1"/>
  <c r="G612" i="7"/>
  <c r="I612" i="7" s="1"/>
  <c r="G604" i="7"/>
  <c r="I604" i="7" s="1"/>
  <c r="G596" i="7"/>
  <c r="I596" i="7" s="1"/>
  <c r="G588" i="7"/>
  <c r="I588" i="7" s="1"/>
  <c r="G580" i="7"/>
  <c r="I580" i="7" s="1"/>
  <c r="G572" i="7"/>
  <c r="I572" i="7" s="1"/>
  <c r="G564" i="7"/>
  <c r="I564" i="7" s="1"/>
  <c r="G555" i="7"/>
  <c r="I555" i="7" s="1"/>
  <c r="G545" i="7"/>
  <c r="I545" i="7" s="1"/>
  <c r="G534" i="7"/>
  <c r="I534" i="7" s="1"/>
  <c r="G523" i="7"/>
  <c r="I523" i="7" s="1"/>
  <c r="G513" i="7"/>
  <c r="I513" i="7" s="1"/>
  <c r="G502" i="7"/>
  <c r="I502" i="7" s="1"/>
  <c r="G491" i="7"/>
  <c r="I491" i="7" s="1"/>
  <c r="G481" i="7"/>
  <c r="I481" i="7" s="1"/>
  <c r="G470" i="7"/>
  <c r="I470" i="7" s="1"/>
  <c r="G459" i="7"/>
  <c r="I459" i="7" s="1"/>
  <c r="G449" i="7"/>
  <c r="I449" i="7" s="1"/>
  <c r="G438" i="7"/>
  <c r="I438" i="7" s="1"/>
  <c r="G427" i="7"/>
  <c r="I427" i="7" s="1"/>
  <c r="G417" i="7"/>
  <c r="I417" i="7" s="1"/>
  <c r="G406" i="7"/>
  <c r="I406" i="7" s="1"/>
  <c r="G391" i="7"/>
  <c r="I391" i="7" s="1"/>
  <c r="G378" i="7"/>
  <c r="I378" i="7" s="1"/>
  <c r="G363" i="7"/>
  <c r="I363" i="7" s="1"/>
  <c r="G349" i="7"/>
  <c r="I349" i="7" s="1"/>
  <c r="G335" i="7"/>
  <c r="I335" i="7" s="1"/>
  <c r="G315" i="7"/>
  <c r="I315" i="7" s="1"/>
  <c r="G293" i="7"/>
  <c r="I293" i="7" s="1"/>
  <c r="G273" i="7"/>
  <c r="I273" i="7" s="1"/>
  <c r="G251" i="7"/>
  <c r="I251" i="7" s="1"/>
  <c r="G229" i="7"/>
  <c r="I229" i="7" s="1"/>
  <c r="G209" i="7"/>
  <c r="I209" i="7" s="1"/>
  <c r="G187" i="7"/>
  <c r="I187" i="7" s="1"/>
  <c r="G165" i="7"/>
  <c r="I165" i="7" s="1"/>
  <c r="G145" i="7"/>
  <c r="I145" i="7" s="1"/>
  <c r="G123" i="7"/>
  <c r="I123" i="7" s="1"/>
  <c r="G101" i="7"/>
  <c r="I101" i="7" s="1"/>
  <c r="G81" i="7"/>
  <c r="I81" i="7" s="1"/>
  <c r="D8" i="7"/>
  <c r="D33" i="7"/>
  <c r="D626" i="7"/>
  <c r="D599" i="7"/>
  <c r="D567" i="7"/>
  <c r="D540" i="7"/>
  <c r="D514" i="7"/>
  <c r="D480" i="7"/>
  <c r="D440" i="7"/>
  <c r="D400" i="7"/>
  <c r="D337" i="7"/>
  <c r="D283" i="7"/>
  <c r="D230" i="7"/>
  <c r="G69" i="7"/>
  <c r="I69" i="7" s="1"/>
  <c r="G64" i="7"/>
  <c r="I64" i="7" s="1"/>
  <c r="G59" i="7"/>
  <c r="I59" i="7" s="1"/>
  <c r="G53" i="7"/>
  <c r="I53" i="7" s="1"/>
  <c r="G48" i="7"/>
  <c r="I48" i="7" s="1"/>
  <c r="G43" i="7"/>
  <c r="I43" i="7" s="1"/>
  <c r="G37" i="7"/>
  <c r="I37" i="7" s="1"/>
  <c r="G32" i="7"/>
  <c r="I32" i="7" s="1"/>
  <c r="G27" i="7"/>
  <c r="I27" i="7" s="1"/>
  <c r="G21" i="7"/>
  <c r="I21" i="7" s="1"/>
  <c r="G16" i="7"/>
  <c r="I16" i="7" s="1"/>
  <c r="G8" i="7"/>
  <c r="I8" i="7" s="1"/>
  <c r="G627" i="7"/>
  <c r="I627" i="7" s="1"/>
  <c r="G619" i="7"/>
  <c r="I619" i="7" s="1"/>
  <c r="G611" i="7"/>
  <c r="I611" i="7" s="1"/>
  <c r="G603" i="7"/>
  <c r="I603" i="7" s="1"/>
  <c r="G595" i="7"/>
  <c r="I595" i="7" s="1"/>
  <c r="G587" i="7"/>
  <c r="I587" i="7" s="1"/>
  <c r="G579" i="7"/>
  <c r="I579" i="7" s="1"/>
  <c r="G571" i="7"/>
  <c r="I571" i="7" s="1"/>
  <c r="G563" i="7"/>
  <c r="I563" i="7" s="1"/>
  <c r="G554" i="7"/>
  <c r="I554" i="7" s="1"/>
  <c r="G543" i="7"/>
  <c r="I543" i="7" s="1"/>
  <c r="G533" i="7"/>
  <c r="I533" i="7" s="1"/>
  <c r="G522" i="7"/>
  <c r="I522" i="7" s="1"/>
  <c r="G511" i="7"/>
  <c r="I511" i="7" s="1"/>
  <c r="G501" i="7"/>
  <c r="I501" i="7" s="1"/>
  <c r="G490" i="7"/>
  <c r="I490" i="7" s="1"/>
  <c r="G479" i="7"/>
  <c r="I479" i="7" s="1"/>
  <c r="G469" i="7"/>
  <c r="I469" i="7" s="1"/>
  <c r="G458" i="7"/>
  <c r="I458" i="7" s="1"/>
  <c r="G447" i="7"/>
  <c r="I447" i="7" s="1"/>
  <c r="G437" i="7"/>
  <c r="I437" i="7" s="1"/>
  <c r="G426" i="7"/>
  <c r="I426" i="7" s="1"/>
  <c r="G415" i="7"/>
  <c r="I415" i="7" s="1"/>
  <c r="G405" i="7"/>
  <c r="I405" i="7" s="1"/>
  <c r="G390" i="7"/>
  <c r="I390" i="7" s="1"/>
  <c r="G375" i="7"/>
  <c r="I375" i="7" s="1"/>
  <c r="G362" i="7"/>
  <c r="I362" i="7" s="1"/>
  <c r="G347" i="7"/>
  <c r="I347" i="7" s="1"/>
  <c r="G333" i="7"/>
  <c r="I333" i="7" s="1"/>
  <c r="G313" i="7"/>
  <c r="I313" i="7" s="1"/>
  <c r="G291" i="7"/>
  <c r="I291" i="7" s="1"/>
  <c r="G269" i="7"/>
  <c r="I269" i="7" s="1"/>
  <c r="G249" i="7"/>
  <c r="I249" i="7" s="1"/>
  <c r="G227" i="7"/>
  <c r="I227" i="7" s="1"/>
  <c r="G205" i="7"/>
  <c r="I205" i="7" s="1"/>
  <c r="G185" i="7"/>
  <c r="I185" i="7" s="1"/>
  <c r="G163" i="7"/>
  <c r="I163" i="7" s="1"/>
  <c r="G141" i="7"/>
  <c r="I141" i="7" s="1"/>
  <c r="G121" i="7"/>
  <c r="I121" i="7" s="1"/>
  <c r="G99" i="7"/>
  <c r="I99" i="7" s="1"/>
  <c r="G77" i="7"/>
  <c r="I77" i="7" s="1"/>
  <c r="D177" i="7"/>
  <c r="D166" i="7"/>
  <c r="D155" i="7"/>
  <c r="D145" i="7"/>
  <c r="D134" i="7"/>
  <c r="D123" i="7"/>
  <c r="D113" i="7"/>
  <c r="D102" i="7"/>
  <c r="D91" i="7"/>
  <c r="D81" i="7"/>
  <c r="D70" i="7"/>
  <c r="D12" i="7"/>
  <c r="D7" i="7"/>
  <c r="D59" i="7"/>
  <c r="D53" i="7"/>
  <c r="D48" i="7"/>
  <c r="D43" i="7"/>
  <c r="D37" i="7"/>
  <c r="D32" i="7"/>
  <c r="D27" i="7"/>
  <c r="D21" i="7"/>
  <c r="D16" i="7"/>
  <c r="D630" i="7"/>
  <c r="D624" i="7"/>
  <c r="D619" i="7"/>
  <c r="D614" i="7"/>
  <c r="D608" i="7"/>
  <c r="D603" i="7"/>
  <c r="D598" i="7"/>
  <c r="D592" i="7"/>
  <c r="D587" i="7"/>
  <c r="D582" i="7"/>
  <c r="D576" i="7"/>
  <c r="D571" i="7"/>
  <c r="D566" i="7"/>
  <c r="D560" i="7"/>
  <c r="D555" i="7"/>
  <c r="D550" i="7"/>
  <c r="D544" i="7"/>
  <c r="D539" i="7"/>
  <c r="D534" i="7"/>
  <c r="D528" i="7"/>
  <c r="D523" i="7"/>
  <c r="D518" i="7"/>
  <c r="D512" i="7"/>
  <c r="D507" i="7"/>
  <c r="D502" i="7"/>
  <c r="D496" i="7"/>
  <c r="D491" i="7"/>
  <c r="D486" i="7"/>
  <c r="D479" i="7"/>
  <c r="D471" i="7"/>
  <c r="D463" i="7"/>
  <c r="D455" i="7"/>
  <c r="D447" i="7"/>
  <c r="D439" i="7"/>
  <c r="D431" i="7"/>
  <c r="D423" i="7"/>
  <c r="D415" i="7"/>
  <c r="D407" i="7"/>
  <c r="D399" i="7"/>
  <c r="D389" i="7"/>
  <c r="D378" i="7"/>
  <c r="D367" i="7"/>
  <c r="D357" i="7"/>
  <c r="D346" i="7"/>
  <c r="D335" i="7"/>
  <c r="D325" i="7"/>
  <c r="D314" i="7"/>
  <c r="D303" i="7"/>
  <c r="D293" i="7"/>
  <c r="D282" i="7"/>
  <c r="D271" i="7"/>
  <c r="D261" i="7"/>
  <c r="D250" i="7"/>
  <c r="D239" i="7"/>
  <c r="D229" i="7"/>
  <c r="D218" i="7"/>
  <c r="D207" i="7"/>
  <c r="D197" i="7"/>
  <c r="D186" i="7"/>
  <c r="D175" i="7"/>
  <c r="D165" i="7"/>
  <c r="D154" i="7"/>
  <c r="D143" i="7"/>
  <c r="D133" i="7"/>
  <c r="D122" i="7"/>
  <c r="D111" i="7"/>
  <c r="D101" i="7"/>
  <c r="D90" i="7"/>
  <c r="D79" i="7"/>
  <c r="D69" i="7"/>
  <c r="D52" i="7"/>
  <c r="D47" i="7"/>
  <c r="D41" i="7"/>
  <c r="D36" i="7"/>
  <c r="D31" i="7"/>
  <c r="D25" i="7"/>
  <c r="D20" i="7"/>
  <c r="D15" i="7"/>
  <c r="D628" i="7"/>
  <c r="D623" i="7"/>
  <c r="D618" i="7"/>
  <c r="D612" i="7"/>
  <c r="D607" i="7"/>
  <c r="D602" i="7"/>
  <c r="D596" i="7"/>
  <c r="D591" i="7"/>
  <c r="D586" i="7"/>
  <c r="D580" i="7"/>
  <c r="D575" i="7"/>
  <c r="D570" i="7"/>
  <c r="D564" i="7"/>
  <c r="D559" i="7"/>
  <c r="D554" i="7"/>
  <c r="D548" i="7"/>
  <c r="D543" i="7"/>
  <c r="D538" i="7"/>
  <c r="D532" i="7"/>
  <c r="D527" i="7"/>
  <c r="D522" i="7"/>
  <c r="D516" i="7"/>
  <c r="D511" i="7"/>
  <c r="D506" i="7"/>
  <c r="D500" i="7"/>
  <c r="D495" i="7"/>
  <c r="D490" i="7"/>
  <c r="D484" i="7"/>
  <c r="D476" i="7"/>
  <c r="D468" i="7"/>
  <c r="D460" i="7"/>
  <c r="D452" i="7"/>
  <c r="D444" i="7"/>
  <c r="D436" i="7"/>
  <c r="D428" i="7"/>
  <c r="D420" i="7"/>
  <c r="D412" i="7"/>
  <c r="D404" i="7"/>
  <c r="D395" i="7"/>
  <c r="D385" i="7"/>
  <c r="D374" i="7"/>
  <c r="D363" i="7"/>
  <c r="D353" i="7"/>
  <c r="D342" i="7"/>
  <c r="D331" i="7"/>
  <c r="D321" i="7"/>
  <c r="D310" i="7"/>
  <c r="D299" i="7"/>
  <c r="D289" i="7"/>
  <c r="D278" i="7"/>
  <c r="D267" i="7"/>
  <c r="D257" i="7"/>
  <c r="D246" i="7"/>
  <c r="D235" i="7"/>
  <c r="D225" i="7"/>
  <c r="D214" i="7"/>
  <c r="D203" i="7"/>
  <c r="D193" i="7"/>
  <c r="D182" i="7"/>
  <c r="D171" i="7"/>
  <c r="D161" i="7"/>
  <c r="D150" i="7"/>
  <c r="D139" i="7"/>
  <c r="D129" i="7"/>
  <c r="D118" i="7"/>
  <c r="D107" i="7"/>
  <c r="D97" i="7"/>
  <c r="D86" i="7"/>
  <c r="D75" i="7"/>
  <c r="C2" i="7"/>
  <c r="D60" i="7"/>
  <c r="D64" i="7"/>
  <c r="D68" i="7"/>
  <c r="D72" i="7"/>
  <c r="D76" i="7"/>
  <c r="D80" i="7"/>
  <c r="D84" i="7"/>
  <c r="D88" i="7"/>
  <c r="D92" i="7"/>
  <c r="D96" i="7"/>
  <c r="D100" i="7"/>
  <c r="D104" i="7"/>
  <c r="D108" i="7"/>
  <c r="D112" i="7"/>
  <c r="D116" i="7"/>
  <c r="D120" i="7"/>
  <c r="D124" i="7"/>
  <c r="D128" i="7"/>
  <c r="D132" i="7"/>
  <c r="D136" i="7"/>
  <c r="D140" i="7"/>
  <c r="D144" i="7"/>
  <c r="D148" i="7"/>
  <c r="D152" i="7"/>
  <c r="D156" i="7"/>
  <c r="D160" i="7"/>
  <c r="D164" i="7"/>
  <c r="D168" i="7"/>
  <c r="D172" i="7"/>
  <c r="D176" i="7"/>
  <c r="D180" i="7"/>
  <c r="D184" i="7"/>
  <c r="D188" i="7"/>
  <c r="D192" i="7"/>
  <c r="D196" i="7"/>
  <c r="D200" i="7"/>
  <c r="D204" i="7"/>
  <c r="D208" i="7"/>
  <c r="D212" i="7"/>
  <c r="D216" i="7"/>
  <c r="D220" i="7"/>
  <c r="D224" i="7"/>
  <c r="D228" i="7"/>
  <c r="D232" i="7"/>
  <c r="D236" i="7"/>
  <c r="D240" i="7"/>
  <c r="D244" i="7"/>
  <c r="D248" i="7"/>
  <c r="D252" i="7"/>
  <c r="D256" i="7"/>
  <c r="D260" i="7"/>
  <c r="D264" i="7"/>
  <c r="D268" i="7"/>
  <c r="D272" i="7"/>
  <c r="D276" i="7"/>
  <c r="D280" i="7"/>
  <c r="D284" i="7"/>
  <c r="D288" i="7"/>
  <c r="D292" i="7"/>
  <c r="D296" i="7"/>
  <c r="D300" i="7"/>
  <c r="D304" i="7"/>
  <c r="D308" i="7"/>
  <c r="D312" i="7"/>
  <c r="D316" i="7"/>
  <c r="D320" i="7"/>
  <c r="D324" i="7"/>
  <c r="D328" i="7"/>
  <c r="D332" i="7"/>
  <c r="D336" i="7"/>
  <c r="D340" i="7"/>
  <c r="D344" i="7"/>
  <c r="D348" i="7"/>
  <c r="D352" i="7"/>
  <c r="D356" i="7"/>
  <c r="D360" i="7"/>
  <c r="D364" i="7"/>
  <c r="D368" i="7"/>
  <c r="D372" i="7"/>
  <c r="D376" i="7"/>
  <c r="D380" i="7"/>
  <c r="D384" i="7"/>
  <c r="D388" i="7"/>
  <c r="D392" i="7"/>
  <c r="D396" i="7"/>
  <c r="D61" i="7"/>
  <c r="D66" i="7"/>
  <c r="D71" i="7"/>
  <c r="D77" i="7"/>
  <c r="D82" i="7"/>
  <c r="D87" i="7"/>
  <c r="D93" i="7"/>
  <c r="D98" i="7"/>
  <c r="D103" i="7"/>
  <c r="D109" i="7"/>
  <c r="D114" i="7"/>
  <c r="D119" i="7"/>
  <c r="D125" i="7"/>
  <c r="D130" i="7"/>
  <c r="D135" i="7"/>
  <c r="D141" i="7"/>
  <c r="D146" i="7"/>
  <c r="D151" i="7"/>
  <c r="D157" i="7"/>
  <c r="D162" i="7"/>
  <c r="D167" i="7"/>
  <c r="D173" i="7"/>
  <c r="D178" i="7"/>
  <c r="D183" i="7"/>
  <c r="D189" i="7"/>
  <c r="D194" i="7"/>
  <c r="D199" i="7"/>
  <c r="D205" i="7"/>
  <c r="D210" i="7"/>
  <c r="D215" i="7"/>
  <c r="D221" i="7"/>
  <c r="D226" i="7"/>
  <c r="D231" i="7"/>
  <c r="D237" i="7"/>
  <c r="D242" i="7"/>
  <c r="D247" i="7"/>
  <c r="D253" i="7"/>
  <c r="D258" i="7"/>
  <c r="D263" i="7"/>
  <c r="D269" i="7"/>
  <c r="D274" i="7"/>
  <c r="D279" i="7"/>
  <c r="D285" i="7"/>
  <c r="D290" i="7"/>
  <c r="D295" i="7"/>
  <c r="D301" i="7"/>
  <c r="D306" i="7"/>
  <c r="D311" i="7"/>
  <c r="D317" i="7"/>
  <c r="D322" i="7"/>
  <c r="D327" i="7"/>
  <c r="D333" i="7"/>
  <c r="D338" i="7"/>
  <c r="D343" i="7"/>
  <c r="D349" i="7"/>
  <c r="D354" i="7"/>
  <c r="D359" i="7"/>
  <c r="D365" i="7"/>
  <c r="D370" i="7"/>
  <c r="D375" i="7"/>
  <c r="D381" i="7"/>
  <c r="D386" i="7"/>
  <c r="D391" i="7"/>
  <c r="D397" i="7"/>
  <c r="D401" i="7"/>
  <c r="D405" i="7"/>
  <c r="D409" i="7"/>
  <c r="D413" i="7"/>
  <c r="D417" i="7"/>
  <c r="D421" i="7"/>
  <c r="D425" i="7"/>
  <c r="D429" i="7"/>
  <c r="D433" i="7"/>
  <c r="D437" i="7"/>
  <c r="D441" i="7"/>
  <c r="D445" i="7"/>
  <c r="D449" i="7"/>
  <c r="D453" i="7"/>
  <c r="D457" i="7"/>
  <c r="D461" i="7"/>
  <c r="D465" i="7"/>
  <c r="D469" i="7"/>
  <c r="D473" i="7"/>
  <c r="D477" i="7"/>
  <c r="D481" i="7"/>
  <c r="D485" i="7"/>
  <c r="D489" i="7"/>
  <c r="D493" i="7"/>
  <c r="D497" i="7"/>
  <c r="D501" i="7"/>
  <c r="D505" i="7"/>
  <c r="D509" i="7"/>
  <c r="D513" i="7"/>
  <c r="D517" i="7"/>
  <c r="D521" i="7"/>
  <c r="D525" i="7"/>
  <c r="D529" i="7"/>
  <c r="D533" i="7"/>
  <c r="D537" i="7"/>
  <c r="D541" i="7"/>
  <c r="D545" i="7"/>
  <c r="D549" i="7"/>
  <c r="D553" i="7"/>
  <c r="D557" i="7"/>
  <c r="D561" i="7"/>
  <c r="D565" i="7"/>
  <c r="D569" i="7"/>
  <c r="D573" i="7"/>
  <c r="D577" i="7"/>
  <c r="D581" i="7"/>
  <c r="D585" i="7"/>
  <c r="D589" i="7"/>
  <c r="D593" i="7"/>
  <c r="D597" i="7"/>
  <c r="D601" i="7"/>
  <c r="D605" i="7"/>
  <c r="D609" i="7"/>
  <c r="D613" i="7"/>
  <c r="D617" i="7"/>
  <c r="D621" i="7"/>
  <c r="D625" i="7"/>
  <c r="D629" i="7"/>
  <c r="D633" i="7"/>
  <c r="D18" i="7"/>
  <c r="D22" i="7"/>
  <c r="D26" i="7"/>
  <c r="D30" i="7"/>
  <c r="D34" i="7"/>
  <c r="D38" i="7"/>
  <c r="D42" i="7"/>
  <c r="D46" i="7"/>
  <c r="D50" i="7"/>
  <c r="D54" i="7"/>
  <c r="D58" i="7"/>
  <c r="D5" i="7"/>
  <c r="D9" i="7"/>
  <c r="D13" i="7"/>
  <c r="D62" i="7"/>
  <c r="D67" i="7"/>
  <c r="D73" i="7"/>
  <c r="D78" i="7"/>
  <c r="D83" i="7"/>
  <c r="D89" i="7"/>
  <c r="D94" i="7"/>
  <c r="D99" i="7"/>
  <c r="D105" i="7"/>
  <c r="D110" i="7"/>
  <c r="D115" i="7"/>
  <c r="D121" i="7"/>
  <c r="D126" i="7"/>
  <c r="D131" i="7"/>
  <c r="D137" i="7"/>
  <c r="D142" i="7"/>
  <c r="D147" i="7"/>
  <c r="D153" i="7"/>
  <c r="D158" i="7"/>
  <c r="D163" i="7"/>
  <c r="D169" i="7"/>
  <c r="D174" i="7"/>
  <c r="D179" i="7"/>
  <c r="D185" i="7"/>
  <c r="D190" i="7"/>
  <c r="D195" i="7"/>
  <c r="D201" i="7"/>
  <c r="D206" i="7"/>
  <c r="D211" i="7"/>
  <c r="D217" i="7"/>
  <c r="D222" i="7"/>
  <c r="D227" i="7"/>
  <c r="D233" i="7"/>
  <c r="D238" i="7"/>
  <c r="D243" i="7"/>
  <c r="D249" i="7"/>
  <c r="D254" i="7"/>
  <c r="D259" i="7"/>
  <c r="D265" i="7"/>
  <c r="D270" i="7"/>
  <c r="D275" i="7"/>
  <c r="D281" i="7"/>
  <c r="D286" i="7"/>
  <c r="D291" i="7"/>
  <c r="D297" i="7"/>
  <c r="D302" i="7"/>
  <c r="D307" i="7"/>
  <c r="D313" i="7"/>
  <c r="D318" i="7"/>
  <c r="D323" i="7"/>
  <c r="D329" i="7"/>
  <c r="D334" i="7"/>
  <c r="D339" i="7"/>
  <c r="D345" i="7"/>
  <c r="D350" i="7"/>
  <c r="D355" i="7"/>
  <c r="D361" i="7"/>
  <c r="D366" i="7"/>
  <c r="D371" i="7"/>
  <c r="D377" i="7"/>
  <c r="D382" i="7"/>
  <c r="D387" i="7"/>
  <c r="D393" i="7"/>
  <c r="D398" i="7"/>
  <c r="D402" i="7"/>
  <c r="D406" i="7"/>
  <c r="D410" i="7"/>
  <c r="D414" i="7"/>
  <c r="D418" i="7"/>
  <c r="D422" i="7"/>
  <c r="D426" i="7"/>
  <c r="D430" i="7"/>
  <c r="D434" i="7"/>
  <c r="D438" i="7"/>
  <c r="D442" i="7"/>
  <c r="D446" i="7"/>
  <c r="D450" i="7"/>
  <c r="D454" i="7"/>
  <c r="D458" i="7"/>
  <c r="D462" i="7"/>
  <c r="D466" i="7"/>
  <c r="D470" i="7"/>
  <c r="D474" i="7"/>
  <c r="D478" i="7"/>
  <c r="D482" i="7"/>
  <c r="D11" i="7"/>
  <c r="D6" i="7"/>
  <c r="D57" i="7"/>
  <c r="Z2" i="7" a="1"/>
  <c r="Z2" i="7" s="1"/>
  <c r="AB2" i="7" s="1" a="1"/>
  <c r="AB2" i="7" s="1"/>
  <c r="AC2" i="7" s="1" a="1"/>
  <c r="AC2" i="7" s="1"/>
  <c r="D10" i="7"/>
  <c r="D4" i="7"/>
  <c r="D56" i="7"/>
  <c r="D51" i="7"/>
  <c r="D45" i="7"/>
  <c r="D40" i="7"/>
  <c r="D35" i="7"/>
  <c r="D29" i="7"/>
  <c r="D24" i="7"/>
  <c r="D19" i="7"/>
  <c r="D632" i="7"/>
  <c r="D627" i="7"/>
  <c r="D622" i="7"/>
  <c r="D616" i="7"/>
  <c r="D611" i="7"/>
  <c r="D606" i="7"/>
  <c r="D600" i="7"/>
  <c r="D595" i="7"/>
  <c r="D590" i="7"/>
  <c r="D584" i="7"/>
  <c r="D579" i="7"/>
  <c r="D574" i="7"/>
  <c r="D568" i="7"/>
  <c r="D563" i="7"/>
  <c r="D558" i="7"/>
  <c r="D552" i="7"/>
  <c r="D547" i="7"/>
  <c r="D542" i="7"/>
  <c r="D536" i="7"/>
  <c r="D531" i="7"/>
  <c r="D526" i="7"/>
  <c r="D520" i="7"/>
  <c r="D515" i="7"/>
  <c r="D510" i="7"/>
  <c r="D504" i="7"/>
  <c r="D499" i="7"/>
  <c r="D494" i="7"/>
  <c r="D488" i="7"/>
  <c r="D483" i="7"/>
  <c r="D475" i="7"/>
  <c r="D467" i="7"/>
  <c r="D459" i="7"/>
  <c r="D451" i="7"/>
  <c r="D443" i="7"/>
  <c r="D435" i="7"/>
  <c r="D427" i="7"/>
  <c r="D419" i="7"/>
  <c r="D411" i="7"/>
  <c r="D403" i="7"/>
  <c r="D394" i="7"/>
  <c r="D383" i="7"/>
  <c r="D373" i="7"/>
  <c r="D362" i="7"/>
  <c r="D351" i="7"/>
  <c r="D341" i="7"/>
  <c r="D330" i="7"/>
  <c r="D319" i="7"/>
  <c r="D309" i="7"/>
  <c r="D298" i="7"/>
  <c r="D287" i="7"/>
  <c r="D277" i="7"/>
  <c r="D266" i="7"/>
  <c r="D255" i="7"/>
  <c r="D245" i="7"/>
  <c r="D234" i="7"/>
  <c r="D223" i="7"/>
  <c r="D213" i="7"/>
  <c r="D202" i="7"/>
  <c r="D191" i="7"/>
  <c r="D181" i="7"/>
  <c r="D170" i="7"/>
  <c r="D159" i="7"/>
  <c r="D149" i="7"/>
  <c r="D138" i="7"/>
  <c r="D127" i="7"/>
  <c r="D117" i="7"/>
  <c r="D106" i="7"/>
  <c r="D95" i="7"/>
  <c r="D85" i="7"/>
  <c r="D74" i="7"/>
  <c r="D63" i="7"/>
  <c r="B635" i="7"/>
  <c r="Q77" i="7" l="1" a="1"/>
  <c r="Q77" i="7" s="1"/>
  <c r="Q296" i="7" a="1"/>
  <c r="Q296" i="7" s="1"/>
  <c r="Q405" i="7" a="1"/>
  <c r="Q405" i="7" s="1"/>
  <c r="Q481" i="7" a="1"/>
  <c r="Q481" i="7" s="1"/>
  <c r="Q545" i="7" a="1"/>
  <c r="Q545" i="7" s="1"/>
  <c r="Q609" i="7" a="1"/>
  <c r="Q609" i="7" s="1"/>
  <c r="Q142" i="7" a="1"/>
  <c r="Q142" i="7" s="1"/>
  <c r="Q362" i="7" a="1"/>
  <c r="Q362" i="7" s="1"/>
  <c r="Q522" i="7" a="1"/>
  <c r="Q522" i="7" s="1"/>
  <c r="Q337" i="7" a="1"/>
  <c r="Q337" i="7" s="1"/>
  <c r="Q412" i="7" a="1"/>
  <c r="Q412" i="7" s="1"/>
  <c r="Q73" i="7" a="1"/>
  <c r="Q73" i="7" s="1"/>
  <c r="Q256" i="7" a="1"/>
  <c r="Q256" i="7" s="1"/>
  <c r="Q141" i="7" a="1"/>
  <c r="Q141" i="7" s="1"/>
  <c r="Q328" i="7" a="1"/>
  <c r="Q328" i="7" s="1"/>
  <c r="Q426" i="7" a="1"/>
  <c r="Q426" i="7" s="1"/>
  <c r="Q497" i="7" a="1"/>
  <c r="Q497" i="7" s="1"/>
  <c r="Q561" i="7" a="1"/>
  <c r="Q561" i="7" s="1"/>
  <c r="Q625" i="7" a="1"/>
  <c r="Q625" i="7" s="1"/>
  <c r="Q193" i="7" a="1"/>
  <c r="Q193" i="7" s="1"/>
  <c r="Q417" i="7" a="1"/>
  <c r="Q417" i="7" s="1"/>
  <c r="Q555" i="7" a="1"/>
  <c r="Q555" i="7" s="1"/>
  <c r="Q270" i="7" a="1"/>
  <c r="Q270" i="7" s="1"/>
  <c r="Q353" i="7" a="1"/>
  <c r="Q353" i="7" s="1"/>
  <c r="Q175" i="7" a="1"/>
  <c r="Q175" i="7" s="1"/>
  <c r="Q190" i="7" a="1"/>
  <c r="Q190" i="7" s="1"/>
  <c r="Q216" i="7" a="1"/>
  <c r="Q216" i="7" s="1"/>
  <c r="Q352" i="7" a="1"/>
  <c r="Q352" i="7" s="1"/>
  <c r="Q447" i="7" a="1"/>
  <c r="Q447" i="7" s="1"/>
  <c r="Q513" i="7" a="1"/>
  <c r="Q513" i="7" s="1"/>
  <c r="Q577" i="7" a="1"/>
  <c r="Q577" i="7" s="1"/>
  <c r="Q13" i="7" a="1"/>
  <c r="Q13" i="7" s="1"/>
  <c r="Q242" i="7" a="1"/>
  <c r="Q242" i="7" s="1"/>
  <c r="Q458" i="7" a="1"/>
  <c r="Q458" i="7" s="1"/>
  <c r="Q587" i="7" a="1"/>
  <c r="Q587" i="7" s="1"/>
  <c r="Q170" i="7" a="1"/>
  <c r="Q170" i="7" s="1"/>
  <c r="Q291" i="7" a="1"/>
  <c r="Q291" i="7" s="1"/>
  <c r="Q111" i="7" a="1"/>
  <c r="Q111" i="7" s="1"/>
  <c r="Q129" i="7" a="1"/>
  <c r="Q129" i="7" s="1"/>
  <c r="Q12" i="7" a="1"/>
  <c r="Q12" i="7" s="1"/>
  <c r="Q258" i="7" a="1"/>
  <c r="Q258" i="7" s="1"/>
  <c r="Q378" i="7" a="1"/>
  <c r="Q378" i="7" s="1"/>
  <c r="Q465" i="7" a="1"/>
  <c r="Q465" i="7" s="1"/>
  <c r="Q529" i="7" a="1"/>
  <c r="Q529" i="7" s="1"/>
  <c r="Q593" i="7" a="1"/>
  <c r="Q593" i="7" s="1"/>
  <c r="Q78" i="7" a="1"/>
  <c r="Q78" i="7" s="1"/>
  <c r="Q290" i="7" a="1"/>
  <c r="Q290" i="7" s="1"/>
  <c r="Q490" i="7" a="1"/>
  <c r="Q490" i="7" s="1"/>
  <c r="Q626" i="7" a="1"/>
  <c r="Q626" i="7" s="1"/>
  <c r="Q42" i="7" a="1"/>
  <c r="Q42" i="7" s="1"/>
  <c r="Q195" i="7" a="1"/>
  <c r="Q195" i="7" s="1"/>
  <c r="Q47" i="7" a="1"/>
  <c r="Q47" i="7" s="1"/>
  <c r="Q65" i="7" a="1"/>
  <c r="Q65" i="7" s="1"/>
  <c r="Q25" i="7" a="1"/>
  <c r="Q25" i="7" s="1"/>
  <c r="Q89" i="7" a="1"/>
  <c r="Q89" i="7" s="1"/>
  <c r="Q153" i="7" a="1"/>
  <c r="Q153" i="7" s="1"/>
  <c r="Q225" i="7" a="1"/>
  <c r="Q225" i="7" s="1"/>
  <c r="Q267" i="7" a="1"/>
  <c r="Q267" i="7" s="1"/>
  <c r="Q302" i="7" a="1"/>
  <c r="Q302" i="7" s="1"/>
  <c r="Q334" i="7" a="1"/>
  <c r="Q334" i="7" s="1"/>
  <c r="Q356" i="7" a="1"/>
  <c r="Q356" i="7" s="1"/>
  <c r="Q386" i="7" a="1"/>
  <c r="Q386" i="7" s="1"/>
  <c r="Q410" i="7" a="1"/>
  <c r="Q410" i="7" s="1"/>
  <c r="Q431" i="7" a="1"/>
  <c r="Q431" i="7" s="1"/>
  <c r="Q453" i="7" a="1"/>
  <c r="Q453" i="7" s="1"/>
  <c r="Q469" i="7" a="1"/>
  <c r="Q469" i="7" s="1"/>
  <c r="Q485" i="7" a="1"/>
  <c r="Q485" i="7" s="1"/>
  <c r="Q501" i="7" a="1"/>
  <c r="Q501" i="7" s="1"/>
  <c r="Q517" i="7" a="1"/>
  <c r="Q517" i="7" s="1"/>
  <c r="Q533" i="7" a="1"/>
  <c r="Q533" i="7" s="1"/>
  <c r="Q548" i="7" a="1"/>
  <c r="Q548" i="7" s="1"/>
  <c r="Q564" i="7" a="1"/>
  <c r="Q564" i="7" s="1"/>
  <c r="Q580" i="7" a="1"/>
  <c r="Q580" i="7" s="1"/>
  <c r="Q596" i="7" a="1"/>
  <c r="Q596" i="7" s="1"/>
  <c r="Q612" i="7" a="1"/>
  <c r="Q612" i="7" s="1"/>
  <c r="Q628" i="7" a="1"/>
  <c r="Q628" i="7" s="1"/>
  <c r="Q26" i="7" a="1"/>
  <c r="Q26" i="7" s="1"/>
  <c r="Q90" i="7" a="1"/>
  <c r="Q90" i="7" s="1"/>
  <c r="Q154" i="7" a="1"/>
  <c r="Q154" i="7" s="1"/>
  <c r="Q207" i="7" a="1"/>
  <c r="Q207" i="7" s="1"/>
  <c r="Q251" i="7" a="1"/>
  <c r="Q251" i="7" s="1"/>
  <c r="Q303" i="7" a="1"/>
  <c r="Q303" i="7" s="1"/>
  <c r="Q379" i="7" a="1"/>
  <c r="Q379" i="7" s="1"/>
  <c r="Q427" i="7" a="1"/>
  <c r="Q427" i="7" s="1"/>
  <c r="Q466" i="7" a="1"/>
  <c r="Q466" i="7" s="1"/>
  <c r="Q498" i="7" a="1"/>
  <c r="Q498" i="7" s="1"/>
  <c r="Q530" i="7" a="1"/>
  <c r="Q530" i="7" s="1"/>
  <c r="Q562" i="7" a="1"/>
  <c r="Q562" i="7" s="1"/>
  <c r="Q594" i="7" a="1"/>
  <c r="Q594" i="7" s="1"/>
  <c r="Q389" i="7" a="1"/>
  <c r="Q389" i="7" s="1"/>
  <c r="Q321" i="7" a="1"/>
  <c r="Q321" i="7" s="1"/>
  <c r="Q241" i="7" a="1"/>
  <c r="Q241" i="7" s="1"/>
  <c r="Q138" i="7" a="1"/>
  <c r="Q138" i="7" s="1"/>
  <c r="Q16" i="7" a="1"/>
  <c r="Q16" i="7" s="1"/>
  <c r="Q396" i="7" a="1"/>
  <c r="Q396" i="7" s="1"/>
  <c r="Q339" i="7" a="1"/>
  <c r="Q339" i="7" s="1"/>
  <c r="Q261" i="7" a="1"/>
  <c r="Q261" i="7" s="1"/>
  <c r="Q169" i="7" a="1"/>
  <c r="Q169" i="7" s="1"/>
  <c r="Q41" i="7" a="1"/>
  <c r="Q41" i="7" s="1"/>
  <c r="Q159" i="7" a="1"/>
  <c r="Q159" i="7" s="1"/>
  <c r="Q95" i="7" a="1"/>
  <c r="Q95" i="7" s="1"/>
  <c r="Q31" i="7" a="1"/>
  <c r="Q31" i="7" s="1"/>
  <c r="Q240" i="7" a="1"/>
  <c r="Q240" i="7" s="1"/>
  <c r="Q177" i="7" a="1"/>
  <c r="Q177" i="7" s="1"/>
  <c r="Q113" i="7" a="1"/>
  <c r="Q113" i="7" s="1"/>
  <c r="Q2" i="7" a="1"/>
  <c r="Q2" i="7" s="1"/>
  <c r="Q32" i="7" a="1"/>
  <c r="Q32" i="7" s="1"/>
  <c r="Q45" i="7" a="1"/>
  <c r="Q45" i="7" s="1"/>
  <c r="Q57" i="7" a="1"/>
  <c r="Q57" i="7" s="1"/>
  <c r="Q83" i="7" a="1"/>
  <c r="Q83" i="7" s="1"/>
  <c r="Q96" i="7" a="1"/>
  <c r="Q96" i="7" s="1"/>
  <c r="Q109" i="7" a="1"/>
  <c r="Q109" i="7" s="1"/>
  <c r="Q121" i="7" a="1"/>
  <c r="Q121" i="7" s="1"/>
  <c r="Q147" i="7" a="1"/>
  <c r="Q147" i="7" s="1"/>
  <c r="Q160" i="7" a="1"/>
  <c r="Q160" i="7" s="1"/>
  <c r="Q173" i="7" a="1"/>
  <c r="Q173" i="7" s="1"/>
  <c r="Q185" i="7" a="1"/>
  <c r="Q185" i="7" s="1"/>
  <c r="Q199" i="7" a="1"/>
  <c r="Q199" i="7" s="1"/>
  <c r="Q212" i="7" a="1"/>
  <c r="Q212" i="7" s="1"/>
  <c r="Q220" i="7" a="1"/>
  <c r="Q220" i="7" s="1"/>
  <c r="Q229" i="7" a="1"/>
  <c r="Q229" i="7" s="1"/>
  <c r="Q254" i="7" a="1"/>
  <c r="Q254" i="7" s="1"/>
  <c r="Q263" i="7" a="1"/>
  <c r="Q263" i="7" s="1"/>
  <c r="Q271" i="7" a="1"/>
  <c r="Q271" i="7" s="1"/>
  <c r="Q280" i="7" a="1"/>
  <c r="Q280" i="7" s="1"/>
  <c r="Q286" i="7" a="1"/>
  <c r="Q286" i="7" s="1"/>
  <c r="Q293" i="7" a="1"/>
  <c r="Q293" i="7" s="1"/>
  <c r="Q299" i="7" a="1"/>
  <c r="Q299" i="7" s="1"/>
  <c r="Q312" i="7" a="1"/>
  <c r="Q312" i="7" s="1"/>
  <c r="Q318" i="7" a="1"/>
  <c r="Q318" i="7" s="1"/>
  <c r="Q325" i="7" a="1"/>
  <c r="Q325" i="7" s="1"/>
  <c r="Q331" i="7" a="1"/>
  <c r="Q331" i="7" s="1"/>
  <c r="Q344" i="7" a="1"/>
  <c r="Q344" i="7" s="1"/>
  <c r="Q350" i="7" a="1"/>
  <c r="Q350" i="7" s="1"/>
  <c r="Q354" i="7" a="1"/>
  <c r="Q354" i="7" s="1"/>
  <c r="Q364" i="7" a="1"/>
  <c r="Q364" i="7" s="1"/>
  <c r="Q369" i="7" a="1"/>
  <c r="Q369" i="7" s="1"/>
  <c r="Q382" i="7" a="1"/>
  <c r="Q382" i="7" s="1"/>
  <c r="Q390" i="7" a="1"/>
  <c r="Q390" i="7" s="1"/>
  <c r="Q397" i="7" a="1"/>
  <c r="Q397" i="7" s="1"/>
  <c r="Q402" i="7" a="1"/>
  <c r="Q402" i="7" s="1"/>
  <c r="Q407" i="7" a="1"/>
  <c r="Q407" i="7" s="1"/>
  <c r="Q413" i="7" a="1"/>
  <c r="Q413" i="7" s="1"/>
  <c r="Q418" i="7" a="1"/>
  <c r="Q418" i="7" s="1"/>
  <c r="Q423" i="7" a="1"/>
  <c r="Q423" i="7" s="1"/>
  <c r="Q429" i="7" a="1"/>
  <c r="Q429" i="7" s="1"/>
  <c r="Q434" i="7" a="1"/>
  <c r="Q434" i="7" s="1"/>
  <c r="Q439" i="7" a="1"/>
  <c r="Q439" i="7" s="1"/>
  <c r="Q445" i="7" a="1"/>
  <c r="Q445" i="7" s="1"/>
  <c r="Q450" i="7" a="1"/>
  <c r="Q450" i="7" s="1"/>
  <c r="Q455" i="7" a="1"/>
  <c r="Q455" i="7" s="1"/>
  <c r="Q459" i="7" a="1"/>
  <c r="Q459" i="7" s="1"/>
  <c r="Q463" i="7" a="1"/>
  <c r="Q463" i="7" s="1"/>
  <c r="Q467" i="7" a="1"/>
  <c r="Q467" i="7" s="1"/>
  <c r="Q471" i="7" a="1"/>
  <c r="Q471" i="7" s="1"/>
  <c r="Q475" i="7" a="1"/>
  <c r="Q475" i="7" s="1"/>
  <c r="Q479" i="7" a="1"/>
  <c r="Q479" i="7" s="1"/>
  <c r="Q483" i="7" a="1"/>
  <c r="Q483" i="7" s="1"/>
  <c r="Q487" i="7" a="1"/>
  <c r="Q487" i="7" s="1"/>
  <c r="Q491" i="7" a="1"/>
  <c r="Q491" i="7" s="1"/>
  <c r="Q495" i="7" a="1"/>
  <c r="Q495" i="7" s="1"/>
  <c r="Q499" i="7" a="1"/>
  <c r="Q499" i="7" s="1"/>
  <c r="Q503" i="7" a="1"/>
  <c r="Q503" i="7" s="1"/>
  <c r="Q19" i="7" a="1"/>
  <c r="Q19" i="7" s="1"/>
  <c r="Q20" i="7" a="1"/>
  <c r="Q20" i="7" s="1"/>
  <c r="Q84" i="7" a="1"/>
  <c r="Q84" i="7" s="1"/>
  <c r="Q135" i="7" a="1"/>
  <c r="Q135" i="7" s="1"/>
  <c r="Q264" i="7" a="1"/>
  <c r="Q264" i="7" s="1"/>
  <c r="Q319" i="7" a="1"/>
  <c r="Q319" i="7" s="1"/>
  <c r="Q345" i="7" a="1"/>
  <c r="Q345" i="7" s="1"/>
  <c r="Q391" i="7" a="1"/>
  <c r="Q391" i="7" s="1"/>
  <c r="Q414" i="7" a="1"/>
  <c r="Q414" i="7" s="1"/>
  <c r="Q435" i="7" a="1"/>
  <c r="Q435" i="7" s="1"/>
  <c r="Q456" i="7" a="1"/>
  <c r="Q456" i="7" s="1"/>
  <c r="Q472" i="7" a="1"/>
  <c r="Q472" i="7" s="1"/>
  <c r="Q488" i="7" a="1"/>
  <c r="Q488" i="7" s="1"/>
  <c r="Q504" i="7" a="1"/>
  <c r="Q504" i="7" s="1"/>
  <c r="Q512" i="7" a="1"/>
  <c r="Q512" i="7" s="1"/>
  <c r="Q520" i="7" a="1"/>
  <c r="Q520" i="7" s="1"/>
  <c r="Q528" i="7" a="1"/>
  <c r="Q528" i="7" s="1"/>
  <c r="Q536" i="7" a="1"/>
  <c r="Q536" i="7" s="1"/>
  <c r="Q544" i="7" a="1"/>
  <c r="Q544" i="7" s="1"/>
  <c r="Q551" i="7" a="1"/>
  <c r="Q551" i="7" s="1"/>
  <c r="Q557" i="7" a="1"/>
  <c r="Q557" i="7" s="1"/>
  <c r="Q563" i="7" a="1"/>
  <c r="Q563" i="7" s="1"/>
  <c r="Q570" i="7" a="1"/>
  <c r="Q570" i="7" s="1"/>
  <c r="Q583" i="7" a="1"/>
  <c r="Q583" i="7" s="1"/>
  <c r="Q589" i="7" a="1"/>
  <c r="Q589" i="7" s="1"/>
  <c r="Q595" i="7" a="1"/>
  <c r="Q595" i="7" s="1"/>
  <c r="Q602" i="7" a="1"/>
  <c r="Q602" i="7" s="1"/>
  <c r="Q615" i="7" a="1"/>
  <c r="Q615" i="7" s="1"/>
  <c r="Q621" i="7" a="1"/>
  <c r="Q621" i="7" s="1"/>
  <c r="Q627" i="7" a="1"/>
  <c r="Q627" i="7" s="1"/>
  <c r="Q3" i="7" a="1"/>
  <c r="Q3" i="7" s="1"/>
  <c r="Q122" i="7" a="1"/>
  <c r="Q122" i="7" s="1"/>
  <c r="Q255" i="7" a="1"/>
  <c r="Q255" i="7" s="1"/>
  <c r="Q287" i="7" a="1"/>
  <c r="Q287" i="7" s="1"/>
  <c r="Q313" i="7" a="1"/>
  <c r="Q313" i="7" s="1"/>
  <c r="Q338" i="7" a="1"/>
  <c r="Q338" i="7" s="1"/>
  <c r="Q359" i="7" a="1"/>
  <c r="Q359" i="7" s="1"/>
  <c r="Q383" i="7" a="1"/>
  <c r="Q383" i="7" s="1"/>
  <c r="Q409" i="7" a="1"/>
  <c r="Q409" i="7" s="1"/>
  <c r="Q430" i="7" a="1"/>
  <c r="Q430" i="7" s="1"/>
  <c r="Q468" i="7" a="1"/>
  <c r="Q468" i="7" s="1"/>
  <c r="Q484" i="7" a="1"/>
  <c r="Q484" i="7" s="1"/>
  <c r="Q500" i="7" a="1"/>
  <c r="Q500" i="7" s="1"/>
  <c r="Q511" i="7" a="1"/>
  <c r="Q511" i="7" s="1"/>
  <c r="Q519" i="7" a="1"/>
  <c r="Q519" i="7" s="1"/>
  <c r="Q527" i="7" a="1"/>
  <c r="Q527" i="7" s="1"/>
  <c r="Q535" i="7" a="1"/>
  <c r="Q535" i="7" s="1"/>
  <c r="Q543" i="7" a="1"/>
  <c r="Q543" i="7" s="1"/>
  <c r="Q569" i="7" a="1"/>
  <c r="Q569" i="7" s="1"/>
  <c r="Q582" i="7" a="1"/>
  <c r="Q582" i="7" s="1"/>
  <c r="Q614" i="7" a="1"/>
  <c r="Q614" i="7" s="1"/>
  <c r="Q46" i="7" a="1"/>
  <c r="Q46" i="7" s="1"/>
  <c r="Q148" i="7" a="1"/>
  <c r="Q148" i="7" s="1"/>
  <c r="Q200" i="7" a="1"/>
  <c r="Q200" i="7" s="1"/>
  <c r="Q238" i="7" a="1"/>
  <c r="Q238" i="7" s="1"/>
  <c r="Q273" i="7" a="1"/>
  <c r="Q273" i="7" s="1"/>
  <c r="Q300" i="7" a="1"/>
  <c r="Q300" i="7" s="1"/>
  <c r="Q370" i="7" a="1"/>
  <c r="Q370" i="7" s="1"/>
  <c r="Q398" i="7" a="1"/>
  <c r="Q398" i="7" s="1"/>
  <c r="Q419" i="7" a="1"/>
  <c r="Q419" i="7" s="1"/>
  <c r="Q441" i="7" a="1"/>
  <c r="Q441" i="7" s="1"/>
  <c r="Q460" i="7" a="1"/>
  <c r="Q460" i="7" s="1"/>
  <c r="Q476" i="7" a="1"/>
  <c r="Q476" i="7" s="1"/>
  <c r="Q492" i="7" a="1"/>
  <c r="Q492" i="7" s="1"/>
  <c r="Q507" i="7" a="1"/>
  <c r="Q507" i="7" s="1"/>
  <c r="Q515" i="7" a="1"/>
  <c r="Q515" i="7" s="1"/>
  <c r="Q523" i="7" a="1"/>
  <c r="Q523" i="7" s="1"/>
  <c r="Q531" i="7" a="1"/>
  <c r="Q531" i="7" s="1"/>
  <c r="Q539" i="7" a="1"/>
  <c r="Q539" i="7" s="1"/>
  <c r="Q553" i="7" a="1"/>
  <c r="Q553" i="7" s="1"/>
  <c r="Q560" i="7" a="1"/>
  <c r="Q560" i="7" s="1"/>
  <c r="Q566" i="7" a="1"/>
  <c r="Q566" i="7" s="1"/>
  <c r="Q572" i="7" a="1"/>
  <c r="Q572" i="7" s="1"/>
  <c r="Q585" i="7" a="1"/>
  <c r="Q585" i="7" s="1"/>
  <c r="Q592" i="7" a="1"/>
  <c r="Q592" i="7" s="1"/>
  <c r="Q598" i="7" a="1"/>
  <c r="Q598" i="7" s="1"/>
  <c r="Q604" i="7" a="1"/>
  <c r="Q604" i="7" s="1"/>
  <c r="Q617" i="7" a="1"/>
  <c r="Q617" i="7" s="1"/>
  <c r="Q624" i="7" a="1"/>
  <c r="Q624" i="7" s="1"/>
  <c r="Q630" i="7" a="1"/>
  <c r="Q630" i="7" s="1"/>
  <c r="Q6" i="7" a="1"/>
  <c r="Q6" i="7" s="1"/>
  <c r="Q110" i="7" a="1"/>
  <c r="Q110" i="7" s="1"/>
  <c r="Q332" i="7" a="1"/>
  <c r="Q332" i="7" s="1"/>
  <c r="Q403" i="7" a="1"/>
  <c r="Q403" i="7" s="1"/>
  <c r="Q425" i="7" a="1"/>
  <c r="Q425" i="7" s="1"/>
  <c r="Q464" i="7" a="1"/>
  <c r="Q464" i="7" s="1"/>
  <c r="Q496" i="7" a="1"/>
  <c r="Q496" i="7" s="1"/>
  <c r="Q508" i="7" a="1"/>
  <c r="Q508" i="7" s="1"/>
  <c r="Q524" i="7" a="1"/>
  <c r="Q524" i="7" s="1"/>
  <c r="Q540" i="7" a="1"/>
  <c r="Q540" i="7" s="1"/>
  <c r="Q554" i="7" a="1"/>
  <c r="Q554" i="7" s="1"/>
  <c r="Q573" i="7" a="1"/>
  <c r="Q573" i="7" s="1"/>
  <c r="Q586" i="7" a="1"/>
  <c r="Q586" i="7" s="1"/>
  <c r="Q605" i="7" a="1"/>
  <c r="Q605" i="7" s="1"/>
  <c r="Q611" i="7" a="1"/>
  <c r="Q611" i="7" s="1"/>
  <c r="Q631" i="7" a="1"/>
  <c r="Q631" i="7" s="1"/>
  <c r="Q550" i="7" a="1"/>
  <c r="Q550" i="7" s="1"/>
  <c r="Q601" i="7" a="1"/>
  <c r="Q601" i="7" s="1"/>
  <c r="Q620" i="7" a="1"/>
  <c r="Q620" i="7" s="1"/>
  <c r="Q58" i="7" a="1"/>
  <c r="Q58" i="7" s="1"/>
  <c r="Q213" i="7" a="1"/>
  <c r="Q213" i="7" s="1"/>
  <c r="Q247" i="7" a="1"/>
  <c r="Q247" i="7" s="1"/>
  <c r="Q281" i="7" a="1"/>
  <c r="Q281" i="7" s="1"/>
  <c r="Q306" i="7" a="1"/>
  <c r="Q306" i="7" s="1"/>
  <c r="Q375" i="7" a="1"/>
  <c r="Q375" i="7" s="1"/>
  <c r="Q446" i="7" a="1"/>
  <c r="Q446" i="7" s="1"/>
  <c r="Q480" i="7" a="1"/>
  <c r="Q480" i="7" s="1"/>
  <c r="Q516" i="7" a="1"/>
  <c r="Q516" i="7" s="1"/>
  <c r="Q532" i="7" a="1"/>
  <c r="Q532" i="7" s="1"/>
  <c r="Q547" i="7" a="1"/>
  <c r="Q547" i="7" s="1"/>
  <c r="Q567" i="7" a="1"/>
  <c r="Q567" i="7" s="1"/>
  <c r="Q579" i="7" a="1"/>
  <c r="Q579" i="7" s="1"/>
  <c r="Q599" i="7" a="1"/>
  <c r="Q599" i="7" s="1"/>
  <c r="Q618" i="7" a="1"/>
  <c r="Q618" i="7" s="1"/>
  <c r="Q451" i="7" a="1"/>
  <c r="Q451" i="7" s="1"/>
  <c r="Q556" i="7" a="1"/>
  <c r="Q556" i="7" s="1"/>
  <c r="Q576" i="7" a="1"/>
  <c r="Q576" i="7" s="1"/>
  <c r="Q588" i="7" a="1"/>
  <c r="Q588" i="7" s="1"/>
  <c r="Q608" i="7" a="1"/>
  <c r="Q608" i="7" s="1"/>
  <c r="Q633" i="7" a="1"/>
  <c r="Q633" i="7" s="1"/>
  <c r="Q71" i="7" a="1"/>
  <c r="Q71" i="7" s="1"/>
  <c r="Q174" i="7" a="1"/>
  <c r="Q174" i="7" s="1"/>
  <c r="Q7" i="7" a="1"/>
  <c r="Q7" i="7" s="1"/>
  <c r="Q21" i="7" a="1"/>
  <c r="Q21" i="7" s="1"/>
  <c r="Q37" i="7" a="1"/>
  <c r="Q37" i="7" s="1"/>
  <c r="Q53" i="7" a="1"/>
  <c r="Q53" i="7" s="1"/>
  <c r="Q69" i="7" a="1"/>
  <c r="Q69" i="7" s="1"/>
  <c r="Q85" i="7" a="1"/>
  <c r="Q85" i="7" s="1"/>
  <c r="Q101" i="7" a="1"/>
  <c r="Q101" i="7" s="1"/>
  <c r="Q117" i="7" a="1"/>
  <c r="Q117" i="7" s="1"/>
  <c r="Q133" i="7" a="1"/>
  <c r="Q133" i="7" s="1"/>
  <c r="Q149" i="7" a="1"/>
  <c r="Q149" i="7" s="1"/>
  <c r="Q165" i="7" a="1"/>
  <c r="Q165" i="7" s="1"/>
  <c r="Q180" i="7" a="1"/>
  <c r="Q180" i="7" s="1"/>
  <c r="Q197" i="7" a="1"/>
  <c r="Q197" i="7" s="1"/>
  <c r="Q211" i="7" a="1"/>
  <c r="Q211" i="7" s="1"/>
  <c r="Q227" i="7" a="1"/>
  <c r="Q227" i="7" s="1"/>
  <c r="Q243" i="7" a="1"/>
  <c r="Q243" i="7" s="1"/>
  <c r="Q259" i="7" a="1"/>
  <c r="Q259" i="7" s="1"/>
  <c r="Q275" i="7" a="1"/>
  <c r="Q275" i="7" s="1"/>
  <c r="Q18" i="7" a="1"/>
  <c r="Q18" i="7" s="1"/>
  <c r="Q34" i="7" a="1"/>
  <c r="Q34" i="7" s="1"/>
  <c r="Q50" i="7" a="1"/>
  <c r="Q50" i="7" s="1"/>
  <c r="Q66" i="7" a="1"/>
  <c r="Q66" i="7" s="1"/>
  <c r="Q82" i="7" a="1"/>
  <c r="Q82" i="7" s="1"/>
  <c r="Q98" i="7" a="1"/>
  <c r="Q98" i="7" s="1"/>
  <c r="Q114" i="7" a="1"/>
  <c r="Q114" i="7" s="1"/>
  <c r="Q130" i="7" a="1"/>
  <c r="Q130" i="7" s="1"/>
  <c r="Q146" i="7" a="1"/>
  <c r="Q146" i="7" s="1"/>
  <c r="Q162" i="7" a="1"/>
  <c r="Q162" i="7" s="1"/>
  <c r="Q178" i="7" a="1"/>
  <c r="Q178" i="7" s="1"/>
  <c r="Q194" i="7" a="1"/>
  <c r="Q194" i="7" s="1"/>
  <c r="Q15" i="7" a="1"/>
  <c r="Q15" i="7" s="1"/>
  <c r="Q48" i="7" a="1"/>
  <c r="Q48" i="7" s="1"/>
  <c r="Q80" i="7" a="1"/>
  <c r="Q80" i="7" s="1"/>
  <c r="Q112" i="7" a="1"/>
  <c r="Q112" i="7" s="1"/>
  <c r="Q144" i="7" a="1"/>
  <c r="Q144" i="7" s="1"/>
  <c r="Q176" i="7" a="1"/>
  <c r="Q176" i="7" s="1"/>
  <c r="Q202" i="7" a="1"/>
  <c r="Q202" i="7" s="1"/>
  <c r="Q231" i="7" a="1"/>
  <c r="Q231" i="7" s="1"/>
  <c r="Q248" i="7" a="1"/>
  <c r="Q248" i="7" s="1"/>
  <c r="Q265" i="7" a="1"/>
  <c r="Q265" i="7" s="1"/>
  <c r="Q294" i="7" a="1"/>
  <c r="Q294" i="7" s="1"/>
  <c r="Q310" i="7" a="1"/>
  <c r="Q310" i="7" s="1"/>
  <c r="Q326" i="7" a="1"/>
  <c r="Q326" i="7" s="1"/>
  <c r="Q342" i="7" a="1"/>
  <c r="Q342" i="7" s="1"/>
  <c r="Q355" i="7" a="1"/>
  <c r="Q355" i="7" s="1"/>
  <c r="Q368" i="7" a="1"/>
  <c r="Q368" i="7" s="1"/>
  <c r="Q384" i="7" a="1"/>
  <c r="Q384" i="7" s="1"/>
  <c r="Q400" i="7" a="1"/>
  <c r="Q400" i="7" s="1"/>
  <c r="Q416" i="7" a="1"/>
  <c r="Q416" i="7" s="1"/>
  <c r="Q432" i="7" a="1"/>
  <c r="Q432" i="7" s="1"/>
  <c r="Q448" i="7" a="1"/>
  <c r="Q448" i="7" s="1"/>
  <c r="Q23" i="7" a="1"/>
  <c r="Q23" i="7" s="1"/>
  <c r="Q55" i="7" a="1"/>
  <c r="Q55" i="7" s="1"/>
  <c r="Q87" i="7" a="1"/>
  <c r="Q87" i="7" s="1"/>
  <c r="Q119" i="7" a="1"/>
  <c r="Q119" i="7" s="1"/>
  <c r="Q151" i="7" a="1"/>
  <c r="Q151" i="7" s="1"/>
  <c r="Q182" i="7" a="1"/>
  <c r="Q182" i="7" s="1"/>
  <c r="Q210" i="7" a="1"/>
  <c r="Q210" i="7" s="1"/>
  <c r="Q228" i="7" a="1"/>
  <c r="Q228" i="7" s="1"/>
  <c r="Q245" i="7" a="1"/>
  <c r="Q245" i="7" s="1"/>
  <c r="Q274" i="7" a="1"/>
  <c r="Q274" i="7" s="1"/>
  <c r="Q292" i="7" a="1"/>
  <c r="Q292" i="7" s="1"/>
  <c r="Q308" i="7" a="1"/>
  <c r="Q308" i="7" s="1"/>
  <c r="Q324" i="7" a="1"/>
  <c r="Q324" i="7" s="1"/>
  <c r="Q340" i="7" a="1"/>
  <c r="Q340" i="7" s="1"/>
  <c r="Q363" i="7" a="1"/>
  <c r="Q363" i="7" s="1"/>
  <c r="Q377" i="7" a="1"/>
  <c r="Q377" i="7" s="1"/>
  <c r="Q393" i="7" a="1"/>
  <c r="Q393" i="7" s="1"/>
  <c r="Q623" i="7" a="1"/>
  <c r="Q623" i="7" s="1"/>
  <c r="Q607" i="7" a="1"/>
  <c r="Q607" i="7" s="1"/>
  <c r="Q591" i="7" a="1"/>
  <c r="Q591" i="7" s="1"/>
  <c r="Q575" i="7" a="1"/>
  <c r="Q575" i="7" s="1"/>
  <c r="Q559" i="7" a="1"/>
  <c r="Q559" i="7" s="1"/>
  <c r="Q542" i="7" a="1"/>
  <c r="Q542" i="7" s="1"/>
  <c r="Q526" i="7" a="1"/>
  <c r="Q526" i="7" s="1"/>
  <c r="Q510" i="7" a="1"/>
  <c r="Q510" i="7" s="1"/>
  <c r="Q494" i="7" a="1"/>
  <c r="Q494" i="7" s="1"/>
  <c r="Q478" i="7" a="1"/>
  <c r="Q478" i="7" s="1"/>
  <c r="Q462" i="7" a="1"/>
  <c r="Q462" i="7" s="1"/>
  <c r="Q443" i="7" a="1"/>
  <c r="Q443" i="7" s="1"/>
  <c r="Q422" i="7" a="1"/>
  <c r="Q422" i="7" s="1"/>
  <c r="Q401" i="7" a="1"/>
  <c r="Q401" i="7" s="1"/>
  <c r="Q367" i="7" a="1"/>
  <c r="Q367" i="7" s="1"/>
  <c r="Q329" i="7" a="1"/>
  <c r="Q329" i="7" s="1"/>
  <c r="Q297" i="7" a="1"/>
  <c r="Q297" i="7" s="1"/>
  <c r="Q268" i="7" a="1"/>
  <c r="Q268" i="7" s="1"/>
  <c r="Q10" i="7" a="1"/>
  <c r="Q10" i="7" s="1"/>
  <c r="Q24" i="7" a="1"/>
  <c r="Q24" i="7" s="1"/>
  <c r="Q40" i="7" a="1"/>
  <c r="Q40" i="7" s="1"/>
  <c r="Q56" i="7" a="1"/>
  <c r="Q56" i="7" s="1"/>
  <c r="Q72" i="7" a="1"/>
  <c r="Q72" i="7" s="1"/>
  <c r="Q88" i="7" a="1"/>
  <c r="Q88" i="7" s="1"/>
  <c r="Q104" i="7" a="1"/>
  <c r="Q104" i="7" s="1"/>
  <c r="Q120" i="7" a="1"/>
  <c r="Q120" i="7" s="1"/>
  <c r="Q136" i="7" a="1"/>
  <c r="Q136" i="7" s="1"/>
  <c r="Q152" i="7" a="1"/>
  <c r="Q152" i="7" s="1"/>
  <c r="Q168" i="7" a="1"/>
  <c r="Q168" i="7" s="1"/>
  <c r="Q183" i="7" a="1"/>
  <c r="Q183" i="7" s="1"/>
  <c r="Q201" i="7" a="1"/>
  <c r="Q201" i="7" s="1"/>
  <c r="Q214" i="7" a="1"/>
  <c r="Q214" i="7" s="1"/>
  <c r="Q230" i="7" a="1"/>
  <c r="Q230" i="7" s="1"/>
  <c r="Q246" i="7" a="1"/>
  <c r="Q246" i="7" s="1"/>
  <c r="Q262" i="7" a="1"/>
  <c r="Q262" i="7" s="1"/>
  <c r="Q278" i="7" a="1"/>
  <c r="Q278" i="7" s="1"/>
  <c r="Q22" i="7" a="1"/>
  <c r="Q22" i="7" s="1"/>
  <c r="Q38" i="7" a="1"/>
  <c r="Q38" i="7" s="1"/>
  <c r="Q54" i="7" a="1"/>
  <c r="Q54" i="7" s="1"/>
  <c r="Q70" i="7" a="1"/>
  <c r="Q70" i="7" s="1"/>
  <c r="Q86" i="7" a="1"/>
  <c r="Q86" i="7" s="1"/>
  <c r="Q102" i="7" a="1"/>
  <c r="Q102" i="7" s="1"/>
  <c r="Q118" i="7" a="1"/>
  <c r="Q118" i="7" s="1"/>
  <c r="Q134" i="7" a="1"/>
  <c r="Q134" i="7" s="1"/>
  <c r="Q150" i="7" a="1"/>
  <c r="Q150" i="7" s="1"/>
  <c r="Q166" i="7" a="1"/>
  <c r="Q166" i="7" s="1"/>
  <c r="Q184" i="7" a="1"/>
  <c r="Q184" i="7" s="1"/>
  <c r="Q198" i="7" a="1"/>
  <c r="Q198" i="7" s="1"/>
  <c r="Q29" i="7" a="1"/>
  <c r="Q29" i="7" s="1"/>
  <c r="Q61" i="7" a="1"/>
  <c r="Q61" i="7" s="1"/>
  <c r="Q93" i="7" a="1"/>
  <c r="Q93" i="7" s="1"/>
  <c r="Q125" i="7" a="1"/>
  <c r="Q125" i="7" s="1"/>
  <c r="Q157" i="7" a="1"/>
  <c r="Q157" i="7" s="1"/>
  <c r="Q181" i="7" a="1"/>
  <c r="Q181" i="7" s="1"/>
  <c r="Q218" i="7" a="1"/>
  <c r="Q218" i="7" s="1"/>
  <c r="Q235" i="7" a="1"/>
  <c r="Q235" i="7" s="1"/>
  <c r="Q252" i="7" a="1"/>
  <c r="Q252" i="7" s="1"/>
  <c r="Q285" i="7" a="1"/>
  <c r="Q285" i="7" s="1"/>
  <c r="Q301" i="7" a="1"/>
  <c r="Q301" i="7" s="1"/>
  <c r="Q317" i="7" a="1"/>
  <c r="Q317" i="7" s="1"/>
  <c r="Q333" i="7" a="1"/>
  <c r="Q333" i="7" s="1"/>
  <c r="Q349" i="7" a="1"/>
  <c r="Q349" i="7" s="1"/>
  <c r="Q357" i="7" a="1"/>
  <c r="Q357" i="7" s="1"/>
  <c r="Q373" i="7" a="1"/>
  <c r="Q373" i="7" s="1"/>
  <c r="Q388" i="7" a="1"/>
  <c r="Q388" i="7" s="1"/>
  <c r="Q404" i="7" a="1"/>
  <c r="Q404" i="7" s="1"/>
  <c r="Q420" i="7" a="1"/>
  <c r="Q420" i="7" s="1"/>
  <c r="Q436" i="7" a="1"/>
  <c r="Q436" i="7" s="1"/>
  <c r="Q452" i="7" a="1"/>
  <c r="Q452" i="7" s="1"/>
  <c r="Q30" i="7" a="1"/>
  <c r="Q30" i="7" s="1"/>
  <c r="Q62" i="7" a="1"/>
  <c r="Q62" i="7" s="1"/>
  <c r="Q94" i="7" a="1"/>
  <c r="Q94" i="7" s="1"/>
  <c r="Q126" i="7" a="1"/>
  <c r="Q126" i="7" s="1"/>
  <c r="Q158" i="7" a="1"/>
  <c r="Q158" i="7" s="1"/>
  <c r="Q189" i="7" a="1"/>
  <c r="Q189" i="7" s="1"/>
  <c r="Q215" i="7" a="1"/>
  <c r="Q215" i="7" s="1"/>
  <c r="Q232" i="7" a="1"/>
  <c r="Q232" i="7" s="1"/>
  <c r="Q249" i="7" a="1"/>
  <c r="Q249" i="7" s="1"/>
  <c r="Q279" i="7" a="1"/>
  <c r="Q279" i="7" s="1"/>
  <c r="Q295" i="7" a="1"/>
  <c r="Q295" i="7" s="1"/>
  <c r="Q311" i="7" a="1"/>
  <c r="Q311" i="7" s="1"/>
  <c r="Q327" i="7" a="1"/>
  <c r="Q327" i="7" s="1"/>
  <c r="Q343" i="7" a="1"/>
  <c r="Q343" i="7" s="1"/>
  <c r="Q366" i="7" a="1"/>
  <c r="Q366" i="7" s="1"/>
  <c r="Q381" i="7" a="1"/>
  <c r="Q381" i="7" s="1"/>
  <c r="Q5" i="7" a="1"/>
  <c r="Q5" i="7" s="1"/>
  <c r="Q619" i="7" a="1"/>
  <c r="Q619" i="7" s="1"/>
  <c r="Q14" i="7" a="1"/>
  <c r="Q14" i="7" s="1"/>
  <c r="Q27" i="7" a="1"/>
  <c r="Q27" i="7" s="1"/>
  <c r="Q43" i="7" a="1"/>
  <c r="Q43" i="7" s="1"/>
  <c r="Q59" i="7" a="1"/>
  <c r="Q59" i="7" s="1"/>
  <c r="Q75" i="7" a="1"/>
  <c r="Q75" i="7" s="1"/>
  <c r="Q91" i="7" a="1"/>
  <c r="Q91" i="7" s="1"/>
  <c r="Q107" i="7" a="1"/>
  <c r="Q107" i="7" s="1"/>
  <c r="Q123" i="7" a="1"/>
  <c r="Q123" i="7" s="1"/>
  <c r="Q139" i="7" a="1"/>
  <c r="Q139" i="7" s="1"/>
  <c r="Q155" i="7" a="1"/>
  <c r="Q155" i="7" s="1"/>
  <c r="Q171" i="7" a="1"/>
  <c r="Q171" i="7" s="1"/>
  <c r="Q186" i="7" a="1"/>
  <c r="Q186" i="7" s="1"/>
  <c r="Q204" i="7" a="1"/>
  <c r="Q204" i="7" s="1"/>
  <c r="Q221" i="7" a="1"/>
  <c r="Q221" i="7" s="1"/>
  <c r="Q237" i="7" a="1"/>
  <c r="Q237" i="7" s="1"/>
  <c r="Q253" i="7" a="1"/>
  <c r="Q253" i="7" s="1"/>
  <c r="Q269" i="7" a="1"/>
  <c r="Q269" i="7" s="1"/>
  <c r="Q8" i="7" a="1"/>
  <c r="Q8" i="7" s="1"/>
  <c r="Q28" i="7" a="1"/>
  <c r="Q28" i="7" s="1"/>
  <c r="Q44" i="7" a="1"/>
  <c r="Q44" i="7" s="1"/>
  <c r="Q60" i="7" a="1"/>
  <c r="Q60" i="7" s="1"/>
  <c r="Q76" i="7" a="1"/>
  <c r="Q76" i="7" s="1"/>
  <c r="Q92" i="7" a="1"/>
  <c r="Q92" i="7" s="1"/>
  <c r="Q108" i="7" a="1"/>
  <c r="Q108" i="7" s="1"/>
  <c r="Q124" i="7" a="1"/>
  <c r="Q124" i="7" s="1"/>
  <c r="Q140" i="7" a="1"/>
  <c r="Q140" i="7" s="1"/>
  <c r="Q156" i="7" a="1"/>
  <c r="Q156" i="7" s="1"/>
  <c r="Q172" i="7" a="1"/>
  <c r="Q172" i="7" s="1"/>
  <c r="Q187" i="7" a="1"/>
  <c r="Q187" i="7" s="1"/>
  <c r="Q205" i="7" a="1"/>
  <c r="Q205" i="7" s="1"/>
  <c r="Q35" i="7" a="1"/>
  <c r="Q35" i="7" s="1"/>
  <c r="Q67" i="7" a="1"/>
  <c r="Q67" i="7" s="1"/>
  <c r="Q99" i="7" a="1"/>
  <c r="Q99" i="7" s="1"/>
  <c r="Q131" i="7" a="1"/>
  <c r="Q131" i="7" s="1"/>
  <c r="Q163" i="7" a="1"/>
  <c r="Q163" i="7" s="1"/>
  <c r="Q188" i="7" a="1"/>
  <c r="Q188" i="7" s="1"/>
  <c r="Q222" i="7" a="1"/>
  <c r="Q222" i="7" s="1"/>
  <c r="Q239" i="7" a="1"/>
  <c r="Q239" i="7" s="1"/>
  <c r="Q257" i="7" a="1"/>
  <c r="Q257" i="7" s="1"/>
  <c r="Q288" i="7" a="1"/>
  <c r="Q288" i="7" s="1"/>
  <c r="Q304" i="7" a="1"/>
  <c r="Q304" i="7" s="1"/>
  <c r="Q320" i="7" a="1"/>
  <c r="Q320" i="7" s="1"/>
  <c r="Q336" i="7" a="1"/>
  <c r="Q336" i="7" s="1"/>
  <c r="Q351" i="7" a="1"/>
  <c r="Q351" i="7" s="1"/>
  <c r="Q360" i="7" a="1"/>
  <c r="Q360" i="7" s="1"/>
  <c r="Q376" i="7" a="1"/>
  <c r="Q376" i="7" s="1"/>
  <c r="Q392" i="7" a="1"/>
  <c r="Q392" i="7" s="1"/>
  <c r="Q408" i="7" a="1"/>
  <c r="Q408" i="7" s="1"/>
  <c r="Q424" i="7" a="1"/>
  <c r="Q424" i="7" s="1"/>
  <c r="Q440" i="7" a="1"/>
  <c r="Q440" i="7" s="1"/>
  <c r="Q9" i="7" a="1"/>
  <c r="Q9" i="7" s="1"/>
  <c r="Q36" i="7" a="1"/>
  <c r="Q36" i="7" s="1"/>
  <c r="Q68" i="7" a="1"/>
  <c r="Q68" i="7" s="1"/>
  <c r="Q100" i="7" a="1"/>
  <c r="Q100" i="7" s="1"/>
  <c r="Q132" i="7" a="1"/>
  <c r="Q132" i="7" s="1"/>
  <c r="Q164" i="7" a="1"/>
  <c r="Q164" i="7" s="1"/>
  <c r="Q196" i="7" a="1"/>
  <c r="Q196" i="7" s="1"/>
  <c r="Q219" i="7" a="1"/>
  <c r="Q219" i="7" s="1"/>
  <c r="Q236" i="7" a="1"/>
  <c r="Q236" i="7" s="1"/>
  <c r="Q266" i="7" a="1"/>
  <c r="Q266" i="7" s="1"/>
  <c r="Q282" i="7" a="1"/>
  <c r="Q282" i="7" s="1"/>
  <c r="Q298" i="7" a="1"/>
  <c r="Q298" i="7" s="1"/>
  <c r="Q314" i="7" a="1"/>
  <c r="Q314" i="7" s="1"/>
  <c r="Q330" i="7" a="1"/>
  <c r="Q330" i="7" s="1"/>
  <c r="Q346" i="7" a="1"/>
  <c r="Q346" i="7" s="1"/>
  <c r="Q371" i="7" a="1"/>
  <c r="Q371" i="7" s="1"/>
  <c r="Q385" i="7" a="1"/>
  <c r="Q385" i="7" s="1"/>
  <c r="Q629" i="7" a="1"/>
  <c r="Q629" i="7" s="1"/>
  <c r="Q613" i="7" a="1"/>
  <c r="Q613" i="7" s="1"/>
  <c r="Q597" i="7" a="1"/>
  <c r="Q597" i="7" s="1"/>
  <c r="Q581" i="7" a="1"/>
  <c r="Q581" i="7" s="1"/>
  <c r="Q565" i="7" a="1"/>
  <c r="Q565" i="7" s="1"/>
  <c r="Q549" i="7" a="1"/>
  <c r="Q549" i="7" s="1"/>
  <c r="Q534" i="7" a="1"/>
  <c r="Q534" i="7" s="1"/>
  <c r="Q518" i="7" a="1"/>
  <c r="Q518" i="7" s="1"/>
  <c r="Q502" i="7" a="1"/>
  <c r="Q502" i="7" s="1"/>
  <c r="Q486" i="7" a="1"/>
  <c r="Q486" i="7" s="1"/>
  <c r="Q470" i="7" a="1"/>
  <c r="Q470" i="7" s="1"/>
  <c r="Q454" i="7" a="1"/>
  <c r="Q454" i="7" s="1"/>
  <c r="Q433" i="7" a="1"/>
  <c r="Q433" i="7" s="1"/>
  <c r="Q411" i="7" a="1"/>
  <c r="Q411" i="7" s="1"/>
  <c r="Q387" i="7" a="1"/>
  <c r="Q387" i="7" s="1"/>
  <c r="Q348" i="7" a="1"/>
  <c r="Q348" i="7" s="1"/>
  <c r="Q316" i="7" a="1"/>
  <c r="Q316" i="7" s="1"/>
  <c r="Q284" i="7" a="1"/>
  <c r="Q284" i="7" s="1"/>
  <c r="Q51" i="7" a="1"/>
  <c r="Q51" i="7" s="1"/>
  <c r="Q115" i="7" a="1"/>
  <c r="Q115" i="7" s="1"/>
  <c r="Q192" i="7" a="1"/>
  <c r="Q192" i="7" s="1"/>
  <c r="Q233" i="7" a="1"/>
  <c r="Q233" i="7" s="1"/>
  <c r="Q276" i="7" a="1"/>
  <c r="Q276" i="7" s="1"/>
  <c r="Q309" i="7" a="1"/>
  <c r="Q309" i="7" s="1"/>
  <c r="Q341" i="7" a="1"/>
  <c r="Q341" i="7" s="1"/>
  <c r="Q361" i="7" a="1"/>
  <c r="Q361" i="7" s="1"/>
  <c r="Q394" i="7" a="1"/>
  <c r="Q394" i="7" s="1"/>
  <c r="Q415" i="7" a="1"/>
  <c r="Q415" i="7" s="1"/>
  <c r="Q437" i="7" a="1"/>
  <c r="Q437" i="7" s="1"/>
  <c r="Q457" i="7" a="1"/>
  <c r="Q457" i="7" s="1"/>
  <c r="Q473" i="7" a="1"/>
  <c r="Q473" i="7" s="1"/>
  <c r="Q489" i="7" a="1"/>
  <c r="Q489" i="7" s="1"/>
  <c r="Q505" i="7" a="1"/>
  <c r="Q505" i="7" s="1"/>
  <c r="Q521" i="7" a="1"/>
  <c r="Q521" i="7" s="1"/>
  <c r="Q537" i="7" a="1"/>
  <c r="Q537" i="7" s="1"/>
  <c r="Q552" i="7" a="1"/>
  <c r="Q552" i="7" s="1"/>
  <c r="Q568" i="7" a="1"/>
  <c r="Q568" i="7" s="1"/>
  <c r="Q584" i="7" a="1"/>
  <c r="Q584" i="7" s="1"/>
  <c r="Q600" i="7" a="1"/>
  <c r="Q600" i="7" s="1"/>
  <c r="Q616" i="7" a="1"/>
  <c r="Q616" i="7" s="1"/>
  <c r="Q632" i="7" a="1"/>
  <c r="Q632" i="7" s="1"/>
  <c r="Q39" i="7" a="1"/>
  <c r="Q39" i="7" s="1"/>
  <c r="Q103" i="7" a="1"/>
  <c r="Q103" i="7" s="1"/>
  <c r="Q167" i="7" a="1"/>
  <c r="Q167" i="7" s="1"/>
  <c r="Q217" i="7" a="1"/>
  <c r="Q217" i="7" s="1"/>
  <c r="Q260" i="7" a="1"/>
  <c r="Q260" i="7" s="1"/>
  <c r="Q322" i="7" a="1"/>
  <c r="Q322" i="7" s="1"/>
  <c r="Q395" i="7" a="1"/>
  <c r="Q395" i="7" s="1"/>
  <c r="Q438" i="7" a="1"/>
  <c r="Q438" i="7" s="1"/>
  <c r="Q474" i="7" a="1"/>
  <c r="Q474" i="7" s="1"/>
  <c r="Q506" i="7" a="1"/>
  <c r="Q506" i="7" s="1"/>
  <c r="Q538" i="7" a="1"/>
  <c r="Q538" i="7" s="1"/>
  <c r="Q571" i="7" a="1"/>
  <c r="Q571" i="7" s="1"/>
  <c r="Q603" i="7" a="1"/>
  <c r="Q603" i="7" s="1"/>
  <c r="Q374" i="7" a="1"/>
  <c r="Q374" i="7" s="1"/>
  <c r="Q305" i="7" a="1"/>
  <c r="Q305" i="7" s="1"/>
  <c r="Q223" i="7" a="1"/>
  <c r="Q223" i="7" s="1"/>
  <c r="Q106" i="7" a="1"/>
  <c r="Q106" i="7" s="1"/>
  <c r="Q444" i="7" a="1"/>
  <c r="Q444" i="7" s="1"/>
  <c r="Q380" i="7" a="1"/>
  <c r="Q380" i="7" s="1"/>
  <c r="Q323" i="7" a="1"/>
  <c r="Q323" i="7" s="1"/>
  <c r="Q244" i="7" a="1"/>
  <c r="Q244" i="7" s="1"/>
  <c r="Q137" i="7" a="1"/>
  <c r="Q137" i="7" s="1"/>
  <c r="Q209" i="7" a="1"/>
  <c r="Q209" i="7" s="1"/>
  <c r="Q143" i="7" a="1"/>
  <c r="Q143" i="7" s="1"/>
  <c r="Q79" i="7" a="1"/>
  <c r="Q79" i="7" s="1"/>
  <c r="Q11" i="7" a="1"/>
  <c r="Q11" i="7" s="1"/>
  <c r="Q224" i="7" a="1"/>
  <c r="Q224" i="7" s="1"/>
  <c r="Q161" i="7" a="1"/>
  <c r="Q161" i="7" s="1"/>
  <c r="Q97" i="7" a="1"/>
  <c r="Q97" i="7" s="1"/>
  <c r="Q33" i="7" a="1"/>
  <c r="Q33" i="7" s="1"/>
  <c r="Q64" i="7" a="1"/>
  <c r="Q64" i="7" s="1"/>
  <c r="Q128" i="7" a="1"/>
  <c r="Q128" i="7" s="1"/>
  <c r="Q206" i="7" a="1"/>
  <c r="Q206" i="7" s="1"/>
  <c r="Q250" i="7" a="1"/>
  <c r="Q250" i="7" s="1"/>
  <c r="Q283" i="7" a="1"/>
  <c r="Q283" i="7" s="1"/>
  <c r="Q315" i="7" a="1"/>
  <c r="Q315" i="7" s="1"/>
  <c r="Q347" i="7" a="1"/>
  <c r="Q347" i="7" s="1"/>
  <c r="Q372" i="7" a="1"/>
  <c r="Q372" i="7" s="1"/>
  <c r="Q399" i="7" a="1"/>
  <c r="Q399" i="7" s="1"/>
  <c r="Q421" i="7" a="1"/>
  <c r="Q421" i="7" s="1"/>
  <c r="Q442" i="7" a="1"/>
  <c r="Q442" i="7" s="1"/>
  <c r="Q461" i="7" a="1"/>
  <c r="Q461" i="7" s="1"/>
  <c r="Q477" i="7" a="1"/>
  <c r="Q477" i="7" s="1"/>
  <c r="Q493" i="7" a="1"/>
  <c r="Q493" i="7" s="1"/>
  <c r="Q509" i="7" a="1"/>
  <c r="Q509" i="7" s="1"/>
  <c r="Q525" i="7" a="1"/>
  <c r="Q525" i="7" s="1"/>
  <c r="Q541" i="7" a="1"/>
  <c r="Q541" i="7" s="1"/>
  <c r="Q558" i="7" a="1"/>
  <c r="Q558" i="7" s="1"/>
  <c r="Q574" i="7" a="1"/>
  <c r="Q574" i="7" s="1"/>
  <c r="Q590" i="7" a="1"/>
  <c r="Q590" i="7" s="1"/>
  <c r="Q606" i="7" a="1"/>
  <c r="Q606" i="7" s="1"/>
  <c r="Q622" i="7" a="1"/>
  <c r="Q622" i="7" s="1"/>
  <c r="Q4" i="7" a="1"/>
  <c r="Q4" i="7" s="1"/>
  <c r="Q52" i="7" a="1"/>
  <c r="Q52" i="7" s="1"/>
  <c r="Q116" i="7" a="1"/>
  <c r="Q116" i="7" s="1"/>
  <c r="Q179" i="7" a="1"/>
  <c r="Q179" i="7" s="1"/>
  <c r="Q234" i="7" a="1"/>
  <c r="Q234" i="7" s="1"/>
  <c r="Q277" i="7" a="1"/>
  <c r="Q277" i="7" s="1"/>
  <c r="Q335" i="7" a="1"/>
  <c r="Q335" i="7" s="1"/>
  <c r="Q406" i="7" a="1"/>
  <c r="Q406" i="7" s="1"/>
  <c r="Q449" i="7" a="1"/>
  <c r="Q449" i="7" s="1"/>
  <c r="Q482" i="7" a="1"/>
  <c r="Q482" i="7" s="1"/>
  <c r="Q514" i="7" a="1"/>
  <c r="Q514" i="7" s="1"/>
  <c r="Q546" i="7" a="1"/>
  <c r="Q546" i="7" s="1"/>
  <c r="Q578" i="7" a="1"/>
  <c r="Q578" i="7" s="1"/>
  <c r="Q610" i="7" a="1"/>
  <c r="Q610" i="7" s="1"/>
  <c r="Q358" i="7" a="1"/>
  <c r="Q358" i="7" s="1"/>
  <c r="Q289" i="7" a="1"/>
  <c r="Q289" i="7" s="1"/>
  <c r="Q203" i="7" a="1"/>
  <c r="Q203" i="7" s="1"/>
  <c r="Q74" i="7" a="1"/>
  <c r="Q74" i="7" s="1"/>
  <c r="Q428" i="7" a="1"/>
  <c r="Q428" i="7" s="1"/>
  <c r="Q365" i="7" a="1"/>
  <c r="Q365" i="7" s="1"/>
  <c r="Q307" i="7" a="1"/>
  <c r="Q307" i="7" s="1"/>
  <c r="Q226" i="7" a="1"/>
  <c r="Q226" i="7" s="1"/>
  <c r="Q105" i="7" a="1"/>
  <c r="Q105" i="7" s="1"/>
  <c r="Q191" i="7" a="1"/>
  <c r="Q191" i="7" s="1"/>
  <c r="Q127" i="7" a="1"/>
  <c r="Q127" i="7" s="1"/>
  <c r="Q63" i="7" a="1"/>
  <c r="Q63" i="7" s="1"/>
  <c r="Q272" i="7" a="1"/>
  <c r="Q272" i="7" s="1"/>
  <c r="Q208" i="7" a="1"/>
  <c r="Q208" i="7" s="1"/>
  <c r="Q145" i="7" a="1"/>
  <c r="Q145" i="7" s="1"/>
  <c r="Q81" i="7" a="1"/>
  <c r="Q81" i="7" s="1"/>
  <c r="Q17" i="7" a="1"/>
  <c r="Q17" i="7" s="1"/>
  <c r="D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<sst xmlns="http://schemas.openxmlformats.org/spreadsheetml/2006/main" count="6061" uniqueCount="1486">
  <si>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</si>
  <si>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</si>
  <si>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</si>
  <si>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</si>
  <si>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</si>
  <si>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</si>
  <si>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</si>
  <si>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</si>
  <si>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</si>
  <si>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</si>
  <si>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</si>
  <si>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</si>
  <si>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</si>
  <si>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</si>
  <si>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</si>
  <si>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</si>
  <si>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</si>
  <si>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</si>
  <si>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</si>
  <si>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</si>
  <si>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</si>
  <si>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</si>
  <si>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</si>
  <si>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</si>
  <si>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</si>
  <si>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</si>
  <si>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</si>
  <si>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</si>
  <si>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</si>
  <si>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</si>
  <si>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</si>
  <si>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</si>
  <si>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</si>
  <si>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</si>
  <si>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</si>
  <si>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</si>
  <si>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</si>
  <si>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</si>
  <si>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</si>
  <si>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</si>
  <si>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</si>
  <si>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</si>
  <si>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</si>
  <si>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</si>
  <si>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</si>
  <si>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</si>
  <si>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</si>
  <si>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</si>
  <si>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</si>
  <si>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</si>
  <si>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</si>
  <si>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</si>
  <si>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</si>
  <si>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</si>
  <si>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</si>
  <si>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</si>
  <si>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</si>
  <si>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</si>
  <si>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</si>
  <si>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</si>
  <si>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</si>
  <si>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</si>
  <si>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</si>
  <si>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</si>
  <si>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</si>
  <si>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</si>
  <si>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</si>
  <si>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</si>
  <si>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</si>
  <si>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</si>
  <si>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</si>
  <si>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</si>
  <si>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</si>
  <si>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</si>
  <si>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</si>
  <si>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</si>
  <si>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</si>
  <si>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</si>
  <si>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</si>
  <si>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</si>
  <si>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</si>
  <si>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</si>
  <si>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</si>
  <si>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</si>
  <si>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</si>
  <si>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</si>
  <si>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</si>
  <si>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</si>
  <si>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</si>
  <si>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</si>
  <si>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</si>
  <si>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</si>
  <si>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</si>
  <si>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</si>
  <si>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</si>
  <si>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</si>
  <si>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</si>
  <si>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</si>
  <si>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</si>
  <si>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</si>
  <si>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</si>
  <si>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</si>
  <si>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</si>
  <si>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</si>
  <si>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</si>
  <si>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</si>
  <si>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</si>
  <si>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</si>
  <si>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</si>
  <si>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</si>
  <si>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</si>
  <si>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</si>
  <si>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</si>
  <si>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</si>
  <si>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</si>
  <si>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</si>
  <si>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</si>
  <si>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</si>
  <si>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</si>
  <si>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</si>
  <si>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</si>
  <si>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</si>
  <si>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</si>
  <si>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</si>
  <si>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</si>
  <si>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</si>
  <si>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</si>
  <si>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</si>
  <si>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</si>
  <si>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</si>
  <si>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</si>
  <si>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</si>
  <si>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</si>
  <si>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</si>
  <si>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</si>
  <si>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</si>
  <si>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</si>
  <si>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</si>
  <si>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</si>
  <si>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</si>
  <si>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</si>
  <si>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</si>
  <si>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</si>
  <si>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</si>
  <si>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</si>
  <si>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</si>
  <si>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</si>
  <si>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</si>
  <si>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</si>
  <si>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</si>
  <si>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</si>
  <si>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</si>
  <si>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</si>
  <si>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</si>
  <si>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</si>
  <si>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</si>
  <si>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</si>
  <si>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</si>
  <si>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</si>
  <si>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</si>
  <si>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</si>
  <si>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</si>
  <si>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</si>
  <si>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</si>
  <si>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</si>
  <si>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</si>
  <si>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</si>
  <si>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</si>
  <si>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</si>
  <si>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</si>
  <si>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</si>
  <si>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</si>
  <si>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</si>
  <si>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</si>
  <si>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</si>
  <si>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</si>
  <si>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</si>
  <si>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</si>
  <si>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</si>
  <si>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</si>
  <si>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</si>
  <si>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</si>
  <si>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</si>
  <si>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</si>
  <si>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</si>
  <si>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</si>
  <si>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</si>
  <si>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</si>
  <si>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</si>
  <si>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</si>
  <si>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</si>
  <si>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</si>
  <si>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</si>
  <si>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</si>
  <si>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</si>
  <si>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</si>
  <si>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</si>
  <si>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</si>
  <si>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</si>
  <si>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</si>
  <si>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</si>
  <si>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</si>
  <si>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</si>
  <si>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</si>
  <si>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</si>
  <si>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</si>
  <si>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</si>
  <si>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</si>
  <si>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</si>
  <si>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</si>
  <si>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</si>
  <si>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</si>
  <si>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</si>
  <si>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</si>
  <si>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</si>
  <si>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</si>
  <si>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</si>
  <si>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</si>
  <si>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</si>
  <si>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</si>
  <si>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</si>
  <si>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</si>
  <si>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</si>
  <si>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</si>
  <si>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</si>
  <si>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</si>
  <si>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</si>
  <si>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</si>
  <si>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</si>
  <si>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</si>
  <si>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</si>
  <si>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</si>
  <si>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</si>
  <si>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</si>
  <si>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</si>
  <si>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</si>
  <si>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</si>
  <si>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</si>
  <si>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</si>
  <si>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</si>
  <si>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</si>
  <si>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</si>
  <si>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</si>
  <si>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</si>
  <si>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</si>
  <si>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</si>
  <si>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</si>
  <si>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</si>
  <si>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</si>
  <si>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</si>
  <si>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</si>
  <si>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</si>
  <si>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</si>
  <si>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</si>
  <si>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</si>
  <si>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</si>
  <si>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</si>
  <si>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</si>
  <si>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</si>
  <si>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</si>
  <si>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</si>
  <si>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</si>
  <si>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</si>
  <si>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</si>
  <si>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</si>
  <si>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</si>
  <si>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</si>
  <si>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</si>
  <si>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</si>
  <si>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</si>
  <si>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</si>
  <si>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</si>
  <si>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</si>
  <si>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</si>
  <si>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</si>
  <si>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</si>
  <si>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</si>
  <si>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</si>
  <si>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</si>
  <si>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</si>
  <si>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</si>
  <si>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</si>
  <si>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</si>
  <si>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</si>
  <si>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</si>
  <si>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</si>
  <si>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</si>
  <si>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</si>
  <si>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</si>
  <si>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</si>
  <si>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</si>
  <si>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</si>
  <si>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</si>
  <si>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</si>
  <si>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</si>
  <si>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</si>
  <si>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</si>
  <si>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</si>
  <si>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</si>
  <si>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</si>
  <si>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</si>
  <si>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</si>
  <si>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</si>
  <si>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</si>
  <si>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</si>
  <si>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</si>
  <si>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</si>
  <si>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</si>
  <si>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</si>
  <si>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</si>
  <si>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</si>
  <si>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</si>
  <si>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</si>
  <si>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</si>
  <si>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</si>
  <si>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</si>
  <si>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</si>
  <si>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</si>
  <si>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</si>
  <si>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</si>
  <si>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</si>
  <si>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</si>
  <si>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</si>
  <si>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</si>
  <si>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</si>
  <si>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</si>
  <si>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</si>
  <si>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</si>
  <si>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</si>
  <si>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</si>
  <si>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</si>
  <si>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</si>
  <si>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</si>
  <si>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</si>
  <si>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</si>
  <si>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</si>
  <si>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</si>
  <si>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</si>
  <si>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</si>
  <si>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</si>
  <si>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</si>
  <si>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</si>
  <si>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</si>
  <si>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</si>
  <si>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</si>
  <si>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</si>
  <si>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</si>
  <si>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</si>
  <si>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</si>
  <si>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</si>
  <si>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</si>
  <si>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</si>
  <si>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</si>
  <si>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</si>
  <si>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</si>
  <si>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</si>
  <si>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</si>
  <si>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</si>
  <si>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</si>
  <si>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</si>
  <si>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</si>
  <si>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</si>
  <si>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</si>
  <si>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</si>
  <si>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</si>
  <si>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</si>
  <si>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</si>
  <si>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</si>
  <si>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</si>
  <si>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</si>
  <si>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</si>
  <si>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</si>
  <si>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</si>
  <si>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</si>
  <si>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</si>
  <si>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</si>
  <si>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</si>
  <si>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</si>
  <si>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</si>
  <si>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</si>
  <si>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</si>
  <si>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</si>
  <si>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</si>
  <si>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</si>
  <si>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</si>
  <si>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</si>
  <si>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</si>
  <si>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</si>
  <si>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</si>
  <si>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</si>
  <si>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</si>
  <si>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</si>
  <si>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</si>
  <si>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</si>
  <si>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</si>
  <si>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</si>
  <si>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</si>
  <si>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</si>
  <si>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</si>
  <si>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</si>
  <si>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</si>
  <si>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</si>
  <si>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</si>
  <si>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</si>
  <si>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</si>
  <si>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</si>
  <si>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</si>
  <si>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</si>
  <si>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</si>
  <si>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</si>
  <si>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</si>
  <si>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</si>
  <si>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</si>
  <si>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</si>
  <si>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</si>
  <si>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</si>
  <si>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</si>
  <si>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</si>
  <si>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</si>
  <si>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</si>
  <si>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</si>
  <si>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</si>
  <si>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</si>
  <si>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</si>
  <si>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</si>
  <si>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</si>
  <si>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</si>
  <si>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</si>
  <si>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</si>
  <si>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</si>
  <si>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</si>
  <si>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</si>
  <si>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</si>
  <si>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</si>
  <si>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</si>
  <si>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</si>
  <si>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</si>
  <si>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</si>
  <si>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</si>
  <si>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</si>
  <si>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</si>
  <si>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</si>
  <si>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</si>
  <si>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</si>
  <si>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</si>
  <si>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</si>
  <si>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</si>
  <si>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</si>
  <si>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</si>
  <si>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</si>
  <si>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</si>
  <si>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</si>
  <si>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</si>
  <si>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</si>
  <si>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</si>
  <si>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</si>
  <si>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</si>
  <si>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</si>
  <si>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</si>
  <si>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</si>
  <si>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</si>
  <si>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</si>
  <si>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</si>
  <si>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</si>
  <si>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</si>
  <si>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</si>
  <si>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</si>
  <si>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</si>
  <si>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</si>
  <si>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</si>
  <si>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</si>
  <si>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</si>
  <si>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</si>
  <si>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</si>
  <si>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</si>
  <si>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</si>
  <si>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</si>
  <si>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</si>
  <si>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</si>
  <si>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</si>
  <si>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</si>
  <si>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</si>
  <si>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</si>
  <si>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</si>
  <si>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</si>
  <si>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</si>
  <si>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</si>
  <si>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</si>
  <si>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</si>
  <si>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</si>
  <si>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</si>
  <si>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</si>
  <si>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</si>
  <si>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</si>
  <si>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</si>
  <si>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</si>
  <si>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</si>
  <si>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</si>
  <si>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</si>
  <si>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</si>
  <si>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</si>
  <si>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</si>
  <si>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</si>
  <si>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</si>
  <si>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</si>
  <si>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</si>
  <si>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</si>
  <si>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</si>
  <si>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</si>
  <si>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</si>
  <si>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</si>
  <si>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</si>
  <si>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</si>
  <si>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</si>
  <si>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</si>
  <si>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</si>
  <si>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</si>
  <si>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</si>
  <si>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</si>
  <si>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</si>
  <si>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</si>
  <si>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</si>
  <si>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</si>
  <si>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</si>
  <si>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</si>
  <si>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</si>
  <si>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</si>
  <si>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</si>
  <si>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</si>
  <si>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</si>
  <si>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</si>
  <si>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</si>
  <si>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</si>
  <si>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</si>
  <si>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</si>
  <si>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</si>
  <si>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</si>
  <si>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</si>
  <si>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</si>
  <si>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</si>
  <si>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</si>
  <si>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</si>
  <si>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</si>
  <si>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</si>
  <si>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</si>
  <si>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</si>
  <si>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</si>
  <si>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</si>
  <si>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</si>
  <si>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</si>
  <si>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</si>
  <si>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</si>
  <si>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</si>
  <si>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</si>
  <si>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</si>
  <si>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</si>
  <si>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</si>
  <si>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</si>
  <si>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</si>
  <si>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</si>
  <si>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</si>
  <si>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</si>
  <si>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</si>
  <si>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</si>
  <si>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</si>
  <si>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</si>
  <si>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</si>
  <si>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</si>
  <si>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</si>
  <si>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</si>
  <si>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</si>
  <si>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</si>
  <si>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</si>
  <si>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</si>
  <si>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</si>
  <si>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</si>
  <si>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</si>
  <si>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</si>
  <si>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</si>
  <si>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</si>
  <si>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</si>
  <si>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</si>
  <si>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</si>
  <si>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</si>
  <si>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</si>
  <si>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</si>
  <si>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</si>
  <si>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</si>
  <si>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</si>
  <si>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</si>
  <si>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</si>
  <si>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</si>
  <si>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</si>
  <si>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</si>
  <si>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</si>
  <si>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</si>
  <si>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</si>
  <si>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</si>
  <si>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</si>
  <si>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</si>
  <si>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</si>
  <si>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</si>
  <si>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</si>
  <si>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</si>
  <si>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</si>
  <si>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</si>
  <si>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</si>
  <si>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</si>
  <si>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</si>
  <si>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</si>
  <si>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</si>
  <si>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</si>
  <si>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</si>
  <si>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</si>
  <si>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</si>
  <si>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</si>
  <si>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</si>
  <si>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</si>
  <si>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</si>
  <si>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</si>
  <si>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</si>
  <si>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</si>
  <si>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</si>
  <si>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</si>
  <si>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</si>
  <si>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</si>
  <si>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</si>
  <si>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</si>
  <si>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</si>
  <si>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</si>
  <si>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</si>
  <si>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</si>
  <si>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</si>
  <si>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</si>
  <si>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</si>
  <si>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</si>
  <si>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</si>
  <si>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</si>
  <si>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</si>
  <si>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</si>
  <si>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</si>
  <si>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</si>
  <si>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</si>
  <si>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</si>
  <si>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</si>
  <si>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</si>
  <si>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</si>
  <si>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</si>
  <si>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</si>
  <si>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</si>
  <si>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</si>
  <si>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</si>
  <si>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</si>
  <si>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</si>
  <si>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</si>
  <si>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</si>
  <si>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</si>
  <si>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</si>
  <si>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</si>
  <si>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</si>
  <si>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</si>
  <si>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</si>
  <si>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</si>
  <si>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</si>
  <si>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</si>
  <si>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</si>
  <si>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</si>
  <si>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</si>
  <si>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</si>
  <si>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</si>
  <si>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</si>
  <si>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</si>
  <si>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</si>
  <si>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</si>
  <si>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</si>
  <si>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</si>
  <si>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</si>
  <si>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</si>
  <si>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</si>
  <si>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</si>
  <si>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</si>
  <si>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</si>
  <si>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</si>
  <si>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</si>
  <si>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</si>
  <si>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</si>
  <si>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</si>
  <si>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</si>
  <si>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</si>
  <si>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</si>
  <si>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</si>
  <si>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</si>
  <si>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</si>
  <si>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</si>
  <si>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</si>
  <si>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</si>
  <si>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</si>
  <si>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</si>
  <si>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</si>
  <si>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</si>
  <si>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</si>
  <si>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</si>
  <si>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</si>
  <si>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</si>
  <si>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</si>
  <si>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</si>
  <si>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</si>
  <si>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</si>
  <si>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</si>
  <si>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</si>
  <si>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</si>
  <si>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</si>
  <si>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</si>
  <si>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</si>
  <si>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</si>
  <si>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</si>
  <si>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</si>
  <si>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</si>
  <si>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</si>
  <si>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</si>
  <si>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</si>
  <si>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</si>
  <si>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</si>
  <si>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</si>
  <si>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</si>
  <si>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</si>
  <si>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</si>
  <si>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</si>
  <si>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</si>
  <si>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</si>
  <si>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</si>
  <si>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</si>
  <si>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</si>
  <si>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</si>
  <si>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</si>
  <si>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</si>
  <si>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</si>
  <si>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</si>
  <si>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</si>
  <si>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</si>
  <si>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</si>
  <si>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</si>
  <si>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</si>
  <si>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</si>
  <si>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</si>
  <si>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</si>
  <si>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</si>
  <si>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</si>
  <si>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</si>
  <si>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</si>
  <si>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</si>
  <si>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</si>
  <si>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</si>
  <si>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</si>
  <si>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</si>
  <si>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</si>
  <si>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</si>
  <si>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</si>
  <si>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</si>
  <si>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</si>
  <si>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</si>
  <si>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</si>
  <si>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</si>
  <si>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</si>
  <si>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</si>
  <si>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</si>
  <si>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</si>
  <si>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</si>
  <si>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</si>
  <si>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</si>
  <si>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</si>
  <si>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</si>
  <si>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</si>
  <si>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</si>
  <si>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</si>
  <si>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</si>
  <si>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</si>
  <si>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</si>
  <si>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</si>
  <si>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</si>
  <si>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</si>
  <si>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</si>
  <si>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</si>
  <si>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</si>
  <si>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</si>
  <si>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</si>
  <si>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</si>
  <si>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</si>
  <si>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</si>
  <si>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</si>
  <si>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</si>
  <si>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</si>
  <si>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</si>
  <si>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</si>
  <si>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</si>
  <si>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</si>
  <si>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</si>
  <si>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</si>
  <si>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</si>
  <si>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</si>
  <si>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</si>
  <si>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</si>
  <si>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</si>
  <si>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</si>
  <si>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</si>
  <si>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</si>
  <si>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</si>
  <si>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</si>
  <si>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</si>
  <si>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</si>
  <si>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</si>
  <si>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</si>
  <si>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</si>
  <si>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</si>
  <si>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</si>
  <si>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</si>
  <si>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</si>
  <si>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</si>
  <si>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</si>
  <si>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</si>
  <si>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</si>
  <si>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</si>
  <si>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</si>
  <si>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</si>
  <si>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</si>
  <si>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</si>
  <si>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</si>
  <si>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</si>
  <si>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</si>
  <si>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</si>
  <si>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</si>
  <si>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</si>
  <si>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</si>
  <si>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</si>
  <si>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</si>
  <si>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</si>
  <si>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</si>
  <si>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</si>
  <si>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</si>
  <si>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</si>
  <si>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</si>
  <si>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</si>
  <si>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</si>
  <si>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</si>
  <si>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</si>
  <si>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</si>
  <si>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</si>
  <si>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</si>
  <si>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</si>
  <si>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</si>
  <si>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</si>
  <si>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</si>
  <si>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</si>
  <si>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</si>
  <si>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</si>
  <si>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</si>
  <si>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</si>
  <si>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</si>
  <si>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</si>
  <si>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</si>
  <si>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</si>
  <si>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</si>
  <si>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</si>
  <si>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</si>
  <si>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</si>
  <si>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</si>
  <si>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</si>
  <si>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</si>
  <si>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</si>
  <si>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</si>
  <si>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</si>
  <si>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</si>
  <si>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</si>
  <si>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</si>
  <si>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</si>
  <si>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</si>
  <si>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</si>
  <si>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</si>
  <si>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</si>
  <si>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</si>
  <si>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</si>
  <si>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</si>
  <si>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</si>
  <si>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</si>
  <si>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</si>
  <si>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</si>
  <si>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</si>
  <si>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</si>
  <si>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</si>
  <si>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</si>
  <si>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</si>
  <si>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</si>
  <si>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</si>
  <si>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</si>
  <si>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</si>
  <si>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</si>
  <si>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</si>
  <si>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</si>
  <si>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</si>
  <si>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</si>
  <si>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</si>
  <si>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</si>
  <si>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</si>
  <si>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</si>
  <si>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</si>
  <si>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</si>
  <si>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</si>
  <si>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</si>
  <si>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</si>
  <si>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</si>
  <si>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</si>
  <si>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</si>
  <si>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</si>
  <si>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</si>
  <si>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</si>
  <si>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</si>
  <si>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</si>
  <si>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</si>
  <si>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</si>
  <si>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</si>
  <si>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</si>
  <si>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</si>
  <si>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</si>
  <si>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</si>
  <si>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</si>
  <si>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</si>
  <si>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</si>
  <si>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</si>
  <si>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</si>
  <si>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</si>
  <si>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</si>
  <si>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</si>
  <si>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</si>
  <si>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</si>
  <si>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</si>
  <si>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</si>
  <si>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</si>
  <si>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</si>
  <si>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</si>
  <si>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</si>
  <si>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</si>
  <si>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</si>
  <si>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</si>
  <si>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</si>
  <si>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</si>
  <si>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</si>
  <si>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</si>
  <si>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</si>
  <si>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</si>
  <si>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</si>
  <si>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</si>
  <si>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</si>
  <si>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</si>
  <si>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</si>
  <si>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</si>
  <si>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</si>
  <si>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</si>
  <si>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</si>
  <si>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</si>
  <si>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</si>
  <si>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</si>
  <si>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</si>
  <si>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</si>
  <si>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</si>
  <si>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</si>
  <si>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</si>
  <si>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</si>
  <si>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</si>
  <si>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</si>
  <si>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</si>
  <si>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</si>
  <si>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</si>
  <si>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</si>
  <si>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</si>
  <si>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</si>
  <si>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</si>
  <si>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</si>
  <si>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</si>
  <si>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</si>
  <si>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</si>
  <si>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</si>
  <si>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</si>
  <si>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</si>
  <si>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</si>
  <si>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</si>
  <si>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</si>
  <si>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</si>
  <si>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</si>
  <si>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</si>
  <si>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</si>
  <si>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</si>
  <si>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</si>
  <si>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</si>
  <si>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</si>
  <si>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</si>
  <si>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</si>
  <si>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</si>
  <si>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</si>
  <si>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</si>
  <si>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</si>
  <si>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</si>
  <si>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</si>
  <si>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</si>
  <si>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</si>
  <si>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</si>
  <si>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</si>
  <si>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</si>
  <si>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</si>
  <si>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</si>
  <si>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</si>
  <si>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</si>
  <si>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</si>
  <si>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</si>
  <si>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</si>
  <si>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</si>
  <si>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</si>
  <si>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</si>
  <si>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</si>
  <si>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</si>
  <si>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</si>
  <si>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</si>
  <si>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</si>
  <si>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</si>
  <si>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</si>
  <si>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</si>
  <si>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</si>
  <si>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</si>
  <si>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</si>
  <si>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</si>
  <si>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</si>
  <si>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</si>
  <si>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</si>
  <si>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</si>
  <si>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</si>
  <si>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</si>
  <si>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</si>
  <si>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</si>
  <si>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</si>
  <si>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</si>
  <si>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</si>
  <si>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</si>
  <si>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</si>
  <si>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</si>
  <si>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</si>
  <si>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</si>
  <si>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</si>
  <si>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</si>
  <si>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</si>
  <si>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</si>
  <si>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</si>
  <si>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</si>
  <si>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</si>
  <si>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</si>
  <si>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</si>
  <si>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</si>
  <si>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</si>
  <si>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</si>
  <si>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</si>
  <si>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</si>
  <si>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</si>
  <si>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</si>
  <si>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</si>
  <si>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</si>
  <si>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</si>
  <si>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</si>
  <si>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</si>
  <si>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</si>
  <si>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</si>
  <si>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</si>
  <si>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</si>
  <si>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</si>
  <si>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</si>
  <si>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</si>
  <si>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</si>
  <si>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</si>
  <si>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</si>
  <si>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</si>
  <si>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</si>
  <si>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</si>
  <si>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</si>
  <si>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</si>
  <si>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</si>
  <si>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</si>
  <si>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</si>
  <si>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</si>
  <si>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</si>
  <si>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</si>
  <si>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</si>
  <si>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</si>
  <si>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</si>
  <si>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</si>
  <si>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</si>
  <si>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</si>
  <si>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</si>
  <si>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</si>
  <si>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</si>
  <si>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</si>
  <si>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</si>
  <si>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</si>
  <si>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</si>
  <si>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</si>
  <si>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</si>
  <si>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</si>
  <si>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</si>
  <si>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</si>
  <si>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</si>
  <si>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</si>
  <si>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</si>
  <si>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</si>
  <si>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</si>
  <si>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</si>
  <si>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</si>
  <si>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</si>
  <si>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</si>
  <si>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</si>
  <si>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</si>
  <si>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</si>
  <si>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</si>
  <si>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</si>
  <si>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</si>
  <si>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</si>
  <si>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</si>
  <si>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</si>
  <si>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</si>
  <si>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</si>
  <si>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</si>
  <si>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</si>
  <si>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</si>
  <si>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</si>
  <si>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</si>
  <si>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</si>
  <si>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</si>
  <si>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</si>
  <si>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</si>
  <si>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</si>
  <si>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</si>
  <si>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</si>
  <si>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</si>
  <si>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</si>
  <si>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</si>
  <si>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</si>
  <si>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</si>
  <si>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</si>
  <si>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</si>
  <si>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</si>
  <si>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</si>
  <si>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</si>
  <si>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</si>
  <si>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</si>
  <si>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</si>
  <si>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</si>
  <si>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</si>
  <si>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</si>
  <si>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</si>
  <si>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</si>
  <si>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</si>
  <si>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</si>
  <si>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</si>
  <si>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</si>
  <si>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</si>
  <si>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</si>
  <si>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</si>
  <si>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</si>
  <si>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</si>
  <si>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</si>
  <si>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</si>
  <si>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</si>
  <si>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</si>
  <si>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</si>
  <si>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</si>
  <si>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</si>
  <si>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</si>
  <si>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</si>
  <si>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</si>
  <si>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</si>
  <si>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</si>
  <si>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</si>
  <si>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</si>
  <si>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</si>
  <si>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</si>
  <si>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</si>
  <si>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</si>
  <si>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</si>
  <si>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</si>
  <si>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</si>
  <si>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</si>
  <si>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</si>
  <si>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</si>
  <si>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</si>
  <si>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</si>
  <si>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</si>
  <si>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</si>
  <si>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</si>
  <si>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</si>
  <si>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</si>
  <si>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</si>
  <si>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</si>
  <si>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</si>
  <si>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</si>
  <si>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</si>
  <si>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</si>
  <si>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</si>
  <si>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</si>
  <si>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</si>
  <si>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</si>
  <si>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</si>
  <si>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</si>
  <si>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</si>
  <si>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</si>
  <si>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</si>
  <si>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</si>
  <si>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</si>
  <si>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</si>
  <si>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</si>
  <si>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</si>
  <si>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</si>
  <si>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</si>
  <si>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</si>
  <si>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</si>
  <si>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</si>
  <si>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</si>
  <si>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</si>
  <si>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</si>
  <si>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</si>
  <si>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</si>
  <si>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</si>
  <si>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</si>
  <si>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</si>
  <si>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</si>
  <si>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</si>
  <si>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</si>
  <si>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</si>
  <si>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</si>
  <si>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</si>
  <si>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</si>
  <si>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</si>
  <si>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</si>
  <si>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</si>
  <si>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</si>
  <si>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</si>
  <si>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</si>
  <si>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</si>
  <si>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</si>
  <si>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</si>
  <si>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</si>
  <si>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</si>
  <si>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</si>
  <si>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</si>
  <si>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</si>
  <si>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</si>
  <si>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</si>
  <si>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</si>
  <si>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</si>
  <si>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</si>
  <si>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</si>
  <si>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</si>
  <si>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</si>
  <si>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</si>
  <si>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</si>
  <si>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</si>
  <si>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</si>
  <si>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</si>
  <si>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</si>
  <si>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</si>
  <si>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</si>
  <si>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</si>
  <si>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</si>
  <si>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</si>
  <si>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</si>
  <si>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</si>
  <si>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</si>
  <si>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</si>
  <si>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</si>
  <si>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</si>
  <si>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</si>
  <si>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</si>
  <si>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</si>
  <si>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</si>
  <si>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</si>
  <si>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</si>
  <si>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</si>
  <si>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</si>
  <si>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</si>
  <si>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</si>
  <si>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</si>
  <si>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</si>
  <si>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</si>
  <si>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</si>
  <si>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</si>
  <si>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</si>
  <si>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</si>
  <si>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</si>
  <si>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</si>
  <si>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</si>
  <si>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</si>
  <si>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</si>
  <si>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</si>
  <si>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</si>
  <si>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</si>
  <si>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</si>
  <si>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</si>
  <si>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</si>
  <si>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</si>
  <si>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</si>
  <si>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</si>
  <si>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</si>
  <si>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</si>
  <si>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</si>
  <si>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</si>
  <si>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</si>
  <si>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</si>
  <si>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</si>
  <si>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</si>
  <si>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</si>
  <si>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</si>
  <si>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</si>
  <si>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</si>
  <si>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</si>
  <si>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</si>
  <si>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</si>
  <si>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</si>
  <si>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</si>
  <si>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</si>
  <si>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</si>
  <si>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</si>
  <si>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</si>
  <si>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</si>
  <si>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</si>
  <si>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</si>
  <si>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</si>
  <si>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</si>
  <si>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</si>
  <si>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</si>
  <si>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</si>
  <si>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</si>
  <si>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</si>
  <si>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</si>
  <si>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</si>
  <si>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</si>
  <si>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</si>
  <si>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</si>
  <si>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</si>
  <si>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</si>
  <si>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</si>
  <si>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</si>
  <si>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</si>
  <si>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</si>
  <si>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</si>
  <si>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</si>
  <si>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</si>
  <si>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</si>
  <si>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</si>
  <si>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</si>
  <si>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</si>
  <si>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</si>
  <si>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</si>
  <si>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</si>
  <si>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</si>
  <si>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</si>
  <si>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</si>
  <si>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</si>
  <si>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</si>
  <si>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</si>
  <si>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</si>
  <si>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</si>
  <si>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</si>
  <si>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</si>
  <si>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</si>
  <si>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</si>
  <si>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</si>
  <si>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</si>
  <si>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</si>
  <si>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</si>
  <si>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</si>
  <si>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</si>
  <si>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</si>
  <si>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</si>
  <si>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</si>
  <si>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</si>
  <si>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</si>
  <si>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</si>
  <si>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</si>
  <si>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</si>
  <si>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</si>
  <si>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</si>
  <si>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</si>
  <si>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</si>
  <si>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</si>
  <si>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</si>
  <si>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</si>
  <si>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</si>
  <si>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</si>
  <si>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</si>
  <si>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</si>
  <si>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</si>
  <si>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</si>
  <si>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</si>
  <si>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</si>
  <si>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</si>
  <si>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</si>
  <si>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</si>
  <si>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</si>
  <si>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</si>
  <si>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</si>
  <si>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</si>
  <si>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</si>
  <si>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</si>
  <si>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</si>
  <si>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</si>
  <si>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</si>
  <si>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</si>
  <si>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</si>
  <si>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</si>
  <si>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</si>
  <si>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</si>
  <si>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</si>
  <si>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</si>
  <si>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</si>
  <si>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</si>
  <si>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</si>
  <si>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</si>
  <si>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NOT ASSIGNED</t>
  </si>
  <si>
    <t>LEAD TIME</t>
  </si>
  <si>
    <t xml:space="preserve"> DATE(NEW)</t>
  </si>
  <si>
    <t>UNIT PRICE</t>
  </si>
  <si>
    <t>DISCOUNT</t>
  </si>
  <si>
    <t>Gross revenue</t>
  </si>
  <si>
    <t>Cost of Goods</t>
  </si>
  <si>
    <t>Gross profit</t>
  </si>
  <si>
    <t>Margin %</t>
  </si>
  <si>
    <t>ORDER DATE (M/Y)</t>
  </si>
  <si>
    <t>QUARTER</t>
  </si>
  <si>
    <t>Price band</t>
  </si>
  <si>
    <t>Row Labels</t>
  </si>
  <si>
    <t>(blank)</t>
  </si>
  <si>
    <t>Grand Total</t>
  </si>
  <si>
    <t>Sum of Gross revenue</t>
  </si>
  <si>
    <t>Sum of 4866.3288</t>
  </si>
  <si>
    <t>Count of ORD-2024-275203</t>
  </si>
  <si>
    <t>Sum of 2353.1688</t>
  </si>
  <si>
    <t>Column Labels</t>
  </si>
  <si>
    <t>Apr-2023</t>
  </si>
  <si>
    <t>Apr-2024</t>
  </si>
  <si>
    <t>Apr-2025</t>
  </si>
  <si>
    <t>Aug-2023</t>
  </si>
  <si>
    <t>Aug-2024</t>
  </si>
  <si>
    <t>Aug-2025</t>
  </si>
  <si>
    <t>Dec-2023</t>
  </si>
  <si>
    <t>Feb-2023</t>
  </si>
  <si>
    <t>Feb-2024</t>
  </si>
  <si>
    <t>Feb-2025</t>
  </si>
  <si>
    <t>Jan-2023</t>
  </si>
  <si>
    <t>Jan-2024</t>
  </si>
  <si>
    <t>Jan-2025</t>
  </si>
  <si>
    <t>Jul-2023</t>
  </si>
  <si>
    <t>Jul-2024</t>
  </si>
  <si>
    <t>Jul-2025</t>
  </si>
  <si>
    <t>Jun-2023</t>
  </si>
  <si>
    <t>Jun-2024</t>
  </si>
  <si>
    <t>Mar-2023</t>
  </si>
  <si>
    <t>Mar-2024</t>
  </si>
  <si>
    <t>Mar-2025</t>
  </si>
  <si>
    <t>May-2023</t>
  </si>
  <si>
    <t>May-2024</t>
  </si>
  <si>
    <t>May-2025</t>
  </si>
  <si>
    <t>Nov-2023</t>
  </si>
  <si>
    <t>Nov-2024</t>
  </si>
  <si>
    <t>Oct-2023</t>
  </si>
  <si>
    <t>Sep-2023</t>
  </si>
  <si>
    <t>Sep-2024</t>
  </si>
  <si>
    <t>Sep-2025</t>
  </si>
  <si>
    <t>leaDTIMES &lt;7</t>
  </si>
  <si>
    <t>Average of leaDTIMES &lt;7</t>
  </si>
  <si>
    <t>Count of OrderID</t>
  </si>
  <si>
    <t>Oct-2024</t>
  </si>
  <si>
    <t>DSC%&gt;20</t>
  </si>
  <si>
    <t>High discount</t>
  </si>
  <si>
    <t>on -Time</t>
  </si>
  <si>
    <t>ontime</t>
  </si>
  <si>
    <t>Count of on -Time</t>
  </si>
  <si>
    <t>Sum of Gross profit</t>
  </si>
  <si>
    <t>Average of Margin %</t>
  </si>
  <si>
    <t>Dec-2024</t>
  </si>
  <si>
    <t>Jun-2025</t>
  </si>
  <si>
    <t>Sum of DiscountPct</t>
  </si>
  <si>
    <t>Average of Gross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</si>
</sst>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theme="1" tint="4.9989318521683403E-2"/>
      <name val="Calibri"/>
      <family val="2"/>
      <scheme val="minor"/>
    </font>
  </fonts>
  <fills count="3">
    <fill>
      <patternFill patternType="none"/>
    </fill>
    <fill>
      <patternFill patternType="gray125"/>
    </fill>
    <fill>
      <patternFill patternType="solid">
        <fgColor theme="4"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2"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0" fillId="0" borderId="0" xfId="0" applyNumberFormat="1"/>
    <xf numFmtId="2" fontId="1" fillId="0" borderId="1" xfId="0" applyNumberFormat="1" applyFont="1" applyBorder="1" applyAlignment="1">
      <alignment horizontal="center" vertical="top"/>
    </xf>
    <xf numFmtId="10" fontId="1" fillId="0" borderId="1" xfId="0" applyNumberFormat="1" applyFont="1" applyBorder="1" applyAlignment="1">
      <alignment horizontal="center" vertical="top"/>
    </xf>
    <xf numFmtId="10"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1" fillId="0" borderId="0" xfId="0" applyFont="1"/>
    <xf numFmtId="14" fontId="0" fillId="0" borderId="0" xfId="0" quotePrefix="1" applyNumberFormat="1"/>
    <xf numFmtId="0" fontId="0" fillId="0" borderId="0" xfId="0" pivotButton="1"/>
    <xf numFmtId="0" fontId="0" fillId="0" borderId="0" xfId="0" applyAlignment="1">
      <alignment horizontal="left"/>
    </xf>
    <xf numFmtId="10" fontId="0" fillId="0" borderId="0" xfId="1" applyNumberFormat="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0" fontId="0" fillId="2" borderId="0" xfId="0" applyFont="1" applyFill="1"/>
    <xf numFmtId="0" fontId="3" fillId="2" borderId="0" xfId="0" applyFont="1" applyFill="1"/>
  </cellXfs>
  <cellStyles count="2">
    <cellStyle name="Normal" xfId="0" builtinId="0"/>
    <cellStyle name="Percent" xfId="1" builtinId="5"/>
  </cellStyles>
  <dxfs count="2">
    <dxf>
      <fill>
        <patternFill>
          <bgColor rgb="FFFF00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[Assignment_dashboard.xlsx]Rvenue by month!PivotTable13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Revenue by Month</a:t>
            </a:r>
          </a:p>
        </c:rich>
      </c:tx>
      <c:layout>
        <c:manualLayout>
          <c:xMode val="edge"/>
          <c:yMode val="edge"/>
          <c:x val="0.30819225028161129"/>
          <c:y val="0.138610052142811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'Rvenue by month'!$B$3</c:f>
              <c:strCache>
                <c:ptCount val="1"/>
                <c:pt idx="0">
                  <c:v>Total</c:v>
                </c:pt>
              </c:strCache>
            </c:strRef>
          </c:tx>
          <c:spPr>
            <a:ln w="28575" cap="rnd">
              <a:solidFill>
                <a:schemeClr val="accent1"/>
              </a:solidFill>
              <a:round/>
            </a:ln>
            <a:effectLst/>
          </c:spPr>
          <c:marker>
            <c:symbol val="none"/>
          </c:marker>
          <c:cat>
            <c:strRef>
              <c:f>'Rvenue by month'!$A$4:$A$37</c:f>
              <c:strCache>
                <c:ptCount val="33"/>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Jul-2024</c:v>
                </c:pt>
                <c:pt idx="16">
                  <c:v>Jul-2025</c:v>
                </c:pt>
                <c:pt idx="17">
                  <c:v>Jun-2023</c:v>
                </c:pt>
                <c:pt idx="18">
                  <c:v>Jun-2024</c:v>
                </c:pt>
                <c:pt idx="19">
                  <c:v>Jun-2025</c:v>
                </c:pt>
                <c:pt idx="20">
                  <c:v>Mar-2023</c:v>
                </c:pt>
                <c:pt idx="21">
                  <c:v>Mar-2024</c:v>
                </c:pt>
                <c:pt idx="22">
                  <c:v>Mar-2025</c:v>
                </c:pt>
                <c:pt idx="23">
                  <c:v>May-2023</c:v>
                </c:pt>
                <c:pt idx="24">
                  <c:v>May-2024</c:v>
                </c:pt>
                <c:pt idx="25">
                  <c:v>May-2025</c:v>
                </c:pt>
                <c:pt idx="26">
                  <c:v>Nov-2023</c:v>
                </c:pt>
                <c:pt idx="27">
                  <c:v>Nov-2024</c:v>
                </c:pt>
                <c:pt idx="28">
                  <c:v>Oct-2023</c:v>
                </c:pt>
                <c:pt idx="29">
                  <c:v>Oct-2024</c:v>
                </c:pt>
                <c:pt idx="30">
                  <c:v>Sep-2023</c:v>
                </c:pt>
                <c:pt idx="31">
                  <c:v>Sep-2024</c:v>
                </c:pt>
                <c:pt idx="32">
                  <c:v>Sep-2025</c:v>
                </c:pt>
              </c:strCache>
            </c:strRef>
          </c:cat>
          <c:val>
            <c:numRef>
              <c:f>'Rvenue by month'!$B$4:$B$37</c:f>
              <c:numCache>
                <c:formatCode>General</c:formatCode>
                <c:ptCount val="33"/>
                <c:pt idx="0">
                  <c:v>371604.58273999998</c:v>
                </c:pt>
                <c:pt idx="1">
                  <c:v>239506.82714000004</c:v>
                </c:pt>
                <c:pt idx="2">
                  <c:v>336135.16749999998</c:v>
                </c:pt>
                <c:pt idx="3">
                  <c:v>339044.67039000004</c:v>
                </c:pt>
                <c:pt idx="4">
                  <c:v>383755.4196599999</c:v>
                </c:pt>
                <c:pt idx="5">
                  <c:v>366808.72249999997</c:v>
                </c:pt>
                <c:pt idx="6">
                  <c:v>382101.36680000002</c:v>
                </c:pt>
                <c:pt idx="7">
                  <c:v>383551.2574</c:v>
                </c:pt>
                <c:pt idx="8">
                  <c:v>445918.59437000006</c:v>
                </c:pt>
                <c:pt idx="9">
                  <c:v>307793.71461999998</c:v>
                </c:pt>
                <c:pt idx="10">
                  <c:v>221608.49786999999</c:v>
                </c:pt>
                <c:pt idx="11">
                  <c:v>178642.73714999997</c:v>
                </c:pt>
                <c:pt idx="12">
                  <c:v>299100.37307999999</c:v>
                </c:pt>
                <c:pt idx="13">
                  <c:v>223498.20032000003</c:v>
                </c:pt>
                <c:pt idx="14">
                  <c:v>550462.84643999999</c:v>
                </c:pt>
                <c:pt idx="15">
                  <c:v>275628.61962999997</c:v>
                </c:pt>
                <c:pt idx="16">
                  <c:v>486970.83348000003</c:v>
                </c:pt>
                <c:pt idx="17">
                  <c:v>236474.06157000002</c:v>
                </c:pt>
                <c:pt idx="18">
                  <c:v>634490.72337999998</c:v>
                </c:pt>
                <c:pt idx="19">
                  <c:v>443578.85596000007</c:v>
                </c:pt>
                <c:pt idx="20">
                  <c:v>215576.67437999998</c:v>
                </c:pt>
                <c:pt idx="21">
                  <c:v>374300.10981000005</c:v>
                </c:pt>
                <c:pt idx="22">
                  <c:v>209101.52076000004</c:v>
                </c:pt>
                <c:pt idx="23">
                  <c:v>469902.36901999998</c:v>
                </c:pt>
                <c:pt idx="24">
                  <c:v>416985.76567000011</c:v>
                </c:pt>
                <c:pt idx="25">
                  <c:v>375285.78266000003</c:v>
                </c:pt>
                <c:pt idx="26">
                  <c:v>127009.5058</c:v>
                </c:pt>
                <c:pt idx="27">
                  <c:v>416944.18554999994</c:v>
                </c:pt>
                <c:pt idx="28">
                  <c:v>241851.10650000002</c:v>
                </c:pt>
                <c:pt idx="29">
                  <c:v>416924.94901000004</c:v>
                </c:pt>
                <c:pt idx="30">
                  <c:v>141266.51418999999</c:v>
                </c:pt>
                <c:pt idx="31">
                  <c:v>347613.18767000007</c:v>
                </c:pt>
                <c:pt idx="32">
                  <c:v>172279.72760000001</c:v>
                </c:pt>
              </c:numCache>
            </c:numRef>
          </c:val>
          <c:smooth val="0"/>
          <c:extLst>
            <c:ext xmlns:c16="http://schemas.microsoft.com/office/drawing/2014/chart" uri="{C3380CC4-5D6E-409C-BE32-E72D297353CC}">
              <c16:uniqueId val="{00000000-BB4D-40AA-8297-12D4CCAED802}"/>
            </c:ext>
          </c:extLst>
        </c:ser>
        <c:dLbls>
          <c:showLegendKey val="0"/>
          <c:showVal val="0"/>
          <c:showCatName val="0"/>
          <c:showSerName val="0"/>
          <c:showPercent val="0"/>
          <c:showBubbleSize val="0"/>
        </c:dLbls>
        <c:smooth val="0"/>
        <c:axId val="1328072944"/>
        <c:axId val="1328087344"/>
      </c:lineChart>
      <c:catAx>
        <c:axId val="13280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28087344"/>
        <c:crosses val="autoZero"/>
        <c:auto val="1"/>
        <c:lblAlgn val="ctr"/>
        <c:lblOffset val="100"/>
        <c:noMultiLvlLbl val="0"/>
      </c:catAx>
      <c:valAx>
        <c:axId val="132808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2807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[Assignment_dashboard.xlsx]profit by regchannel!PivotTable15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Profit</a:t>
            </a:r>
            <a:r>
              <a:rPr lang="en-US" baseline="0">
                <a:solidFill>
                  <a:srgbClr val="C00000"/>
                </a:solidFill>
              </a:rPr>
              <a:t> by Region and Channel</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regchannel'!$B$3:$B$4</c:f>
              <c:strCache>
                <c:ptCount val="1"/>
                <c:pt idx="0">
                  <c:v>Direct</c:v>
                </c:pt>
              </c:strCache>
            </c:strRef>
          </c:tx>
          <c:spPr>
            <a:solidFill>
              <a:schemeClr val="accent1"/>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regchannel'!$B$5:$B$9</c:f>
              <c:numCache>
                <c:formatCode>General</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AB02-483E-8DCE-6AD6D3D0EB94}"/>
            </c:ext>
          </c:extLst>
        </c:ser>
        <c:ser>
          <c:idx val="1"/>
          <c:order val="1"/>
          <c:tx>
            <c:strRef>
              <c:f>'profit by regchannel'!$C$3:$C$4</c:f>
              <c:strCache>
                <c:ptCount val="1"/>
                <c:pt idx="0">
                  <c:v>Distributor</c:v>
                </c:pt>
              </c:strCache>
            </c:strRef>
          </c:tx>
          <c:spPr>
            <a:solidFill>
              <a:schemeClr val="accent2"/>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regchannel'!$C$5:$C$9</c:f>
              <c:numCache>
                <c:formatCode>General</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1-AB02-483E-8DCE-6AD6D3D0EB94}"/>
            </c:ext>
          </c:extLst>
        </c:ser>
        <c:ser>
          <c:idx val="2"/>
          <c:order val="2"/>
          <c:tx>
            <c:strRef>
              <c:f>'profit by regchannel'!$D$3:$D$4</c:f>
              <c:strCache>
                <c:ptCount val="1"/>
                <c:pt idx="0">
                  <c:v>Marketplace</c:v>
                </c:pt>
              </c:strCache>
            </c:strRef>
          </c:tx>
          <c:spPr>
            <a:solidFill>
              <a:schemeClr val="accent3"/>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regchannel'!$D$5:$D$9</c:f>
              <c:numCache>
                <c:formatCode>General</c:formatCode>
                <c:ptCount val="4"/>
                <c:pt idx="0">
                  <c:v>164839.30455999999</c:v>
                </c:pt>
                <c:pt idx="1">
                  <c:v>96609.647519999999</c:v>
                </c:pt>
                <c:pt idx="2">
                  <c:v>128045.00806000001</c:v>
                </c:pt>
                <c:pt idx="3">
                  <c:v>173262.29025000008</c:v>
                </c:pt>
              </c:numCache>
            </c:numRef>
          </c:val>
          <c:extLst>
            <c:ext xmlns:c16="http://schemas.microsoft.com/office/drawing/2014/chart" uri="{C3380CC4-5D6E-409C-BE32-E72D297353CC}">
              <c16:uniqueId val="{00000002-AB02-483E-8DCE-6AD6D3D0EB94}"/>
            </c:ext>
          </c:extLst>
        </c:ser>
        <c:ser>
          <c:idx val="3"/>
          <c:order val="3"/>
          <c:tx>
            <c:strRef>
              <c:f>'profit by regchannel'!$E$3:$E$4</c:f>
              <c:strCache>
                <c:ptCount val="1"/>
                <c:pt idx="0">
                  <c:v>NOT ASSIGNED</c:v>
                </c:pt>
              </c:strCache>
            </c:strRef>
          </c:tx>
          <c:spPr>
            <a:solidFill>
              <a:schemeClr val="accent4"/>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regchannel'!$E$5:$E$9</c:f>
              <c:numCache>
                <c:formatCode>General</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3-AB02-483E-8DCE-6AD6D3D0EB94}"/>
            </c:ext>
          </c:extLst>
        </c:ser>
        <c:ser>
          <c:idx val="4"/>
          <c:order val="4"/>
          <c:tx>
            <c:strRef>
              <c:f>'profit by regchannel'!$F$3:$F$4</c:f>
              <c:strCache>
                <c:ptCount val="1"/>
                <c:pt idx="0">
                  <c:v>Online</c:v>
                </c:pt>
              </c:strCache>
            </c:strRef>
          </c:tx>
          <c:spPr>
            <a:solidFill>
              <a:schemeClr val="accent5"/>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regchannel'!$F$5:$F$9</c:f>
              <c:numCache>
                <c:formatCode>General</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4-AB02-483E-8DCE-6AD6D3D0EB94}"/>
            </c:ext>
          </c:extLst>
        </c:ser>
        <c:ser>
          <c:idx val="5"/>
          <c:order val="5"/>
          <c:tx>
            <c:strRef>
              <c:f>'profit by regchannel'!$G$3:$G$4</c:f>
              <c:strCache>
                <c:ptCount val="1"/>
                <c:pt idx="0">
                  <c:v>Retail</c:v>
                </c:pt>
              </c:strCache>
            </c:strRef>
          </c:tx>
          <c:spPr>
            <a:solidFill>
              <a:schemeClr val="accent6"/>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regchannel'!$G$5:$G$9</c:f>
              <c:numCache>
                <c:formatCode>General</c:formatCode>
                <c:ptCount val="4"/>
                <c:pt idx="0">
                  <c:v>153301.03854999997</c:v>
                </c:pt>
                <c:pt idx="1">
                  <c:v>69035.709220000004</c:v>
                </c:pt>
                <c:pt idx="2">
                  <c:v>153258.55984000003</c:v>
                </c:pt>
                <c:pt idx="3">
                  <c:v>180951.49252999996</c:v>
                </c:pt>
              </c:numCache>
            </c:numRef>
          </c:val>
          <c:extLst>
            <c:ext xmlns:c16="http://schemas.microsoft.com/office/drawing/2014/chart" uri="{C3380CC4-5D6E-409C-BE32-E72D297353CC}">
              <c16:uniqueId val="{00000005-AB02-483E-8DCE-6AD6D3D0EB94}"/>
            </c:ext>
          </c:extLst>
        </c:ser>
        <c:dLbls>
          <c:showLegendKey val="0"/>
          <c:showVal val="0"/>
          <c:showCatName val="0"/>
          <c:showSerName val="0"/>
          <c:showPercent val="0"/>
          <c:showBubbleSize val="0"/>
        </c:dLbls>
        <c:gapWidth val="150"/>
        <c:overlap val="100"/>
        <c:axId val="743718832"/>
        <c:axId val="743714032"/>
      </c:barChart>
      <c:catAx>
        <c:axId val="74371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3714032"/>
        <c:crosses val="autoZero"/>
        <c:auto val="1"/>
        <c:lblAlgn val="ctr"/>
        <c:lblOffset val="100"/>
        <c:noMultiLvlLbl val="0"/>
      </c:catAx>
      <c:valAx>
        <c:axId val="74371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37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[Assignment_dashboard.xlsx]Top 10 SKU!PivotTable16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Top</a:t>
            </a:r>
            <a:r>
              <a:rPr lang="en-US" baseline="0">
                <a:solidFill>
                  <a:srgbClr val="C00000"/>
                </a:solidFill>
              </a:rPr>
              <a:t> 10 SKUs by Revenue</a:t>
            </a:r>
            <a:endParaRPr lang="en-US">
              <a:solidFill>
                <a:srgbClr val="C00000"/>
              </a:solidFill>
            </a:endParaRPr>
          </a:p>
        </c:rich>
      </c:tx>
      <c:layout>
        <c:manualLayout>
          <c:xMode val="edge"/>
          <c:yMode val="edge"/>
          <c:x val="0.29707978357213544"/>
          <c:y val="0.135852673021135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SKU'!$B$3</c:f>
              <c:strCache>
                <c:ptCount val="1"/>
                <c:pt idx="0">
                  <c:v>Total</c:v>
                </c:pt>
              </c:strCache>
            </c:strRef>
          </c:tx>
          <c:spPr>
            <a:solidFill>
              <a:schemeClr val="accent1"/>
            </a:solidFill>
            <a:ln>
              <a:noFill/>
            </a:ln>
            <a:effectLst/>
          </c:spPr>
          <c:invertIfNegative val="0"/>
          <c:cat>
            <c:strRef>
              <c:f>'Top 10 SKU'!$A$4:$A$14</c:f>
              <c:strCache>
                <c:ptCount val="10"/>
                <c:pt idx="0">
                  <c:v>NET-5987</c:v>
                </c:pt>
                <c:pt idx="1">
                  <c:v>NET-5523</c:v>
                </c:pt>
                <c:pt idx="2">
                  <c:v>NET-2365</c:v>
                </c:pt>
                <c:pt idx="3">
                  <c:v>MON-6962</c:v>
                </c:pt>
                <c:pt idx="4">
                  <c:v>MON-6699</c:v>
                </c:pt>
                <c:pt idx="5">
                  <c:v>MON-2266</c:v>
                </c:pt>
                <c:pt idx="6">
                  <c:v>LAP-8910</c:v>
                </c:pt>
                <c:pt idx="7">
                  <c:v>LAP-3904</c:v>
                </c:pt>
                <c:pt idx="8">
                  <c:v>CMP-8851</c:v>
                </c:pt>
                <c:pt idx="9">
                  <c:v>CMP-3938</c:v>
                </c:pt>
              </c:strCache>
            </c:strRef>
          </c:cat>
          <c:val>
            <c:numRef>
              <c:f>'Top 10 SKU'!$B$4:$B$14</c:f>
              <c:numCache>
                <c:formatCode>General</c:formatCode>
                <c:ptCount val="10"/>
                <c:pt idx="0">
                  <c:v>82141.339799999987</c:v>
                </c:pt>
                <c:pt idx="1">
                  <c:v>79548.755999999994</c:v>
                </c:pt>
                <c:pt idx="2">
                  <c:v>109244</c:v>
                </c:pt>
                <c:pt idx="3">
                  <c:v>92715.25</c:v>
                </c:pt>
                <c:pt idx="4">
                  <c:v>85637.740319999997</c:v>
                </c:pt>
                <c:pt idx="5">
                  <c:v>87404.929919999995</c:v>
                </c:pt>
                <c:pt idx="6">
                  <c:v>102122.94203999999</c:v>
                </c:pt>
                <c:pt idx="7">
                  <c:v>82514.711519999997</c:v>
                </c:pt>
                <c:pt idx="8">
                  <c:v>139277.83032000001</c:v>
                </c:pt>
                <c:pt idx="9">
                  <c:v>84136.119600000005</c:v>
                </c:pt>
              </c:numCache>
            </c:numRef>
          </c:val>
          <c:extLst>
            <c:ext xmlns:c16="http://schemas.microsoft.com/office/drawing/2014/chart" uri="{C3380CC4-5D6E-409C-BE32-E72D297353CC}">
              <c16:uniqueId val="{00000000-26A4-4C75-83BF-686BA2278AD6}"/>
            </c:ext>
          </c:extLst>
        </c:ser>
        <c:dLbls>
          <c:showLegendKey val="0"/>
          <c:showVal val="0"/>
          <c:showCatName val="0"/>
          <c:showSerName val="0"/>
          <c:showPercent val="0"/>
          <c:showBubbleSize val="0"/>
        </c:dLbls>
        <c:gapWidth val="182"/>
        <c:axId val="61662880"/>
        <c:axId val="744109232"/>
      </c:barChart>
      <c:catAx>
        <c:axId val="6166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4109232"/>
        <c:crosses val="autoZero"/>
        <c:auto val="1"/>
        <c:lblAlgn val="ctr"/>
        <c:lblOffset val="100"/>
        <c:noMultiLvlLbl val="0"/>
      </c:catAx>
      <c:valAx>
        <c:axId val="74410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66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[Assignment_dashboard.xlsx]Discount outliers!PivotTable17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Discount</a:t>
            </a:r>
            <a:r>
              <a:rPr lang="en-US" baseline="0">
                <a:solidFill>
                  <a:srgbClr val="C00000"/>
                </a:solidFill>
              </a:rPr>
              <a:t> outliers</a:t>
            </a:r>
            <a:endParaRPr lang="en-US">
              <a:solidFill>
                <a:srgbClr val="C00000"/>
              </a:solidFill>
            </a:endParaRPr>
          </a:p>
        </c:rich>
      </c:tx>
      <c:layout>
        <c:manualLayout>
          <c:xMode val="edge"/>
          <c:yMode val="edge"/>
          <c:x val="0.35331223210408053"/>
          <c:y val="0.166443227034394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outliers'!$B$3</c:f>
              <c:strCache>
                <c:ptCount val="1"/>
                <c:pt idx="0">
                  <c:v>Total</c:v>
                </c:pt>
              </c:strCache>
            </c:strRef>
          </c:tx>
          <c:spPr>
            <a:ln w="28575" cap="rnd">
              <a:solidFill>
                <a:schemeClr val="accent1"/>
              </a:solidFill>
              <a:round/>
            </a:ln>
            <a:effectLst/>
          </c:spPr>
          <c:marker>
            <c:symbol val="none"/>
          </c:marker>
          <c:cat>
            <c:strRef>
              <c:f>'Discount outliers'!$A$4:$A$94</c:f>
              <c:strCache>
                <c:ptCount val="90"/>
                <c:pt idx="0">
                  <c:v>ORD-2023-178249</c:v>
                </c:pt>
                <c:pt idx="1">
                  <c:v>ORD-2023-261081</c:v>
                </c:pt>
                <c:pt idx="2">
                  <c:v>ORD-2023-271918</c:v>
                </c:pt>
                <c:pt idx="3">
                  <c:v>ORD-2023-276806</c:v>
                </c:pt>
                <c:pt idx="4">
                  <c:v>ORD-2023-290279</c:v>
                </c:pt>
                <c:pt idx="5">
                  <c:v>ORD-2023-343322</c:v>
                </c:pt>
                <c:pt idx="6">
                  <c:v>ORD-2023-368449</c:v>
                </c:pt>
                <c:pt idx="7">
                  <c:v>ORD-2023-382272</c:v>
                </c:pt>
                <c:pt idx="8">
                  <c:v>ORD-2023-422918</c:v>
                </c:pt>
                <c:pt idx="9">
                  <c:v>ORD-2023-430904</c:v>
                </c:pt>
                <c:pt idx="10">
                  <c:v>ORD-2023-488227</c:v>
                </c:pt>
                <c:pt idx="11">
                  <c:v>ORD-2023-521818</c:v>
                </c:pt>
                <c:pt idx="12">
                  <c:v>ORD-2023-569862</c:v>
                </c:pt>
                <c:pt idx="13">
                  <c:v>ORD-2023-586275</c:v>
                </c:pt>
                <c:pt idx="14">
                  <c:v>ORD-2023-597666</c:v>
                </c:pt>
                <c:pt idx="15">
                  <c:v>ORD-2023-610470</c:v>
                </c:pt>
                <c:pt idx="16">
                  <c:v>ORD-2023-613287</c:v>
                </c:pt>
                <c:pt idx="17">
                  <c:v>ORD-2023-630430</c:v>
                </c:pt>
                <c:pt idx="18">
                  <c:v>ORD-2023-660608</c:v>
                </c:pt>
                <c:pt idx="19">
                  <c:v>ORD-2023-667815</c:v>
                </c:pt>
                <c:pt idx="20">
                  <c:v>ORD-2023-749324</c:v>
                </c:pt>
                <c:pt idx="21">
                  <c:v>ORD-2023-766015</c:v>
                </c:pt>
                <c:pt idx="22">
                  <c:v>ORD-2023-825084</c:v>
                </c:pt>
                <c:pt idx="23">
                  <c:v>ORD-2023-856322</c:v>
                </c:pt>
                <c:pt idx="24">
                  <c:v>ORD-2023-913592</c:v>
                </c:pt>
                <c:pt idx="25">
                  <c:v>ORD-2023-944052</c:v>
                </c:pt>
                <c:pt idx="26">
                  <c:v>ORD-2023-964434</c:v>
                </c:pt>
                <c:pt idx="27">
                  <c:v>ORD-2024-102866</c:v>
                </c:pt>
                <c:pt idx="28">
                  <c:v>ORD-2024-129345</c:v>
                </c:pt>
                <c:pt idx="29">
                  <c:v>ORD-2024-155337</c:v>
                </c:pt>
                <c:pt idx="30">
                  <c:v>ORD-2024-166150</c:v>
                </c:pt>
                <c:pt idx="31">
                  <c:v>ORD-2024-197852</c:v>
                </c:pt>
                <c:pt idx="32">
                  <c:v>ORD-2024-212990</c:v>
                </c:pt>
                <c:pt idx="33">
                  <c:v>ORD-2024-220234</c:v>
                </c:pt>
                <c:pt idx="34">
                  <c:v>ORD-2024-232632</c:v>
                </c:pt>
                <c:pt idx="35">
                  <c:v>ORD-2024-247979</c:v>
                </c:pt>
                <c:pt idx="36">
                  <c:v>ORD-2024-251426</c:v>
                </c:pt>
                <c:pt idx="37">
                  <c:v>ORD-2024-260775</c:v>
                </c:pt>
                <c:pt idx="38">
                  <c:v>ORD-2024-329104</c:v>
                </c:pt>
                <c:pt idx="39">
                  <c:v>ORD-2024-343877</c:v>
                </c:pt>
                <c:pt idx="40">
                  <c:v>ORD-2024-355095</c:v>
                </c:pt>
                <c:pt idx="41">
                  <c:v>ORD-2024-358795</c:v>
                </c:pt>
                <c:pt idx="42">
                  <c:v>ORD-2024-364080</c:v>
                </c:pt>
                <c:pt idx="43">
                  <c:v>ORD-2024-375848</c:v>
                </c:pt>
                <c:pt idx="44">
                  <c:v>ORD-2024-389102</c:v>
                </c:pt>
                <c:pt idx="45">
                  <c:v>ORD-2024-419248</c:v>
                </c:pt>
                <c:pt idx="46">
                  <c:v>ORD-2024-468501</c:v>
                </c:pt>
                <c:pt idx="47">
                  <c:v>ORD-2024-468655</c:v>
                </c:pt>
                <c:pt idx="48">
                  <c:v>ORD-2024-508213</c:v>
                </c:pt>
                <c:pt idx="49">
                  <c:v>ORD-2024-542244</c:v>
                </c:pt>
                <c:pt idx="50">
                  <c:v>ORD-2024-544865</c:v>
                </c:pt>
                <c:pt idx="51">
                  <c:v>ORD-2024-566589</c:v>
                </c:pt>
                <c:pt idx="52">
                  <c:v>ORD-2024-581530</c:v>
                </c:pt>
                <c:pt idx="53">
                  <c:v>ORD-2024-605629</c:v>
                </c:pt>
                <c:pt idx="54">
                  <c:v>ORD-2024-647473</c:v>
                </c:pt>
                <c:pt idx="55">
                  <c:v>ORD-2024-655710</c:v>
                </c:pt>
                <c:pt idx="56">
                  <c:v>ORD-2024-687073</c:v>
                </c:pt>
                <c:pt idx="57">
                  <c:v>ORD-2024-687100</c:v>
                </c:pt>
                <c:pt idx="58">
                  <c:v>ORD-2024-690270</c:v>
                </c:pt>
                <c:pt idx="59">
                  <c:v>ORD-2024-692673</c:v>
                </c:pt>
                <c:pt idx="60">
                  <c:v>ORD-2024-719055</c:v>
                </c:pt>
                <c:pt idx="61">
                  <c:v>ORD-2024-749242</c:v>
                </c:pt>
                <c:pt idx="62">
                  <c:v>ORD-2024-760799</c:v>
                </c:pt>
                <c:pt idx="63">
                  <c:v>ORD-2024-777623</c:v>
                </c:pt>
                <c:pt idx="64">
                  <c:v>ORD-2024-787018</c:v>
                </c:pt>
                <c:pt idx="65">
                  <c:v>ORD-2024-866535</c:v>
                </c:pt>
                <c:pt idx="66">
                  <c:v>ORD-2024-993481</c:v>
                </c:pt>
                <c:pt idx="67">
                  <c:v>ORD-2024-998320</c:v>
                </c:pt>
                <c:pt idx="68">
                  <c:v>ORD-2024-999607</c:v>
                </c:pt>
                <c:pt idx="69">
                  <c:v>ORD-2025-184754</c:v>
                </c:pt>
                <c:pt idx="70">
                  <c:v>ORD-2025-222035</c:v>
                </c:pt>
                <c:pt idx="71">
                  <c:v>ORD-2025-312803</c:v>
                </c:pt>
                <c:pt idx="72">
                  <c:v>ORD-2025-419532</c:v>
                </c:pt>
                <c:pt idx="73">
                  <c:v>ORD-2025-473192</c:v>
                </c:pt>
                <c:pt idx="74">
                  <c:v>ORD-2025-474368</c:v>
                </c:pt>
                <c:pt idx="75">
                  <c:v>ORD-2025-488349</c:v>
                </c:pt>
                <c:pt idx="76">
                  <c:v>ORD-2025-496178</c:v>
                </c:pt>
                <c:pt idx="77">
                  <c:v>ORD-2025-515515</c:v>
                </c:pt>
                <c:pt idx="78">
                  <c:v>ORD-2025-542939</c:v>
                </c:pt>
                <c:pt idx="79">
                  <c:v>ORD-2025-667201</c:v>
                </c:pt>
                <c:pt idx="80">
                  <c:v>ORD-2025-683043</c:v>
                </c:pt>
                <c:pt idx="81">
                  <c:v>ORD-2025-685236</c:v>
                </c:pt>
                <c:pt idx="82">
                  <c:v>ORD-2025-737787</c:v>
                </c:pt>
                <c:pt idx="83">
                  <c:v>ORD-2025-762301</c:v>
                </c:pt>
                <c:pt idx="84">
                  <c:v>ORD-2025-779530</c:v>
                </c:pt>
                <c:pt idx="85">
                  <c:v>ORD-2025-795385</c:v>
                </c:pt>
                <c:pt idx="86">
                  <c:v>ORD-2025-803803</c:v>
                </c:pt>
                <c:pt idx="87">
                  <c:v>ORD-2025-823055</c:v>
                </c:pt>
                <c:pt idx="88">
                  <c:v>ORD-2025-845715</c:v>
                </c:pt>
                <c:pt idx="89">
                  <c:v>ORD-2025-960931</c:v>
                </c:pt>
              </c:strCache>
            </c:strRef>
          </c:cat>
          <c:val>
            <c:numRef>
              <c:f>'Discount outliers'!$B$4:$B$94</c:f>
              <c:numCache>
                <c:formatCode>General</c:formatCode>
                <c:ptCount val="90"/>
                <c:pt idx="0">
                  <c:v>0.20300000000000001</c:v>
                </c:pt>
                <c:pt idx="1">
                  <c:v>0.56499999999999995</c:v>
                </c:pt>
                <c:pt idx="2">
                  <c:v>0.20399999999999999</c:v>
                </c:pt>
                <c:pt idx="3">
                  <c:v>0.20300000000000001</c:v>
                </c:pt>
                <c:pt idx="4">
                  <c:v>0.25700000000000001</c:v>
                </c:pt>
                <c:pt idx="5">
                  <c:v>0.24099999999999999</c:v>
                </c:pt>
                <c:pt idx="6">
                  <c:v>0.35699999999999998</c:v>
                </c:pt>
                <c:pt idx="7">
                  <c:v>0.34300000000000003</c:v>
                </c:pt>
                <c:pt idx="8">
                  <c:v>0.29199999999999998</c:v>
                </c:pt>
                <c:pt idx="9">
                  <c:v>0.22</c:v>
                </c:pt>
                <c:pt idx="10">
                  <c:v>0.20799999999999999</c:v>
                </c:pt>
                <c:pt idx="11">
                  <c:v>0.23300000000000001</c:v>
                </c:pt>
                <c:pt idx="12">
                  <c:v>0.216</c:v>
                </c:pt>
                <c:pt idx="13">
                  <c:v>0.24299999999999999</c:v>
                </c:pt>
                <c:pt idx="14">
                  <c:v>0.222</c:v>
                </c:pt>
                <c:pt idx="15">
                  <c:v>0.22</c:v>
                </c:pt>
                <c:pt idx="16">
                  <c:v>0.26500000000000001</c:v>
                </c:pt>
                <c:pt idx="17">
                  <c:v>0.216</c:v>
                </c:pt>
                <c:pt idx="18">
                  <c:v>0.24</c:v>
                </c:pt>
                <c:pt idx="19">
                  <c:v>0.20699999999999999</c:v>
                </c:pt>
                <c:pt idx="20">
                  <c:v>0.20399999999999999</c:v>
                </c:pt>
                <c:pt idx="21">
                  <c:v>0.28199999999999997</c:v>
                </c:pt>
                <c:pt idx="22">
                  <c:v>0.29899999999999999</c:v>
                </c:pt>
                <c:pt idx="23">
                  <c:v>0.22600000000000001</c:v>
                </c:pt>
                <c:pt idx="24">
                  <c:v>0.20899999999999999</c:v>
                </c:pt>
                <c:pt idx="25">
                  <c:v>0.27</c:v>
                </c:pt>
                <c:pt idx="26">
                  <c:v>0.23499999999999999</c:v>
                </c:pt>
                <c:pt idx="27">
                  <c:v>0.24099999999999999</c:v>
                </c:pt>
                <c:pt idx="28">
                  <c:v>0.21</c:v>
                </c:pt>
                <c:pt idx="29">
                  <c:v>0.27800000000000002</c:v>
                </c:pt>
                <c:pt idx="30">
                  <c:v>0.22900000000000001</c:v>
                </c:pt>
                <c:pt idx="31">
                  <c:v>0.20100000000000001</c:v>
                </c:pt>
                <c:pt idx="32">
                  <c:v>0.23599999999999999</c:v>
                </c:pt>
                <c:pt idx="33">
                  <c:v>0.22500000000000001</c:v>
                </c:pt>
                <c:pt idx="34">
                  <c:v>0.25900000000000001</c:v>
                </c:pt>
                <c:pt idx="35">
                  <c:v>0.255</c:v>
                </c:pt>
                <c:pt idx="36">
                  <c:v>0.254</c:v>
                </c:pt>
                <c:pt idx="37">
                  <c:v>0.29499999999999998</c:v>
                </c:pt>
                <c:pt idx="38">
                  <c:v>0.254</c:v>
                </c:pt>
                <c:pt idx="39">
                  <c:v>0.27200000000000002</c:v>
                </c:pt>
                <c:pt idx="40">
                  <c:v>0.20699999999999999</c:v>
                </c:pt>
                <c:pt idx="41">
                  <c:v>0.23699999999999999</c:v>
                </c:pt>
                <c:pt idx="42">
                  <c:v>0.22500000000000001</c:v>
                </c:pt>
                <c:pt idx="43">
                  <c:v>0.23899999999999999</c:v>
                </c:pt>
                <c:pt idx="44">
                  <c:v>0.245</c:v>
                </c:pt>
                <c:pt idx="45">
                  <c:v>0.23699999999999999</c:v>
                </c:pt>
                <c:pt idx="46">
                  <c:v>0.29199999999999998</c:v>
                </c:pt>
                <c:pt idx="47">
                  <c:v>0.24299999999999999</c:v>
                </c:pt>
                <c:pt idx="48">
                  <c:v>0.21099999999999999</c:v>
                </c:pt>
                <c:pt idx="49">
                  <c:v>0.24099999999999999</c:v>
                </c:pt>
                <c:pt idx="50">
                  <c:v>0.26300000000000001</c:v>
                </c:pt>
                <c:pt idx="51">
                  <c:v>0.216</c:v>
                </c:pt>
                <c:pt idx="52">
                  <c:v>0.214</c:v>
                </c:pt>
                <c:pt idx="53">
                  <c:v>0.254</c:v>
                </c:pt>
                <c:pt idx="54">
                  <c:v>0.26100000000000001</c:v>
                </c:pt>
                <c:pt idx="55">
                  <c:v>0.245</c:v>
                </c:pt>
                <c:pt idx="56">
                  <c:v>0.21099999999999999</c:v>
                </c:pt>
                <c:pt idx="57">
                  <c:v>0.20300000000000001</c:v>
                </c:pt>
                <c:pt idx="58">
                  <c:v>0.25600000000000001</c:v>
                </c:pt>
                <c:pt idx="59">
                  <c:v>0.24299999999999999</c:v>
                </c:pt>
                <c:pt idx="60">
                  <c:v>0.215</c:v>
                </c:pt>
                <c:pt idx="61">
                  <c:v>0.22600000000000001</c:v>
                </c:pt>
                <c:pt idx="62">
                  <c:v>0.215</c:v>
                </c:pt>
                <c:pt idx="63">
                  <c:v>0.26600000000000001</c:v>
                </c:pt>
                <c:pt idx="64">
                  <c:v>0.22900000000000001</c:v>
                </c:pt>
                <c:pt idx="65">
                  <c:v>0.23799999999999999</c:v>
                </c:pt>
                <c:pt idx="66">
                  <c:v>0.314</c:v>
                </c:pt>
                <c:pt idx="67">
                  <c:v>0.318</c:v>
                </c:pt>
                <c:pt idx="68">
                  <c:v>0.25800000000000001</c:v>
                </c:pt>
                <c:pt idx="69">
                  <c:v>0.20499999999999999</c:v>
                </c:pt>
                <c:pt idx="70">
                  <c:v>0.217</c:v>
                </c:pt>
                <c:pt idx="71">
                  <c:v>0.248</c:v>
                </c:pt>
                <c:pt idx="72">
                  <c:v>0.21199999999999999</c:v>
                </c:pt>
                <c:pt idx="73">
                  <c:v>0.29299999999999998</c:v>
                </c:pt>
                <c:pt idx="74">
                  <c:v>0.23499999999999999</c:v>
                </c:pt>
                <c:pt idx="75">
                  <c:v>0.215</c:v>
                </c:pt>
                <c:pt idx="76">
                  <c:v>0.25700000000000001</c:v>
                </c:pt>
                <c:pt idx="77">
                  <c:v>0.25</c:v>
                </c:pt>
                <c:pt idx="78">
                  <c:v>0.21099999999999999</c:v>
                </c:pt>
                <c:pt idx="79">
                  <c:v>0.21199999999999999</c:v>
                </c:pt>
                <c:pt idx="80">
                  <c:v>0.20499999999999999</c:v>
                </c:pt>
                <c:pt idx="81">
                  <c:v>0.317</c:v>
                </c:pt>
                <c:pt idx="82">
                  <c:v>0.23899999999999999</c:v>
                </c:pt>
                <c:pt idx="83">
                  <c:v>0.20499999999999999</c:v>
                </c:pt>
                <c:pt idx="84">
                  <c:v>0.34599999999999997</c:v>
                </c:pt>
                <c:pt idx="85">
                  <c:v>0.23</c:v>
                </c:pt>
                <c:pt idx="86">
                  <c:v>0.25</c:v>
                </c:pt>
                <c:pt idx="87">
                  <c:v>0.218</c:v>
                </c:pt>
                <c:pt idx="88">
                  <c:v>0.255</c:v>
                </c:pt>
                <c:pt idx="89">
                  <c:v>0.21199999999999999</c:v>
                </c:pt>
              </c:numCache>
            </c:numRef>
          </c:val>
          <c:smooth val="0"/>
          <c:extLst>
            <c:ext xmlns:c16="http://schemas.microsoft.com/office/drawing/2014/chart" uri="{C3380CC4-5D6E-409C-BE32-E72D297353CC}">
              <c16:uniqueId val="{00000000-F496-41E4-B383-A55C475455C6}"/>
            </c:ext>
          </c:extLst>
        </c:ser>
        <c:dLbls>
          <c:showLegendKey val="0"/>
          <c:showVal val="0"/>
          <c:showCatName val="0"/>
          <c:showSerName val="0"/>
          <c:showPercent val="0"/>
          <c:showBubbleSize val="0"/>
        </c:dLbls>
        <c:smooth val="0"/>
        <c:axId val="881967712"/>
        <c:axId val="881982112"/>
      </c:lineChart>
      <c:catAx>
        <c:axId val="88196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81982112"/>
        <c:crosses val="autoZero"/>
        <c:auto val="1"/>
        <c:lblAlgn val="ctr"/>
        <c:lblOffset val="100"/>
        <c:noMultiLvlLbl val="0"/>
      </c:catAx>
      <c:valAx>
        <c:axId val="88198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8196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[Assignment_dashboard.xlsx]Rvenue by month!PivotTable13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Revenue by Month</a:t>
            </a:r>
          </a:p>
        </c:rich>
      </c:tx>
      <c:layout>
        <c:manualLayout>
          <c:xMode val="edge"/>
          <c:yMode val="edge"/>
          <c:x val="0.30819225028161129"/>
          <c:y val="0.138610052142811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'Rvenue by month'!$B$3</c:f>
              <c:strCache>
                <c:ptCount val="1"/>
                <c:pt idx="0">
                  <c:v>Total</c:v>
                </c:pt>
              </c:strCache>
            </c:strRef>
          </c:tx>
          <c:spPr>
            <a:ln w="28575" cap="rnd">
              <a:solidFill>
                <a:schemeClr val="accent1"/>
              </a:solidFill>
              <a:round/>
            </a:ln>
            <a:effectLst/>
          </c:spPr>
          <c:marker>
            <c:symbol val="none"/>
          </c:marker>
          <c:cat>
            <c:strRef>
              <c:f>'Rvenue by month'!$A$4:$A$37</c:f>
              <c:strCache>
                <c:ptCount val="33"/>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Jul-2024</c:v>
                </c:pt>
                <c:pt idx="16">
                  <c:v>Jul-2025</c:v>
                </c:pt>
                <c:pt idx="17">
                  <c:v>Jun-2023</c:v>
                </c:pt>
                <c:pt idx="18">
                  <c:v>Jun-2024</c:v>
                </c:pt>
                <c:pt idx="19">
                  <c:v>Jun-2025</c:v>
                </c:pt>
                <c:pt idx="20">
                  <c:v>Mar-2023</c:v>
                </c:pt>
                <c:pt idx="21">
                  <c:v>Mar-2024</c:v>
                </c:pt>
                <c:pt idx="22">
                  <c:v>Mar-2025</c:v>
                </c:pt>
                <c:pt idx="23">
                  <c:v>May-2023</c:v>
                </c:pt>
                <c:pt idx="24">
                  <c:v>May-2024</c:v>
                </c:pt>
                <c:pt idx="25">
                  <c:v>May-2025</c:v>
                </c:pt>
                <c:pt idx="26">
                  <c:v>Nov-2023</c:v>
                </c:pt>
                <c:pt idx="27">
                  <c:v>Nov-2024</c:v>
                </c:pt>
                <c:pt idx="28">
                  <c:v>Oct-2023</c:v>
                </c:pt>
                <c:pt idx="29">
                  <c:v>Oct-2024</c:v>
                </c:pt>
                <c:pt idx="30">
                  <c:v>Sep-2023</c:v>
                </c:pt>
                <c:pt idx="31">
                  <c:v>Sep-2024</c:v>
                </c:pt>
                <c:pt idx="32">
                  <c:v>Sep-2025</c:v>
                </c:pt>
              </c:strCache>
            </c:strRef>
          </c:cat>
          <c:val>
            <c:numRef>
              <c:f>'Rvenue by month'!$B$4:$B$37</c:f>
              <c:numCache>
                <c:formatCode>General</c:formatCode>
                <c:ptCount val="33"/>
                <c:pt idx="0">
                  <c:v>371604.58273999998</c:v>
                </c:pt>
                <c:pt idx="1">
                  <c:v>239506.82714000004</c:v>
                </c:pt>
                <c:pt idx="2">
                  <c:v>336135.16749999998</c:v>
                </c:pt>
                <c:pt idx="3">
                  <c:v>339044.67039000004</c:v>
                </c:pt>
                <c:pt idx="4">
                  <c:v>383755.4196599999</c:v>
                </c:pt>
                <c:pt idx="5">
                  <c:v>366808.72249999997</c:v>
                </c:pt>
                <c:pt idx="6">
                  <c:v>382101.36680000002</c:v>
                </c:pt>
                <c:pt idx="7">
                  <c:v>383551.2574</c:v>
                </c:pt>
                <c:pt idx="8">
                  <c:v>445918.59437000006</c:v>
                </c:pt>
                <c:pt idx="9">
                  <c:v>307793.71461999998</c:v>
                </c:pt>
                <c:pt idx="10">
                  <c:v>221608.49786999999</c:v>
                </c:pt>
                <c:pt idx="11">
                  <c:v>178642.73714999997</c:v>
                </c:pt>
                <c:pt idx="12">
                  <c:v>299100.37307999999</c:v>
                </c:pt>
                <c:pt idx="13">
                  <c:v>223498.20032000003</c:v>
                </c:pt>
                <c:pt idx="14">
                  <c:v>550462.84643999999</c:v>
                </c:pt>
                <c:pt idx="15">
                  <c:v>275628.61962999997</c:v>
                </c:pt>
                <c:pt idx="16">
                  <c:v>486970.83348000003</c:v>
                </c:pt>
                <c:pt idx="17">
                  <c:v>236474.06157000002</c:v>
                </c:pt>
                <c:pt idx="18">
                  <c:v>634490.72337999998</c:v>
                </c:pt>
                <c:pt idx="19">
                  <c:v>443578.85596000007</c:v>
                </c:pt>
                <c:pt idx="20">
                  <c:v>215576.67437999998</c:v>
                </c:pt>
                <c:pt idx="21">
                  <c:v>374300.10981000005</c:v>
                </c:pt>
                <c:pt idx="22">
                  <c:v>209101.52076000004</c:v>
                </c:pt>
                <c:pt idx="23">
                  <c:v>469902.36901999998</c:v>
                </c:pt>
                <c:pt idx="24">
                  <c:v>416985.76567000011</c:v>
                </c:pt>
                <c:pt idx="25">
                  <c:v>375285.78266000003</c:v>
                </c:pt>
                <c:pt idx="26">
                  <c:v>127009.5058</c:v>
                </c:pt>
                <c:pt idx="27">
                  <c:v>416944.18554999994</c:v>
                </c:pt>
                <c:pt idx="28">
                  <c:v>241851.10650000002</c:v>
                </c:pt>
                <c:pt idx="29">
                  <c:v>416924.94901000004</c:v>
                </c:pt>
                <c:pt idx="30">
                  <c:v>141266.51418999999</c:v>
                </c:pt>
                <c:pt idx="31">
                  <c:v>347613.18767000007</c:v>
                </c:pt>
                <c:pt idx="32">
                  <c:v>172279.72760000001</c:v>
                </c:pt>
              </c:numCache>
            </c:numRef>
          </c:val>
          <c:smooth val="0"/>
          <c:extLst>
            <c:ext xmlns:c16="http://schemas.microsoft.com/office/drawing/2014/chart" uri="{C3380CC4-5D6E-409C-BE32-E72D297353CC}">
              <c16:uniqueId val="{00000000-FCEE-492B-9C00-D411B6A185CF}"/>
            </c:ext>
          </c:extLst>
        </c:ser>
        <c:dLbls>
          <c:showLegendKey val="0"/>
          <c:showVal val="0"/>
          <c:showCatName val="0"/>
          <c:showSerName val="0"/>
          <c:showPercent val="0"/>
          <c:showBubbleSize val="0"/>
        </c:dLbls>
        <c:smooth val="0"/>
        <c:axId val="1328072944"/>
        <c:axId val="1328087344"/>
      </c:lineChart>
      <c:catAx>
        <c:axId val="13280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28087344"/>
        <c:crosses val="autoZero"/>
        <c:auto val="1"/>
        <c:lblAlgn val="ctr"/>
        <c:lblOffset val="100"/>
        <c:noMultiLvlLbl val="0"/>
      </c:catAx>
      <c:valAx>
        <c:axId val="132808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2807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[Assignment_dashboard.xlsx]profit by regchannel!PivotTable15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Profit</a:t>
            </a:r>
            <a:r>
              <a:rPr lang="en-US" baseline="0">
                <a:solidFill>
                  <a:srgbClr val="C00000"/>
                </a:solidFill>
              </a:rPr>
              <a:t> by Region and Channel</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regchannel'!$B$3:$B$4</c:f>
              <c:strCache>
                <c:ptCount val="1"/>
                <c:pt idx="0">
                  <c:v>Direct</c:v>
                </c:pt>
              </c:strCache>
            </c:strRef>
          </c:tx>
          <c:spPr>
            <a:solidFill>
              <a:schemeClr val="accent1"/>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regchannel'!$B$5:$B$9</c:f>
              <c:numCache>
                <c:formatCode>General</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4366-40E7-956D-1E0210BEE063}"/>
            </c:ext>
          </c:extLst>
        </c:ser>
        <c:ser>
          <c:idx val="1"/>
          <c:order val="1"/>
          <c:tx>
            <c:strRef>
              <c:f>'profit by regchannel'!$C$3:$C$4</c:f>
              <c:strCache>
                <c:ptCount val="1"/>
                <c:pt idx="0">
                  <c:v>Distributor</c:v>
                </c:pt>
              </c:strCache>
            </c:strRef>
          </c:tx>
          <c:spPr>
            <a:solidFill>
              <a:schemeClr val="accent2"/>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regchannel'!$C$5:$C$9</c:f>
              <c:numCache>
                <c:formatCode>General</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1-4366-40E7-956D-1E0210BEE063}"/>
            </c:ext>
          </c:extLst>
        </c:ser>
        <c:ser>
          <c:idx val="2"/>
          <c:order val="2"/>
          <c:tx>
            <c:strRef>
              <c:f>'profit by regchannel'!$D$3:$D$4</c:f>
              <c:strCache>
                <c:ptCount val="1"/>
                <c:pt idx="0">
                  <c:v>Marketplace</c:v>
                </c:pt>
              </c:strCache>
            </c:strRef>
          </c:tx>
          <c:spPr>
            <a:solidFill>
              <a:schemeClr val="accent3"/>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regchannel'!$D$5:$D$9</c:f>
              <c:numCache>
                <c:formatCode>General</c:formatCode>
                <c:ptCount val="4"/>
                <c:pt idx="0">
                  <c:v>164839.30455999999</c:v>
                </c:pt>
                <c:pt idx="1">
                  <c:v>96609.647519999999</c:v>
                </c:pt>
                <c:pt idx="2">
                  <c:v>128045.00806000001</c:v>
                </c:pt>
                <c:pt idx="3">
                  <c:v>173262.29025000008</c:v>
                </c:pt>
              </c:numCache>
            </c:numRef>
          </c:val>
          <c:extLst>
            <c:ext xmlns:c16="http://schemas.microsoft.com/office/drawing/2014/chart" uri="{C3380CC4-5D6E-409C-BE32-E72D297353CC}">
              <c16:uniqueId val="{00000002-4366-40E7-956D-1E0210BEE063}"/>
            </c:ext>
          </c:extLst>
        </c:ser>
        <c:ser>
          <c:idx val="3"/>
          <c:order val="3"/>
          <c:tx>
            <c:strRef>
              <c:f>'profit by regchannel'!$E$3:$E$4</c:f>
              <c:strCache>
                <c:ptCount val="1"/>
                <c:pt idx="0">
                  <c:v>NOT ASSIGNED</c:v>
                </c:pt>
              </c:strCache>
            </c:strRef>
          </c:tx>
          <c:spPr>
            <a:solidFill>
              <a:schemeClr val="accent4"/>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regchannel'!$E$5:$E$9</c:f>
              <c:numCache>
                <c:formatCode>General</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3-4366-40E7-956D-1E0210BEE063}"/>
            </c:ext>
          </c:extLst>
        </c:ser>
        <c:ser>
          <c:idx val="4"/>
          <c:order val="4"/>
          <c:tx>
            <c:strRef>
              <c:f>'profit by regchannel'!$F$3:$F$4</c:f>
              <c:strCache>
                <c:ptCount val="1"/>
                <c:pt idx="0">
                  <c:v>Online</c:v>
                </c:pt>
              </c:strCache>
            </c:strRef>
          </c:tx>
          <c:spPr>
            <a:solidFill>
              <a:schemeClr val="accent5"/>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regchannel'!$F$5:$F$9</c:f>
              <c:numCache>
                <c:formatCode>General</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4-4366-40E7-956D-1E0210BEE063}"/>
            </c:ext>
          </c:extLst>
        </c:ser>
        <c:ser>
          <c:idx val="5"/>
          <c:order val="5"/>
          <c:tx>
            <c:strRef>
              <c:f>'profit by regchannel'!$G$3:$G$4</c:f>
              <c:strCache>
                <c:ptCount val="1"/>
                <c:pt idx="0">
                  <c:v>Retail</c:v>
                </c:pt>
              </c:strCache>
            </c:strRef>
          </c:tx>
          <c:spPr>
            <a:solidFill>
              <a:schemeClr val="accent6"/>
            </a:solidFill>
            <a:ln>
              <a:noFill/>
            </a:ln>
            <a:effectLst/>
          </c:spPr>
          <c:invertIfNegative val="0"/>
          <c:cat>
            <c:strRef>
              <c:f>'profit by regchannel'!$A$5:$A$9</c:f>
              <c:strCache>
                <c:ptCount val="4"/>
                <c:pt idx="0">
                  <c:v>Africa</c:v>
                </c:pt>
                <c:pt idx="1">
                  <c:v>Americas</c:v>
                </c:pt>
                <c:pt idx="2">
                  <c:v>Asia</c:v>
                </c:pt>
                <c:pt idx="3">
                  <c:v>Europe</c:v>
                </c:pt>
              </c:strCache>
            </c:strRef>
          </c:cat>
          <c:val>
            <c:numRef>
              <c:f>'profit by regchannel'!$G$5:$G$9</c:f>
              <c:numCache>
                <c:formatCode>General</c:formatCode>
                <c:ptCount val="4"/>
                <c:pt idx="0">
                  <c:v>153301.03854999997</c:v>
                </c:pt>
                <c:pt idx="1">
                  <c:v>69035.709220000004</c:v>
                </c:pt>
                <c:pt idx="2">
                  <c:v>153258.55984000003</c:v>
                </c:pt>
                <c:pt idx="3">
                  <c:v>180951.49252999996</c:v>
                </c:pt>
              </c:numCache>
            </c:numRef>
          </c:val>
          <c:extLst>
            <c:ext xmlns:c16="http://schemas.microsoft.com/office/drawing/2014/chart" uri="{C3380CC4-5D6E-409C-BE32-E72D297353CC}">
              <c16:uniqueId val="{00000005-4366-40E7-956D-1E0210BEE063}"/>
            </c:ext>
          </c:extLst>
        </c:ser>
        <c:dLbls>
          <c:showLegendKey val="0"/>
          <c:showVal val="0"/>
          <c:showCatName val="0"/>
          <c:showSerName val="0"/>
          <c:showPercent val="0"/>
          <c:showBubbleSize val="0"/>
        </c:dLbls>
        <c:gapWidth val="150"/>
        <c:overlap val="100"/>
        <c:axId val="743718832"/>
        <c:axId val="743714032"/>
      </c:barChart>
      <c:catAx>
        <c:axId val="74371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3714032"/>
        <c:crosses val="autoZero"/>
        <c:auto val="1"/>
        <c:lblAlgn val="ctr"/>
        <c:lblOffset val="100"/>
        <c:noMultiLvlLbl val="0"/>
      </c:catAx>
      <c:valAx>
        <c:axId val="74371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37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[Assignment_dashboard.xlsx]Top 10 SKU!PivotTable16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Top</a:t>
            </a:r>
            <a:r>
              <a:rPr lang="en-US" baseline="0">
                <a:solidFill>
                  <a:srgbClr val="C00000"/>
                </a:solidFill>
              </a:rPr>
              <a:t> 10 SKUs by Revenue</a:t>
            </a:r>
            <a:endParaRPr lang="en-US">
              <a:solidFill>
                <a:srgbClr val="C00000"/>
              </a:solidFill>
            </a:endParaRPr>
          </a:p>
        </c:rich>
      </c:tx>
      <c:layout>
        <c:manualLayout>
          <c:xMode val="edge"/>
          <c:yMode val="edge"/>
          <c:x val="0.29707978357213544"/>
          <c:y val="0.135852673021135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SKU'!$B$3</c:f>
              <c:strCache>
                <c:ptCount val="1"/>
                <c:pt idx="0">
                  <c:v>Total</c:v>
                </c:pt>
              </c:strCache>
            </c:strRef>
          </c:tx>
          <c:spPr>
            <a:solidFill>
              <a:schemeClr val="accent1"/>
            </a:solidFill>
            <a:ln>
              <a:noFill/>
            </a:ln>
            <a:effectLst/>
          </c:spPr>
          <c:invertIfNegative val="0"/>
          <c:cat>
            <c:strRef>
              <c:f>'Top 10 SKU'!$A$4:$A$14</c:f>
              <c:strCache>
                <c:ptCount val="10"/>
                <c:pt idx="0">
                  <c:v>NET-5987</c:v>
                </c:pt>
                <c:pt idx="1">
                  <c:v>NET-5523</c:v>
                </c:pt>
                <c:pt idx="2">
                  <c:v>NET-2365</c:v>
                </c:pt>
                <c:pt idx="3">
                  <c:v>MON-6962</c:v>
                </c:pt>
                <c:pt idx="4">
                  <c:v>MON-6699</c:v>
                </c:pt>
                <c:pt idx="5">
                  <c:v>MON-2266</c:v>
                </c:pt>
                <c:pt idx="6">
                  <c:v>LAP-8910</c:v>
                </c:pt>
                <c:pt idx="7">
                  <c:v>LAP-3904</c:v>
                </c:pt>
                <c:pt idx="8">
                  <c:v>CMP-8851</c:v>
                </c:pt>
                <c:pt idx="9">
                  <c:v>CMP-3938</c:v>
                </c:pt>
              </c:strCache>
            </c:strRef>
          </c:cat>
          <c:val>
            <c:numRef>
              <c:f>'Top 10 SKU'!$B$4:$B$14</c:f>
              <c:numCache>
                <c:formatCode>General</c:formatCode>
                <c:ptCount val="10"/>
                <c:pt idx="0">
                  <c:v>82141.339799999987</c:v>
                </c:pt>
                <c:pt idx="1">
                  <c:v>79548.755999999994</c:v>
                </c:pt>
                <c:pt idx="2">
                  <c:v>109244</c:v>
                </c:pt>
                <c:pt idx="3">
                  <c:v>92715.25</c:v>
                </c:pt>
                <c:pt idx="4">
                  <c:v>85637.740319999997</c:v>
                </c:pt>
                <c:pt idx="5">
                  <c:v>87404.929919999995</c:v>
                </c:pt>
                <c:pt idx="6">
                  <c:v>102122.94203999999</c:v>
                </c:pt>
                <c:pt idx="7">
                  <c:v>82514.711519999997</c:v>
                </c:pt>
                <c:pt idx="8">
                  <c:v>139277.83032000001</c:v>
                </c:pt>
                <c:pt idx="9">
                  <c:v>84136.119600000005</c:v>
                </c:pt>
              </c:numCache>
            </c:numRef>
          </c:val>
          <c:extLst>
            <c:ext xmlns:c16="http://schemas.microsoft.com/office/drawing/2014/chart" uri="{C3380CC4-5D6E-409C-BE32-E72D297353CC}">
              <c16:uniqueId val="{00000000-F024-4B4C-B570-B34C8BB991A6}"/>
            </c:ext>
          </c:extLst>
        </c:ser>
        <c:dLbls>
          <c:showLegendKey val="0"/>
          <c:showVal val="0"/>
          <c:showCatName val="0"/>
          <c:showSerName val="0"/>
          <c:showPercent val="0"/>
          <c:showBubbleSize val="0"/>
        </c:dLbls>
        <c:gapWidth val="182"/>
        <c:axId val="61662880"/>
        <c:axId val="744109232"/>
      </c:barChart>
      <c:catAx>
        <c:axId val="6166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4109232"/>
        <c:crosses val="autoZero"/>
        <c:auto val="1"/>
        <c:lblAlgn val="ctr"/>
        <c:lblOffset val="100"/>
        <c:noMultiLvlLbl val="0"/>
      </c:catAx>
      <c:valAx>
        <c:axId val="74410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66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[Assignment_dashboard.xlsx]Discount outliers!PivotTable17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Discount</a:t>
            </a:r>
            <a:r>
              <a:rPr lang="en-US" baseline="0">
                <a:solidFill>
                  <a:srgbClr val="C00000"/>
                </a:solidFill>
              </a:rPr>
              <a:t> outliers</a:t>
            </a:r>
            <a:endParaRPr lang="en-US">
              <a:solidFill>
                <a:srgbClr val="C00000"/>
              </a:solidFill>
            </a:endParaRPr>
          </a:p>
        </c:rich>
      </c:tx>
      <c:layout>
        <c:manualLayout>
          <c:xMode val="edge"/>
          <c:yMode val="edge"/>
          <c:x val="0.35331223210408053"/>
          <c:y val="0.166443227034394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outliers'!$B$3</c:f>
              <c:strCache>
                <c:ptCount val="1"/>
                <c:pt idx="0">
                  <c:v>Total</c:v>
                </c:pt>
              </c:strCache>
            </c:strRef>
          </c:tx>
          <c:spPr>
            <a:ln w="28575" cap="rnd">
              <a:solidFill>
                <a:schemeClr val="accent1"/>
              </a:solidFill>
              <a:round/>
            </a:ln>
            <a:effectLst/>
          </c:spPr>
          <c:marker>
            <c:symbol val="none"/>
          </c:marker>
          <c:cat>
            <c:strRef>
              <c:f>'Discount outliers'!$A$4:$A$94</c:f>
              <c:strCache>
                <c:ptCount val="90"/>
                <c:pt idx="0">
                  <c:v>ORD-2023-178249</c:v>
                </c:pt>
                <c:pt idx="1">
                  <c:v>ORD-2023-261081</c:v>
                </c:pt>
                <c:pt idx="2">
                  <c:v>ORD-2023-271918</c:v>
                </c:pt>
                <c:pt idx="3">
                  <c:v>ORD-2023-276806</c:v>
                </c:pt>
                <c:pt idx="4">
                  <c:v>ORD-2023-290279</c:v>
                </c:pt>
                <c:pt idx="5">
                  <c:v>ORD-2023-343322</c:v>
                </c:pt>
                <c:pt idx="6">
                  <c:v>ORD-2023-368449</c:v>
                </c:pt>
                <c:pt idx="7">
                  <c:v>ORD-2023-382272</c:v>
                </c:pt>
                <c:pt idx="8">
                  <c:v>ORD-2023-422918</c:v>
                </c:pt>
                <c:pt idx="9">
                  <c:v>ORD-2023-430904</c:v>
                </c:pt>
                <c:pt idx="10">
                  <c:v>ORD-2023-488227</c:v>
                </c:pt>
                <c:pt idx="11">
                  <c:v>ORD-2023-521818</c:v>
                </c:pt>
                <c:pt idx="12">
                  <c:v>ORD-2023-569862</c:v>
                </c:pt>
                <c:pt idx="13">
                  <c:v>ORD-2023-586275</c:v>
                </c:pt>
                <c:pt idx="14">
                  <c:v>ORD-2023-597666</c:v>
                </c:pt>
                <c:pt idx="15">
                  <c:v>ORD-2023-610470</c:v>
                </c:pt>
                <c:pt idx="16">
                  <c:v>ORD-2023-613287</c:v>
                </c:pt>
                <c:pt idx="17">
                  <c:v>ORD-2023-630430</c:v>
                </c:pt>
                <c:pt idx="18">
                  <c:v>ORD-2023-660608</c:v>
                </c:pt>
                <c:pt idx="19">
                  <c:v>ORD-2023-667815</c:v>
                </c:pt>
                <c:pt idx="20">
                  <c:v>ORD-2023-749324</c:v>
                </c:pt>
                <c:pt idx="21">
                  <c:v>ORD-2023-766015</c:v>
                </c:pt>
                <c:pt idx="22">
                  <c:v>ORD-2023-825084</c:v>
                </c:pt>
                <c:pt idx="23">
                  <c:v>ORD-2023-856322</c:v>
                </c:pt>
                <c:pt idx="24">
                  <c:v>ORD-2023-913592</c:v>
                </c:pt>
                <c:pt idx="25">
                  <c:v>ORD-2023-944052</c:v>
                </c:pt>
                <c:pt idx="26">
                  <c:v>ORD-2023-964434</c:v>
                </c:pt>
                <c:pt idx="27">
                  <c:v>ORD-2024-102866</c:v>
                </c:pt>
                <c:pt idx="28">
                  <c:v>ORD-2024-129345</c:v>
                </c:pt>
                <c:pt idx="29">
                  <c:v>ORD-2024-155337</c:v>
                </c:pt>
                <c:pt idx="30">
                  <c:v>ORD-2024-166150</c:v>
                </c:pt>
                <c:pt idx="31">
                  <c:v>ORD-2024-197852</c:v>
                </c:pt>
                <c:pt idx="32">
                  <c:v>ORD-2024-212990</c:v>
                </c:pt>
                <c:pt idx="33">
                  <c:v>ORD-2024-220234</c:v>
                </c:pt>
                <c:pt idx="34">
                  <c:v>ORD-2024-232632</c:v>
                </c:pt>
                <c:pt idx="35">
                  <c:v>ORD-2024-247979</c:v>
                </c:pt>
                <c:pt idx="36">
                  <c:v>ORD-2024-251426</c:v>
                </c:pt>
                <c:pt idx="37">
                  <c:v>ORD-2024-260775</c:v>
                </c:pt>
                <c:pt idx="38">
                  <c:v>ORD-2024-329104</c:v>
                </c:pt>
                <c:pt idx="39">
                  <c:v>ORD-2024-343877</c:v>
                </c:pt>
                <c:pt idx="40">
                  <c:v>ORD-2024-355095</c:v>
                </c:pt>
                <c:pt idx="41">
                  <c:v>ORD-2024-358795</c:v>
                </c:pt>
                <c:pt idx="42">
                  <c:v>ORD-2024-364080</c:v>
                </c:pt>
                <c:pt idx="43">
                  <c:v>ORD-2024-375848</c:v>
                </c:pt>
                <c:pt idx="44">
                  <c:v>ORD-2024-389102</c:v>
                </c:pt>
                <c:pt idx="45">
                  <c:v>ORD-2024-419248</c:v>
                </c:pt>
                <c:pt idx="46">
                  <c:v>ORD-2024-468501</c:v>
                </c:pt>
                <c:pt idx="47">
                  <c:v>ORD-2024-468655</c:v>
                </c:pt>
                <c:pt idx="48">
                  <c:v>ORD-2024-508213</c:v>
                </c:pt>
                <c:pt idx="49">
                  <c:v>ORD-2024-542244</c:v>
                </c:pt>
                <c:pt idx="50">
                  <c:v>ORD-2024-544865</c:v>
                </c:pt>
                <c:pt idx="51">
                  <c:v>ORD-2024-566589</c:v>
                </c:pt>
                <c:pt idx="52">
                  <c:v>ORD-2024-581530</c:v>
                </c:pt>
                <c:pt idx="53">
                  <c:v>ORD-2024-605629</c:v>
                </c:pt>
                <c:pt idx="54">
                  <c:v>ORD-2024-647473</c:v>
                </c:pt>
                <c:pt idx="55">
                  <c:v>ORD-2024-655710</c:v>
                </c:pt>
                <c:pt idx="56">
                  <c:v>ORD-2024-687073</c:v>
                </c:pt>
                <c:pt idx="57">
                  <c:v>ORD-2024-687100</c:v>
                </c:pt>
                <c:pt idx="58">
                  <c:v>ORD-2024-690270</c:v>
                </c:pt>
                <c:pt idx="59">
                  <c:v>ORD-2024-692673</c:v>
                </c:pt>
                <c:pt idx="60">
                  <c:v>ORD-2024-719055</c:v>
                </c:pt>
                <c:pt idx="61">
                  <c:v>ORD-2024-749242</c:v>
                </c:pt>
                <c:pt idx="62">
                  <c:v>ORD-2024-760799</c:v>
                </c:pt>
                <c:pt idx="63">
                  <c:v>ORD-2024-777623</c:v>
                </c:pt>
                <c:pt idx="64">
                  <c:v>ORD-2024-787018</c:v>
                </c:pt>
                <c:pt idx="65">
                  <c:v>ORD-2024-866535</c:v>
                </c:pt>
                <c:pt idx="66">
                  <c:v>ORD-2024-993481</c:v>
                </c:pt>
                <c:pt idx="67">
                  <c:v>ORD-2024-998320</c:v>
                </c:pt>
                <c:pt idx="68">
                  <c:v>ORD-2024-999607</c:v>
                </c:pt>
                <c:pt idx="69">
                  <c:v>ORD-2025-184754</c:v>
                </c:pt>
                <c:pt idx="70">
                  <c:v>ORD-2025-222035</c:v>
                </c:pt>
                <c:pt idx="71">
                  <c:v>ORD-2025-312803</c:v>
                </c:pt>
                <c:pt idx="72">
                  <c:v>ORD-2025-419532</c:v>
                </c:pt>
                <c:pt idx="73">
                  <c:v>ORD-2025-473192</c:v>
                </c:pt>
                <c:pt idx="74">
                  <c:v>ORD-2025-474368</c:v>
                </c:pt>
                <c:pt idx="75">
                  <c:v>ORD-2025-488349</c:v>
                </c:pt>
                <c:pt idx="76">
                  <c:v>ORD-2025-496178</c:v>
                </c:pt>
                <c:pt idx="77">
                  <c:v>ORD-2025-515515</c:v>
                </c:pt>
                <c:pt idx="78">
                  <c:v>ORD-2025-542939</c:v>
                </c:pt>
                <c:pt idx="79">
                  <c:v>ORD-2025-667201</c:v>
                </c:pt>
                <c:pt idx="80">
                  <c:v>ORD-2025-683043</c:v>
                </c:pt>
                <c:pt idx="81">
                  <c:v>ORD-2025-685236</c:v>
                </c:pt>
                <c:pt idx="82">
                  <c:v>ORD-2025-737787</c:v>
                </c:pt>
                <c:pt idx="83">
                  <c:v>ORD-2025-762301</c:v>
                </c:pt>
                <c:pt idx="84">
                  <c:v>ORD-2025-779530</c:v>
                </c:pt>
                <c:pt idx="85">
                  <c:v>ORD-2025-795385</c:v>
                </c:pt>
                <c:pt idx="86">
                  <c:v>ORD-2025-803803</c:v>
                </c:pt>
                <c:pt idx="87">
                  <c:v>ORD-2025-823055</c:v>
                </c:pt>
                <c:pt idx="88">
                  <c:v>ORD-2025-845715</c:v>
                </c:pt>
                <c:pt idx="89">
                  <c:v>ORD-2025-960931</c:v>
                </c:pt>
              </c:strCache>
            </c:strRef>
          </c:cat>
          <c:val>
            <c:numRef>
              <c:f>'Discount outliers'!$B$4:$B$94</c:f>
              <c:numCache>
                <c:formatCode>General</c:formatCode>
                <c:ptCount val="90"/>
                <c:pt idx="0">
                  <c:v>0.20300000000000001</c:v>
                </c:pt>
                <c:pt idx="1">
                  <c:v>0.56499999999999995</c:v>
                </c:pt>
                <c:pt idx="2">
                  <c:v>0.20399999999999999</c:v>
                </c:pt>
                <c:pt idx="3">
                  <c:v>0.20300000000000001</c:v>
                </c:pt>
                <c:pt idx="4">
                  <c:v>0.25700000000000001</c:v>
                </c:pt>
                <c:pt idx="5">
                  <c:v>0.24099999999999999</c:v>
                </c:pt>
                <c:pt idx="6">
                  <c:v>0.35699999999999998</c:v>
                </c:pt>
                <c:pt idx="7">
                  <c:v>0.34300000000000003</c:v>
                </c:pt>
                <c:pt idx="8">
                  <c:v>0.29199999999999998</c:v>
                </c:pt>
                <c:pt idx="9">
                  <c:v>0.22</c:v>
                </c:pt>
                <c:pt idx="10">
                  <c:v>0.20799999999999999</c:v>
                </c:pt>
                <c:pt idx="11">
                  <c:v>0.23300000000000001</c:v>
                </c:pt>
                <c:pt idx="12">
                  <c:v>0.216</c:v>
                </c:pt>
                <c:pt idx="13">
                  <c:v>0.24299999999999999</c:v>
                </c:pt>
                <c:pt idx="14">
                  <c:v>0.222</c:v>
                </c:pt>
                <c:pt idx="15">
                  <c:v>0.22</c:v>
                </c:pt>
                <c:pt idx="16">
                  <c:v>0.26500000000000001</c:v>
                </c:pt>
                <c:pt idx="17">
                  <c:v>0.216</c:v>
                </c:pt>
                <c:pt idx="18">
                  <c:v>0.24</c:v>
                </c:pt>
                <c:pt idx="19">
                  <c:v>0.20699999999999999</c:v>
                </c:pt>
                <c:pt idx="20">
                  <c:v>0.20399999999999999</c:v>
                </c:pt>
                <c:pt idx="21">
                  <c:v>0.28199999999999997</c:v>
                </c:pt>
                <c:pt idx="22">
                  <c:v>0.29899999999999999</c:v>
                </c:pt>
                <c:pt idx="23">
                  <c:v>0.22600000000000001</c:v>
                </c:pt>
                <c:pt idx="24">
                  <c:v>0.20899999999999999</c:v>
                </c:pt>
                <c:pt idx="25">
                  <c:v>0.27</c:v>
                </c:pt>
                <c:pt idx="26">
                  <c:v>0.23499999999999999</c:v>
                </c:pt>
                <c:pt idx="27">
                  <c:v>0.24099999999999999</c:v>
                </c:pt>
                <c:pt idx="28">
                  <c:v>0.21</c:v>
                </c:pt>
                <c:pt idx="29">
                  <c:v>0.27800000000000002</c:v>
                </c:pt>
                <c:pt idx="30">
                  <c:v>0.22900000000000001</c:v>
                </c:pt>
                <c:pt idx="31">
                  <c:v>0.20100000000000001</c:v>
                </c:pt>
                <c:pt idx="32">
                  <c:v>0.23599999999999999</c:v>
                </c:pt>
                <c:pt idx="33">
                  <c:v>0.22500000000000001</c:v>
                </c:pt>
                <c:pt idx="34">
                  <c:v>0.25900000000000001</c:v>
                </c:pt>
                <c:pt idx="35">
                  <c:v>0.255</c:v>
                </c:pt>
                <c:pt idx="36">
                  <c:v>0.254</c:v>
                </c:pt>
                <c:pt idx="37">
                  <c:v>0.29499999999999998</c:v>
                </c:pt>
                <c:pt idx="38">
                  <c:v>0.254</c:v>
                </c:pt>
                <c:pt idx="39">
                  <c:v>0.27200000000000002</c:v>
                </c:pt>
                <c:pt idx="40">
                  <c:v>0.20699999999999999</c:v>
                </c:pt>
                <c:pt idx="41">
                  <c:v>0.23699999999999999</c:v>
                </c:pt>
                <c:pt idx="42">
                  <c:v>0.22500000000000001</c:v>
                </c:pt>
                <c:pt idx="43">
                  <c:v>0.23899999999999999</c:v>
                </c:pt>
                <c:pt idx="44">
                  <c:v>0.245</c:v>
                </c:pt>
                <c:pt idx="45">
                  <c:v>0.23699999999999999</c:v>
                </c:pt>
                <c:pt idx="46">
                  <c:v>0.29199999999999998</c:v>
                </c:pt>
                <c:pt idx="47">
                  <c:v>0.24299999999999999</c:v>
                </c:pt>
                <c:pt idx="48">
                  <c:v>0.21099999999999999</c:v>
                </c:pt>
                <c:pt idx="49">
                  <c:v>0.24099999999999999</c:v>
                </c:pt>
                <c:pt idx="50">
                  <c:v>0.26300000000000001</c:v>
                </c:pt>
                <c:pt idx="51">
                  <c:v>0.216</c:v>
                </c:pt>
                <c:pt idx="52">
                  <c:v>0.214</c:v>
                </c:pt>
                <c:pt idx="53">
                  <c:v>0.254</c:v>
                </c:pt>
                <c:pt idx="54">
                  <c:v>0.26100000000000001</c:v>
                </c:pt>
                <c:pt idx="55">
                  <c:v>0.245</c:v>
                </c:pt>
                <c:pt idx="56">
                  <c:v>0.21099999999999999</c:v>
                </c:pt>
                <c:pt idx="57">
                  <c:v>0.20300000000000001</c:v>
                </c:pt>
                <c:pt idx="58">
                  <c:v>0.25600000000000001</c:v>
                </c:pt>
                <c:pt idx="59">
                  <c:v>0.24299999999999999</c:v>
                </c:pt>
                <c:pt idx="60">
                  <c:v>0.215</c:v>
                </c:pt>
                <c:pt idx="61">
                  <c:v>0.22600000000000001</c:v>
                </c:pt>
                <c:pt idx="62">
                  <c:v>0.215</c:v>
                </c:pt>
                <c:pt idx="63">
                  <c:v>0.26600000000000001</c:v>
                </c:pt>
                <c:pt idx="64">
                  <c:v>0.22900000000000001</c:v>
                </c:pt>
                <c:pt idx="65">
                  <c:v>0.23799999999999999</c:v>
                </c:pt>
                <c:pt idx="66">
                  <c:v>0.314</c:v>
                </c:pt>
                <c:pt idx="67">
                  <c:v>0.318</c:v>
                </c:pt>
                <c:pt idx="68">
                  <c:v>0.25800000000000001</c:v>
                </c:pt>
                <c:pt idx="69">
                  <c:v>0.20499999999999999</c:v>
                </c:pt>
                <c:pt idx="70">
                  <c:v>0.217</c:v>
                </c:pt>
                <c:pt idx="71">
                  <c:v>0.248</c:v>
                </c:pt>
                <c:pt idx="72">
                  <c:v>0.21199999999999999</c:v>
                </c:pt>
                <c:pt idx="73">
                  <c:v>0.29299999999999998</c:v>
                </c:pt>
                <c:pt idx="74">
                  <c:v>0.23499999999999999</c:v>
                </c:pt>
                <c:pt idx="75">
                  <c:v>0.215</c:v>
                </c:pt>
                <c:pt idx="76">
                  <c:v>0.25700000000000001</c:v>
                </c:pt>
                <c:pt idx="77">
                  <c:v>0.25</c:v>
                </c:pt>
                <c:pt idx="78">
                  <c:v>0.21099999999999999</c:v>
                </c:pt>
                <c:pt idx="79">
                  <c:v>0.21199999999999999</c:v>
                </c:pt>
                <c:pt idx="80">
                  <c:v>0.20499999999999999</c:v>
                </c:pt>
                <c:pt idx="81">
                  <c:v>0.317</c:v>
                </c:pt>
                <c:pt idx="82">
                  <c:v>0.23899999999999999</c:v>
                </c:pt>
                <c:pt idx="83">
                  <c:v>0.20499999999999999</c:v>
                </c:pt>
                <c:pt idx="84">
                  <c:v>0.34599999999999997</c:v>
                </c:pt>
                <c:pt idx="85">
                  <c:v>0.23</c:v>
                </c:pt>
                <c:pt idx="86">
                  <c:v>0.25</c:v>
                </c:pt>
                <c:pt idx="87">
                  <c:v>0.218</c:v>
                </c:pt>
                <c:pt idx="88">
                  <c:v>0.255</c:v>
                </c:pt>
                <c:pt idx="89">
                  <c:v>0.21199999999999999</c:v>
                </c:pt>
              </c:numCache>
            </c:numRef>
          </c:val>
          <c:smooth val="0"/>
          <c:extLst>
            <c:ext xmlns:c16="http://schemas.microsoft.com/office/drawing/2014/chart" uri="{C3380CC4-5D6E-409C-BE32-E72D297353CC}">
              <c16:uniqueId val="{00000000-E943-4B32-B5E4-3C64CCCBC253}"/>
            </c:ext>
          </c:extLst>
        </c:ser>
        <c:dLbls>
          <c:showLegendKey val="0"/>
          <c:showVal val="0"/>
          <c:showCatName val="0"/>
          <c:showSerName val="0"/>
          <c:showPercent val="0"/>
          <c:showBubbleSize val="0"/>
        </c:dLbls>
        <c:smooth val="0"/>
        <c:axId val="881967712"/>
        <c:axId val="881982112"/>
      </c:lineChart>
      <c:catAx>
        <c:axId val="88196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81982112"/>
        <c:crosses val="autoZero"/>
        <c:auto val="1"/>
        <c:lblAlgn val="ctr"/>
        <c:lblOffset val="100"/>
        <c:noMultiLvlLbl val="0"/>
      </c:catAx>
      <c:valAx>
        <c:axId val="88198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8196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6</xdr:col>
      <xdr:colOff>342900</xdr:colOff>
      <xdr:row>1</xdr:row>
      <xdr:rowOff>7621</xdr:rowOff>
    </xdr:from>
    <xdr:to>
      <xdr:col>8</xdr:col>
      <xdr:colOff>220980</xdr:colOff>
      <xdr:row>8</xdr:row>
      <xdr:rowOff>114301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556408E-F4F8-415F-D6BC-5273E16D35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00500" y="190501"/>
              <a:ext cx="1097280" cy="138684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320040</xdr:colOff>
      <xdr:row>0</xdr:row>
      <xdr:rowOff>22861</xdr:rowOff>
    </xdr:from>
    <xdr:to>
      <xdr:col>10</xdr:col>
      <xdr:colOff>251460</xdr:colOff>
      <xdr:row>10</xdr:row>
      <xdr:rowOff>68581</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FC8F9A00-4296-38FB-0894-F206FE7B94B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5196840" y="22861"/>
              <a:ext cx="1150620" cy="187452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320040</xdr:colOff>
      <xdr:row>0</xdr:row>
      <xdr:rowOff>22861</xdr:rowOff>
    </xdr:from>
    <xdr:to>
      <xdr:col>13</xdr:col>
      <xdr:colOff>320040</xdr:colOff>
      <xdr:row>10</xdr:row>
      <xdr:rowOff>76201</xdr:rowOff>
    </xdr:to>
    <mc:AlternateContent xmlns:mc="http://schemas.openxmlformats.org/markup-compatibility/2006">
      <mc:Choice xmlns:a14="http://schemas.microsoft.com/office/drawing/2010/main" Requires="a14">
        <xdr:graphicFrame macro="">
          <xdr:nvGraphicFramePr>
            <xdr:cNvPr id="4" name="Channel">
              <a:extLst>
                <a:ext uri="{FF2B5EF4-FFF2-40B4-BE49-F238E27FC236}">
                  <a16:creationId xmlns:a16="http://schemas.microsoft.com/office/drawing/2014/main" id="{63149172-9F50-6A64-4071-A4EC174CFD6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416040" y="22861"/>
              <a:ext cx="1828800" cy="188214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434340</xdr:colOff>
      <xdr:row>0</xdr:row>
      <xdr:rowOff>76201</xdr:rowOff>
    </xdr:from>
    <xdr:to>
      <xdr:col>16</xdr:col>
      <xdr:colOff>38100</xdr:colOff>
      <xdr:row>9</xdr:row>
      <xdr:rowOff>152401</xdr:rowOff>
    </xdr:to>
    <mc:AlternateContent xmlns:mc="http://schemas.openxmlformats.org/markup-compatibility/2006">
      <mc:Choice xmlns:a14="http://schemas.microsoft.com/office/drawing/2010/main" Requires="a14">
        <xdr:graphicFrame macro="">
          <xdr:nvGraphicFramePr>
            <xdr:cNvPr id="5" name="Salesperson">
              <a:extLst>
                <a:ext uri="{FF2B5EF4-FFF2-40B4-BE49-F238E27FC236}">
                  <a16:creationId xmlns:a16="http://schemas.microsoft.com/office/drawing/2014/main" id="{E8F5947C-0F5B-ECB3-5D7F-253558E63BD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359140" y="76201"/>
              <a:ext cx="1432560" cy="172212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304800</xdr:colOff>
      <xdr:row>1</xdr:row>
      <xdr:rowOff>7620</xdr:rowOff>
    </xdr:from>
    <xdr:to>
      <xdr:col>6</xdr:col>
      <xdr:colOff>60960</xdr:colOff>
      <xdr:row>10</xdr:row>
      <xdr:rowOff>76200</xdr:rowOff>
    </xdr:to>
    <mc:AlternateContent xmlns:mc="http://schemas.openxmlformats.org/markup-compatibility/2006">
      <mc:Choice xmlns:a14="http://schemas.microsoft.com/office/drawing/2010/main" Requires="a14">
        <xdr:graphicFrame macro="">
          <xdr:nvGraphicFramePr>
            <xdr:cNvPr id="6" name="ORDER DATE (M/Y)">
              <a:extLst>
                <a:ext uri="{FF2B5EF4-FFF2-40B4-BE49-F238E27FC236}">
                  <a16:creationId xmlns:a16="http://schemas.microsoft.com/office/drawing/2014/main" id="{2F0AABBB-08F3-61AF-EB1B-81035A5CFF37}"/>
                </a:ext>
              </a:extLst>
            </xdr:cNvPr>
            <xdr:cNvGraphicFramePr/>
          </xdr:nvGraphicFramePr>
          <xdr:xfrm>
            <a:off x="0" y="0"/>
            <a:ext cx="0" cy="0"/>
          </xdr:xfrm>
          <a:graphic>
            <a:graphicData uri="http://schemas.microsoft.com/office/drawing/2010/slicer">
              <sle:slicer xmlns:sle="http://schemas.microsoft.com/office/drawing/2010/slicer" name="ORDER DATE (M/Y)"/>
            </a:graphicData>
          </a:graphic>
        </xdr:graphicFrame>
      </mc:Choice>
      <mc:Fallback>
        <xdr:sp macro="" textlink="">
          <xdr:nvSpPr>
            <xdr:cNvPr id="0" name=""/>
            <xdr:cNvSpPr>
              <a:spLocks noTextEdit="1"/>
            </xdr:cNvSpPr>
          </xdr:nvSpPr>
          <xdr:spPr>
            <a:xfrm>
              <a:off x="2133600" y="190500"/>
              <a:ext cx="1584960" cy="1714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0</xdr:row>
      <xdr:rowOff>83821</xdr:rowOff>
    </xdr:from>
    <xdr:to>
      <xdr:col>3</xdr:col>
      <xdr:colOff>251460</xdr:colOff>
      <xdr:row>10</xdr:row>
      <xdr:rowOff>152401</xdr:rowOff>
    </xdr:to>
    <mc:AlternateContent xmlns:mc="http://schemas.openxmlformats.org/markup-compatibility/2006">
      <mc:Choice xmlns:a14="http://schemas.microsoft.com/office/drawing/2010/main" Requires="a14">
        <xdr:graphicFrame macro="">
          <xdr:nvGraphicFramePr>
            <xdr:cNvPr id="7" name="ProductCategory">
              <a:extLst>
                <a:ext uri="{FF2B5EF4-FFF2-40B4-BE49-F238E27FC236}">
                  <a16:creationId xmlns:a16="http://schemas.microsoft.com/office/drawing/2014/main" id="{80C96928-BC96-19B8-B975-3C8E0AC599CD}"/>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251460" y="83821"/>
              <a:ext cx="1828800" cy="189738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586740</xdr:colOff>
      <xdr:row>0</xdr:row>
      <xdr:rowOff>121920</xdr:rowOff>
    </xdr:from>
    <xdr:to>
      <xdr:col>5</xdr:col>
      <xdr:colOff>396240</xdr:colOff>
      <xdr:row>11</xdr:row>
      <xdr:rowOff>60961</xdr:rowOff>
    </xdr:to>
    <mc:AlternateContent xmlns:mc="http://schemas.openxmlformats.org/markup-compatibility/2006">
      <mc:Choice xmlns:a14="http://schemas.microsoft.com/office/drawing/2010/main" Requires="a14">
        <xdr:graphicFrame macro="">
          <xdr:nvGraphicFramePr>
            <xdr:cNvPr id="2" name="Gross revenue">
              <a:extLst>
                <a:ext uri="{FF2B5EF4-FFF2-40B4-BE49-F238E27FC236}">
                  <a16:creationId xmlns:a16="http://schemas.microsoft.com/office/drawing/2014/main" id="{669A2093-CD51-2B46-35B6-644D3D941365}"/>
                </a:ext>
              </a:extLst>
            </xdr:cNvPr>
            <xdr:cNvGraphicFramePr/>
          </xdr:nvGraphicFramePr>
          <xdr:xfrm>
            <a:off x="0" y="0"/>
            <a:ext cx="0" cy="0"/>
          </xdr:xfrm>
          <a:graphic>
            <a:graphicData uri="http://schemas.microsoft.com/office/drawing/2010/slicer">
              <sle:slicer xmlns:sle="http://schemas.microsoft.com/office/drawing/2010/slicer" name="Gross revenue"/>
            </a:graphicData>
          </a:graphic>
        </xdr:graphicFrame>
      </mc:Choice>
      <mc:Fallback>
        <xdr:sp macro="" textlink="">
          <xdr:nvSpPr>
            <xdr:cNvPr id="0" name=""/>
            <xdr:cNvSpPr>
              <a:spLocks noTextEdit="1"/>
            </xdr:cNvSpPr>
          </xdr:nvSpPr>
          <xdr:spPr>
            <a:xfrm>
              <a:off x="3078480" y="121920"/>
              <a:ext cx="1615440" cy="19507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0</xdr:row>
      <xdr:rowOff>144780</xdr:rowOff>
    </xdr:from>
    <xdr:to>
      <xdr:col>8</xdr:col>
      <xdr:colOff>190500</xdr:colOff>
      <xdr:row>11</xdr:row>
      <xdr:rowOff>68581</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9D262B95-991F-F6ED-F47C-6162A663546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869180" y="144780"/>
              <a:ext cx="1455420" cy="193548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449580</xdr:colOff>
      <xdr:row>0</xdr:row>
      <xdr:rowOff>160021</xdr:rowOff>
    </xdr:from>
    <xdr:to>
      <xdr:col>11</xdr:col>
      <xdr:colOff>487680</xdr:colOff>
      <xdr:row>11</xdr:row>
      <xdr:rowOff>38101</xdr:rowOff>
    </xdr:to>
    <mc:AlternateContent xmlns:mc="http://schemas.openxmlformats.org/markup-compatibility/2006">
      <mc:Choice xmlns:a14="http://schemas.microsoft.com/office/drawing/2010/main" Requires="a14">
        <xdr:graphicFrame macro="">
          <xdr:nvGraphicFramePr>
            <xdr:cNvPr id="6" name="OrderDate">
              <a:extLst>
                <a:ext uri="{FF2B5EF4-FFF2-40B4-BE49-F238E27FC236}">
                  <a16:creationId xmlns:a16="http://schemas.microsoft.com/office/drawing/2014/main" id="{08E60FB7-6A76-15BF-F7F1-7788A036CD5A}"/>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dr:sp macro="" textlink="">
          <xdr:nvSpPr>
            <xdr:cNvPr id="0" name=""/>
            <xdr:cNvSpPr>
              <a:spLocks noTextEdit="1"/>
            </xdr:cNvSpPr>
          </xdr:nvSpPr>
          <xdr:spPr>
            <a:xfrm>
              <a:off x="6583680" y="160021"/>
              <a:ext cx="1828800" cy="188976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342900</xdr:colOff>
      <xdr:row>0</xdr:row>
      <xdr:rowOff>60960</xdr:rowOff>
    </xdr:from>
    <xdr:to>
      <xdr:col>10</xdr:col>
      <xdr:colOff>312420</xdr:colOff>
      <xdr:row>2</xdr:row>
      <xdr:rowOff>68580</xdr:rowOff>
    </xdr:to>
    <xdr:sp macro="" textlink="">
      <xdr:nvSpPr>
        <xdr:cNvPr id="2" name="Rectangle: Rounded Corners 1">
          <a:extLst>
            <a:ext uri="{FF2B5EF4-FFF2-40B4-BE49-F238E27FC236}">
              <a16:creationId xmlns:a16="http://schemas.microsoft.com/office/drawing/2014/main" id="{8AF816DF-FF64-1746-D9A1-792A1367E2D4}"/>
            </a:ext>
          </a:extLst>
        </xdr:cNvPr>
        <xdr:cNvSpPr/>
      </xdr:nvSpPr>
      <xdr:spPr>
        <a:xfrm>
          <a:off x="2781300" y="60960"/>
          <a:ext cx="3627120" cy="3733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400" b="1">
              <a:solidFill>
                <a:srgbClr val="C00000"/>
              </a:solidFill>
            </a:rPr>
            <a:t>SALES </a:t>
          </a:r>
          <a:r>
            <a:rPr lang="en-US" sz="1400" b="1" baseline="0">
              <a:solidFill>
                <a:srgbClr val="C00000"/>
              </a:solidFill>
            </a:rPr>
            <a:t>ANALYTICS &amp; OPERATION DASHBOARD</a:t>
          </a:r>
          <a:endParaRPr lang="en-KE" sz="1400" b="1">
            <a:solidFill>
              <a:srgbClr val="C00000"/>
            </a:solidFill>
          </a:endParaRPr>
        </a:p>
      </xdr:txBody>
    </xdr:sp>
    <xdr:clientData/>
  </xdr:twoCellAnchor>
  <xdr:twoCellAnchor>
    <xdr:from>
      <xdr:col>4</xdr:col>
      <xdr:colOff>464820</xdr:colOff>
      <xdr:row>2</xdr:row>
      <xdr:rowOff>137160</xdr:rowOff>
    </xdr:from>
    <xdr:to>
      <xdr:col>6</xdr:col>
      <xdr:colOff>533400</xdr:colOff>
      <xdr:row>5</xdr:row>
      <xdr:rowOff>83820</xdr:rowOff>
    </xdr:to>
    <xdr:sp macro="" textlink="">
      <xdr:nvSpPr>
        <xdr:cNvPr id="3" name="Rectangle: Rounded Corners 2">
          <a:extLst>
            <a:ext uri="{FF2B5EF4-FFF2-40B4-BE49-F238E27FC236}">
              <a16:creationId xmlns:a16="http://schemas.microsoft.com/office/drawing/2014/main" id="{6FB75049-AD20-41E4-4BA6-BA5A8A437E33}"/>
            </a:ext>
          </a:extLst>
        </xdr:cNvPr>
        <xdr:cNvSpPr/>
      </xdr:nvSpPr>
      <xdr:spPr>
        <a:xfrm>
          <a:off x="2903220" y="502920"/>
          <a:ext cx="1287780" cy="495300"/>
        </a:xfrm>
        <a:prstGeom prst="roundRect">
          <a:avLst/>
        </a:prstGeom>
        <a:ln>
          <a:solidFill>
            <a:schemeClr val="tx1">
              <a:lumMod val="95000"/>
              <a:lumOff val="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 TOTAL REVENUE:</a:t>
          </a:r>
        </a:p>
        <a:p>
          <a:pPr algn="l"/>
          <a:r>
            <a:rPr lang="en-US" sz="1100" b="1" i="0" u="none" strike="noStrike">
              <a:solidFill>
                <a:srgbClr val="000000"/>
              </a:solidFill>
              <a:effectLst/>
              <a:latin typeface="Calibri" panose="020F0502020204030204" pitchFamily="34" charset="0"/>
            </a:rPr>
            <a:t>    </a:t>
          </a:r>
          <a:r>
            <a:rPr lang="en-KE" sz="1100" b="1" i="0" u="none" strike="noStrike">
              <a:solidFill>
                <a:srgbClr val="000000"/>
              </a:solidFill>
              <a:effectLst/>
              <a:latin typeface="Calibri" panose="020F0502020204030204" pitchFamily="34" charset="0"/>
            </a:rPr>
            <a:t>11031717.47</a:t>
          </a:r>
          <a:r>
            <a:rPr lang="en-KE">
              <a:effectLst/>
            </a:rPr>
            <a:t> </a:t>
          </a:r>
          <a:endParaRPr lang="en-KE" sz="1100"/>
        </a:p>
      </xdr:txBody>
    </xdr:sp>
    <xdr:clientData/>
  </xdr:twoCellAnchor>
  <xdr:twoCellAnchor>
    <xdr:from>
      <xdr:col>7</xdr:col>
      <xdr:colOff>22860</xdr:colOff>
      <xdr:row>2</xdr:row>
      <xdr:rowOff>137160</xdr:rowOff>
    </xdr:from>
    <xdr:to>
      <xdr:col>8</xdr:col>
      <xdr:colOff>579120</xdr:colOff>
      <xdr:row>5</xdr:row>
      <xdr:rowOff>76200</xdr:rowOff>
    </xdr:to>
    <xdr:sp macro="" textlink="">
      <xdr:nvSpPr>
        <xdr:cNvPr id="5" name="Rectangle: Rounded Corners 4">
          <a:extLst>
            <a:ext uri="{FF2B5EF4-FFF2-40B4-BE49-F238E27FC236}">
              <a16:creationId xmlns:a16="http://schemas.microsoft.com/office/drawing/2014/main" id="{7BCCB318-18BC-D87C-006E-B6BCDC453F18}"/>
            </a:ext>
          </a:extLst>
        </xdr:cNvPr>
        <xdr:cNvSpPr/>
      </xdr:nvSpPr>
      <xdr:spPr>
        <a:xfrm>
          <a:off x="4290060" y="502920"/>
          <a:ext cx="1165860" cy="487680"/>
        </a:xfrm>
        <a:prstGeom prst="roundRect">
          <a:avLst/>
        </a:prstGeom>
        <a:ln>
          <a:solidFill>
            <a:schemeClr val="tx1">
              <a:lumMod val="95000"/>
              <a:lumOff val="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GROSS </a:t>
          </a:r>
          <a:r>
            <a:rPr lang="en-US" sz="1100" baseline="0"/>
            <a:t>PROFIT:</a:t>
          </a:r>
        </a:p>
        <a:p>
          <a:pPr algn="l"/>
          <a:r>
            <a:rPr lang="en-KE" sz="1100" b="1" i="0" u="none" strike="noStrike">
              <a:solidFill>
                <a:schemeClr val="dk1"/>
              </a:solidFill>
              <a:effectLst/>
              <a:latin typeface="+mn-lt"/>
              <a:ea typeface="+mn-ea"/>
              <a:cs typeface="+mn-cs"/>
            </a:rPr>
            <a:t>3503969.761</a:t>
          </a:r>
          <a:r>
            <a:rPr lang="en-KE" b="1">
              <a:effectLst/>
            </a:rPr>
            <a:t> </a:t>
          </a:r>
          <a:endParaRPr lang="en-KE" sz="1100" b="1"/>
        </a:p>
      </xdr:txBody>
    </xdr:sp>
    <xdr:clientData/>
  </xdr:twoCellAnchor>
  <xdr:twoCellAnchor>
    <xdr:from>
      <xdr:col>9</xdr:col>
      <xdr:colOff>53340</xdr:colOff>
      <xdr:row>2</xdr:row>
      <xdr:rowOff>137160</xdr:rowOff>
    </xdr:from>
    <xdr:to>
      <xdr:col>10</xdr:col>
      <xdr:colOff>571500</xdr:colOff>
      <xdr:row>5</xdr:row>
      <xdr:rowOff>68580</xdr:rowOff>
    </xdr:to>
    <xdr:sp macro="" textlink="">
      <xdr:nvSpPr>
        <xdr:cNvPr id="6" name="Rectangle: Rounded Corners 5">
          <a:extLst>
            <a:ext uri="{FF2B5EF4-FFF2-40B4-BE49-F238E27FC236}">
              <a16:creationId xmlns:a16="http://schemas.microsoft.com/office/drawing/2014/main" id="{1BEDDEE1-2969-1FF1-16D1-9227111C2D81}"/>
            </a:ext>
          </a:extLst>
        </xdr:cNvPr>
        <xdr:cNvSpPr/>
      </xdr:nvSpPr>
      <xdr:spPr>
        <a:xfrm>
          <a:off x="5539740" y="502920"/>
          <a:ext cx="1127760" cy="480060"/>
        </a:xfrm>
        <a:prstGeom prst="roundRect">
          <a:avLst/>
        </a:prstGeom>
        <a:ln>
          <a:solidFill>
            <a:schemeClr val="tx1">
              <a:lumMod val="95000"/>
              <a:lumOff val="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    MARGIN</a:t>
          </a:r>
          <a:r>
            <a:rPr lang="en-US" sz="1100" baseline="0"/>
            <a:t> </a:t>
          </a:r>
          <a:r>
            <a:rPr lang="en-US" sz="1100"/>
            <a:t> %:</a:t>
          </a:r>
        </a:p>
        <a:p>
          <a:pPr algn="l"/>
          <a:r>
            <a:rPr lang="en-US" sz="1100" b="1" i="0" u="none" strike="noStrike">
              <a:solidFill>
                <a:srgbClr val="000000"/>
              </a:solidFill>
              <a:effectLst/>
              <a:latin typeface="Calibri" panose="020F0502020204030204" pitchFamily="34" charset="0"/>
            </a:rPr>
            <a:t>    </a:t>
          </a:r>
          <a:r>
            <a:rPr lang="en-KE" sz="1100" b="1" i="0" u="none" strike="noStrike">
              <a:solidFill>
                <a:srgbClr val="000000"/>
              </a:solidFill>
              <a:effectLst/>
              <a:latin typeface="Calibri" panose="020F0502020204030204" pitchFamily="34" charset="0"/>
            </a:rPr>
            <a:t>0.244529988</a:t>
          </a:r>
          <a:r>
            <a:rPr lang="en-KE">
              <a:effectLst/>
            </a:rPr>
            <a:t> </a:t>
          </a:r>
          <a:endParaRPr lang="en-KE" sz="1100"/>
        </a:p>
      </xdr:txBody>
    </xdr:sp>
    <xdr:clientData/>
  </xdr:twoCellAnchor>
  <xdr:twoCellAnchor>
    <xdr:from>
      <xdr:col>11</xdr:col>
      <xdr:colOff>30480</xdr:colOff>
      <xdr:row>2</xdr:row>
      <xdr:rowOff>106680</xdr:rowOff>
    </xdr:from>
    <xdr:to>
      <xdr:col>13</xdr:col>
      <xdr:colOff>243840</xdr:colOff>
      <xdr:row>5</xdr:row>
      <xdr:rowOff>60960</xdr:rowOff>
    </xdr:to>
    <xdr:sp macro="" textlink="">
      <xdr:nvSpPr>
        <xdr:cNvPr id="7" name="Rectangle: Rounded Corners 6">
          <a:extLst>
            <a:ext uri="{FF2B5EF4-FFF2-40B4-BE49-F238E27FC236}">
              <a16:creationId xmlns:a16="http://schemas.microsoft.com/office/drawing/2014/main" id="{CDF4E184-5EB0-B3E5-F595-66002F335586}"/>
            </a:ext>
          </a:extLst>
        </xdr:cNvPr>
        <xdr:cNvSpPr/>
      </xdr:nvSpPr>
      <xdr:spPr>
        <a:xfrm>
          <a:off x="6736080" y="472440"/>
          <a:ext cx="1432560" cy="502920"/>
        </a:xfrm>
        <a:prstGeom prst="roundRect">
          <a:avLst/>
        </a:prstGeom>
        <a:ln>
          <a:solidFill>
            <a:schemeClr val="tx1">
              <a:lumMod val="95000"/>
              <a:lumOff val="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AVG ORDER</a:t>
          </a:r>
          <a:r>
            <a:rPr lang="en-US" sz="1100" baseline="0"/>
            <a:t> VALUE:</a:t>
          </a:r>
        </a:p>
        <a:p>
          <a:pPr algn="l"/>
          <a:r>
            <a:rPr lang="en-US" sz="1100" b="1" i="0" u="none" strike="noStrike">
              <a:solidFill>
                <a:schemeClr val="dk1"/>
              </a:solidFill>
              <a:effectLst/>
              <a:latin typeface="+mn-lt"/>
              <a:ea typeface="+mn-ea"/>
              <a:cs typeface="+mn-cs"/>
            </a:rPr>
            <a:t>       </a:t>
          </a:r>
          <a:r>
            <a:rPr lang="en-KE" sz="1100" b="1" i="0" u="none" strike="noStrike">
              <a:solidFill>
                <a:schemeClr val="dk1"/>
              </a:solidFill>
              <a:effectLst/>
              <a:latin typeface="+mn-lt"/>
              <a:ea typeface="+mn-ea"/>
              <a:cs typeface="+mn-cs"/>
            </a:rPr>
            <a:t>17455.24916</a:t>
          </a:r>
          <a:r>
            <a:rPr lang="en-KE" b="1">
              <a:effectLst/>
            </a:rPr>
            <a:t> </a:t>
          </a:r>
          <a:endParaRPr lang="en-KE" sz="1100" b="1"/>
        </a:p>
      </xdr:txBody>
    </xdr:sp>
    <xdr:clientData/>
  </xdr:twoCellAnchor>
  <xdr:twoCellAnchor>
    <xdr:from>
      <xdr:col>13</xdr:col>
      <xdr:colOff>304800</xdr:colOff>
      <xdr:row>2</xdr:row>
      <xdr:rowOff>83820</xdr:rowOff>
    </xdr:from>
    <xdr:to>
      <xdr:col>15</xdr:col>
      <xdr:colOff>548640</xdr:colOff>
      <xdr:row>5</xdr:row>
      <xdr:rowOff>22860</xdr:rowOff>
    </xdr:to>
    <xdr:sp macro="" textlink="">
      <xdr:nvSpPr>
        <xdr:cNvPr id="8" name="Rectangle: Rounded Corners 7">
          <a:extLst>
            <a:ext uri="{FF2B5EF4-FFF2-40B4-BE49-F238E27FC236}">
              <a16:creationId xmlns:a16="http://schemas.microsoft.com/office/drawing/2014/main" id="{6F3C050D-5607-955C-C94A-F94E64FEF66A}"/>
            </a:ext>
          </a:extLst>
        </xdr:cNvPr>
        <xdr:cNvSpPr/>
      </xdr:nvSpPr>
      <xdr:spPr>
        <a:xfrm>
          <a:off x="8229600" y="449580"/>
          <a:ext cx="1463040" cy="487680"/>
        </a:xfrm>
        <a:prstGeom prst="roundRect">
          <a:avLst/>
        </a:prstGeom>
        <a:ln>
          <a:solidFill>
            <a:schemeClr val="tx1">
              <a:lumMod val="95000"/>
              <a:lumOff val="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  ONTIME VALUE%:              </a:t>
          </a:r>
          <a:r>
            <a:rPr lang="en-KE" sz="1100" b="1" i="0" u="none" strike="noStrike">
              <a:solidFill>
                <a:schemeClr val="dk1"/>
              </a:solidFill>
              <a:effectLst/>
              <a:latin typeface="+mn-lt"/>
              <a:ea typeface="+mn-ea"/>
              <a:cs typeface="+mn-cs"/>
            </a:rPr>
            <a:t>0.272</a:t>
          </a:r>
          <a:r>
            <a:rPr lang="en-US" sz="1100" b="1" i="0" u="none" strike="noStrike">
              <a:solidFill>
                <a:schemeClr val="dk1"/>
              </a:solidFill>
              <a:effectLst/>
              <a:latin typeface="+mn-lt"/>
              <a:ea typeface="+mn-ea"/>
              <a:cs typeface="+mn-cs"/>
            </a:rPr>
            <a:t>%</a:t>
          </a:r>
          <a:endParaRPr lang="en-KE" sz="1100" b="1"/>
        </a:p>
      </xdr:txBody>
    </xdr:sp>
    <xdr:clientData/>
  </xdr:twoCellAnchor>
  <xdr:twoCellAnchor editAs="oneCell">
    <xdr:from>
      <xdr:col>0</xdr:col>
      <xdr:colOff>76200</xdr:colOff>
      <xdr:row>1</xdr:row>
      <xdr:rowOff>137160</xdr:rowOff>
    </xdr:from>
    <xdr:to>
      <xdr:col>2</xdr:col>
      <xdr:colOff>7620</xdr:colOff>
      <xdr:row>9</xdr:row>
      <xdr:rowOff>22860</xdr:rowOff>
    </xdr:to>
    <mc:AlternateContent xmlns:mc="http://schemas.openxmlformats.org/markup-compatibility/2006">
      <mc:Choice xmlns:a14="http://schemas.microsoft.com/office/drawing/2010/main" Requires="a14">
        <xdr:graphicFrame macro="">
          <xdr:nvGraphicFramePr>
            <xdr:cNvPr id="15" name="ProductCategory 1">
              <a:extLst>
                <a:ext uri="{FF2B5EF4-FFF2-40B4-BE49-F238E27FC236}">
                  <a16:creationId xmlns:a16="http://schemas.microsoft.com/office/drawing/2014/main" id="{336D793B-CC9C-44B1-A45C-62EB06E9EEBE}"/>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76200" y="320040"/>
              <a:ext cx="1150620" cy="134874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9</xdr:row>
      <xdr:rowOff>83820</xdr:rowOff>
    </xdr:from>
    <xdr:to>
      <xdr:col>2</xdr:col>
      <xdr:colOff>83820</xdr:colOff>
      <xdr:row>18</xdr:row>
      <xdr:rowOff>45720</xdr:rowOff>
    </xdr:to>
    <mc:AlternateContent xmlns:mc="http://schemas.openxmlformats.org/markup-compatibility/2006">
      <mc:Choice xmlns:a14="http://schemas.microsoft.com/office/drawing/2010/main" Requires="a14">
        <xdr:graphicFrame macro="">
          <xdr:nvGraphicFramePr>
            <xdr:cNvPr id="17" name="ORDER DATE (M/Y) 1">
              <a:extLst>
                <a:ext uri="{FF2B5EF4-FFF2-40B4-BE49-F238E27FC236}">
                  <a16:creationId xmlns:a16="http://schemas.microsoft.com/office/drawing/2014/main" id="{C3333398-C5C8-40E8-9077-A6756925D9EE}"/>
                </a:ext>
              </a:extLst>
            </xdr:cNvPr>
            <xdr:cNvGraphicFramePr/>
          </xdr:nvGraphicFramePr>
          <xdr:xfrm>
            <a:off x="0" y="0"/>
            <a:ext cx="0" cy="0"/>
          </xdr:xfrm>
          <a:graphic>
            <a:graphicData uri="http://schemas.microsoft.com/office/drawing/2010/slicer">
              <sle:slicer xmlns:sle="http://schemas.microsoft.com/office/drawing/2010/slicer" name="ORDER DATE (M/Y) 1"/>
            </a:graphicData>
          </a:graphic>
        </xdr:graphicFrame>
      </mc:Choice>
      <mc:Fallback>
        <xdr:sp macro="" textlink="">
          <xdr:nvSpPr>
            <xdr:cNvPr id="0" name=""/>
            <xdr:cNvSpPr>
              <a:spLocks noTextEdit="1"/>
            </xdr:cNvSpPr>
          </xdr:nvSpPr>
          <xdr:spPr>
            <a:xfrm>
              <a:off x="60960" y="1729740"/>
              <a:ext cx="1242060" cy="160782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91440</xdr:colOff>
      <xdr:row>1</xdr:row>
      <xdr:rowOff>144780</xdr:rowOff>
    </xdr:from>
    <xdr:to>
      <xdr:col>3</xdr:col>
      <xdr:colOff>579120</xdr:colOff>
      <xdr:row>9</xdr:row>
      <xdr:rowOff>68580</xdr:rowOff>
    </xdr:to>
    <mc:AlternateContent xmlns:mc="http://schemas.openxmlformats.org/markup-compatibility/2006">
      <mc:Choice xmlns:a14="http://schemas.microsoft.com/office/drawing/2010/main" Requires="a14">
        <xdr:graphicFrame macro="">
          <xdr:nvGraphicFramePr>
            <xdr:cNvPr id="19" name="Region 1">
              <a:extLst>
                <a:ext uri="{FF2B5EF4-FFF2-40B4-BE49-F238E27FC236}">
                  <a16:creationId xmlns:a16="http://schemas.microsoft.com/office/drawing/2014/main" id="{829E4DD8-2170-440E-A6A3-C86734A1AE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10640" y="327660"/>
              <a:ext cx="1097280" cy="138684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106680</xdr:colOff>
      <xdr:row>9</xdr:row>
      <xdr:rowOff>152400</xdr:rowOff>
    </xdr:from>
    <xdr:to>
      <xdr:col>4</xdr:col>
      <xdr:colOff>45720</xdr:colOff>
      <xdr:row>18</xdr:row>
      <xdr:rowOff>83820</xdr:rowOff>
    </xdr:to>
    <mc:AlternateContent xmlns:mc="http://schemas.openxmlformats.org/markup-compatibility/2006">
      <mc:Choice xmlns:a14="http://schemas.microsoft.com/office/drawing/2010/main" Requires="a14">
        <xdr:graphicFrame macro="">
          <xdr:nvGraphicFramePr>
            <xdr:cNvPr id="21" name="Country 2">
              <a:extLst>
                <a:ext uri="{FF2B5EF4-FFF2-40B4-BE49-F238E27FC236}">
                  <a16:creationId xmlns:a16="http://schemas.microsoft.com/office/drawing/2014/main" id="{59549316-5382-4AFA-9EA5-C12821D6230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1325880" y="1798320"/>
              <a:ext cx="1158240" cy="157734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18</xdr:row>
      <xdr:rowOff>121920</xdr:rowOff>
    </xdr:from>
    <xdr:to>
      <xdr:col>2</xdr:col>
      <xdr:colOff>76200</xdr:colOff>
      <xdr:row>28</xdr:row>
      <xdr:rowOff>15240</xdr:rowOff>
    </xdr:to>
    <mc:AlternateContent xmlns:mc="http://schemas.openxmlformats.org/markup-compatibility/2006">
      <mc:Choice xmlns:a14="http://schemas.microsoft.com/office/drawing/2010/main" Requires="a14">
        <xdr:graphicFrame macro="">
          <xdr:nvGraphicFramePr>
            <xdr:cNvPr id="23" name="Channel 1">
              <a:extLst>
                <a:ext uri="{FF2B5EF4-FFF2-40B4-BE49-F238E27FC236}">
                  <a16:creationId xmlns:a16="http://schemas.microsoft.com/office/drawing/2014/main" id="{5B1A10FF-3AA7-460A-8B53-E20BA0DB103B}"/>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68580" y="3413760"/>
              <a:ext cx="1226820" cy="172212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144780</xdr:colOff>
      <xdr:row>19</xdr:row>
      <xdr:rowOff>0</xdr:rowOff>
    </xdr:from>
    <xdr:to>
      <xdr:col>4</xdr:col>
      <xdr:colOff>45720</xdr:colOff>
      <xdr:row>28</xdr:row>
      <xdr:rowOff>76200</xdr:rowOff>
    </xdr:to>
    <mc:AlternateContent xmlns:mc="http://schemas.openxmlformats.org/markup-compatibility/2006">
      <mc:Choice xmlns:a14="http://schemas.microsoft.com/office/drawing/2010/main" Requires="a14">
        <xdr:graphicFrame macro="">
          <xdr:nvGraphicFramePr>
            <xdr:cNvPr id="25" name="Salesperson 1">
              <a:extLst>
                <a:ext uri="{FF2B5EF4-FFF2-40B4-BE49-F238E27FC236}">
                  <a16:creationId xmlns:a16="http://schemas.microsoft.com/office/drawing/2014/main" id="{319E0BEA-8BF9-42B3-8978-F1C03017F7F8}"/>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363980" y="3474720"/>
              <a:ext cx="1120140" cy="172212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5</xdr:row>
      <xdr:rowOff>152400</xdr:rowOff>
    </xdr:from>
    <xdr:to>
      <xdr:col>9</xdr:col>
      <xdr:colOff>594360</xdr:colOff>
      <xdr:row>15</xdr:row>
      <xdr:rowOff>106680</xdr:rowOff>
    </xdr:to>
    <xdr:graphicFrame macro="">
      <xdr:nvGraphicFramePr>
        <xdr:cNvPr id="27" name="Chart 26">
          <a:extLst>
            <a:ext uri="{FF2B5EF4-FFF2-40B4-BE49-F238E27FC236}">
              <a16:creationId xmlns:a16="http://schemas.microsoft.com/office/drawing/2014/main" id="{02CB8E8D-5701-4C6C-BB2D-C38A79CBA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xdr:colOff>
      <xdr:row>5</xdr:row>
      <xdr:rowOff>137160</xdr:rowOff>
    </xdr:from>
    <xdr:to>
      <xdr:col>16</xdr:col>
      <xdr:colOff>60960</xdr:colOff>
      <xdr:row>18</xdr:row>
      <xdr:rowOff>99060</xdr:rowOff>
    </xdr:to>
    <xdr:graphicFrame macro="">
      <xdr:nvGraphicFramePr>
        <xdr:cNvPr id="29" name="Chart 28">
          <a:extLst>
            <a:ext uri="{FF2B5EF4-FFF2-40B4-BE49-F238E27FC236}">
              <a16:creationId xmlns:a16="http://schemas.microsoft.com/office/drawing/2014/main" id="{58D402A6-FECA-4898-B245-FE1624E52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99060</xdr:colOff>
      <xdr:row>16</xdr:row>
      <xdr:rowOff>7620</xdr:rowOff>
    </xdr:from>
    <xdr:to>
      <xdr:col>9</xdr:col>
      <xdr:colOff>594360</xdr:colOff>
      <xdr:row>28</xdr:row>
      <xdr:rowOff>30480</xdr:rowOff>
    </xdr:to>
    <xdr:graphicFrame macro="">
      <xdr:nvGraphicFramePr>
        <xdr:cNvPr id="30" name="Chart 29">
          <a:extLst>
            <a:ext uri="{FF2B5EF4-FFF2-40B4-BE49-F238E27FC236}">
              <a16:creationId xmlns:a16="http://schemas.microsoft.com/office/drawing/2014/main" id="{0618BE5C-82FC-405F-9AC0-04100AE1E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167640</xdr:colOff>
      <xdr:row>19</xdr:row>
      <xdr:rowOff>30480</xdr:rowOff>
    </xdr:from>
    <xdr:to>
      <xdr:col>16</xdr:col>
      <xdr:colOff>152400</xdr:colOff>
      <xdr:row>30</xdr:row>
      <xdr:rowOff>60960</xdr:rowOff>
    </xdr:to>
    <xdr:graphicFrame macro="">
      <xdr:nvGraphicFramePr>
        <xdr:cNvPr id="31" name="Chart 30">
          <a:extLst>
            <a:ext uri="{FF2B5EF4-FFF2-40B4-BE49-F238E27FC236}">
              <a16:creationId xmlns:a16="http://schemas.microsoft.com/office/drawing/2014/main" id="{69922093-8AD0-49B9-97FC-5D7C8FAB6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45720</xdr:colOff>
      <xdr:row>1</xdr:row>
      <xdr:rowOff>76200</xdr:rowOff>
    </xdr:from>
    <xdr:to>
      <xdr:col>11</xdr:col>
      <xdr:colOff>472440</xdr:colOff>
      <xdr:row>14</xdr:row>
      <xdr:rowOff>7620</xdr:rowOff>
    </xdr:to>
    <xdr:graphicFrame macro="">
      <xdr:nvGraphicFramePr>
        <xdr:cNvPr id="2" name="Chart 1">
          <a:extLst>
            <a:ext uri="{FF2B5EF4-FFF2-40B4-BE49-F238E27FC236}">
              <a16:creationId xmlns:a16="http://schemas.microsoft.com/office/drawing/2014/main" id="{174BF6A8-B776-CEFE-96D8-0B9C4ACD1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266700</xdr:colOff>
      <xdr:row>9</xdr:row>
      <xdr:rowOff>106680</xdr:rowOff>
    </xdr:from>
    <xdr:to>
      <xdr:col>7</xdr:col>
      <xdr:colOff>495300</xdr:colOff>
      <xdr:row>23</xdr:row>
      <xdr:rowOff>38100</xdr:rowOff>
    </xdr:to>
    <xdr:graphicFrame macro="">
      <xdr:nvGraphicFramePr>
        <xdr:cNvPr id="2" name="Chart 1">
          <a:extLst>
            <a:ext uri="{FF2B5EF4-FFF2-40B4-BE49-F238E27FC236}">
              <a16:creationId xmlns:a16="http://schemas.microsoft.com/office/drawing/2014/main" id="{A2BE536D-53CE-6FBF-A0BE-548EFED6F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xdr:colOff>
      <xdr:row>0</xdr:row>
      <xdr:rowOff>99060</xdr:rowOff>
    </xdr:from>
    <xdr:to>
      <xdr:col>10</xdr:col>
      <xdr:colOff>53340</xdr:colOff>
      <xdr:row>13</xdr:row>
      <xdr:rowOff>38100</xdr:rowOff>
    </xdr:to>
    <xdr:graphicFrame macro="">
      <xdr:nvGraphicFramePr>
        <xdr:cNvPr id="4" name="Chart 3">
          <a:extLst>
            <a:ext uri="{FF2B5EF4-FFF2-40B4-BE49-F238E27FC236}">
              <a16:creationId xmlns:a16="http://schemas.microsoft.com/office/drawing/2014/main" id="{EE7C2816-FE99-B59E-577C-55A0AADDE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106680</xdr:colOff>
      <xdr:row>2</xdr:row>
      <xdr:rowOff>76200</xdr:rowOff>
    </xdr:from>
    <xdr:to>
      <xdr:col>12</xdr:col>
      <xdr:colOff>297180</xdr:colOff>
      <xdr:row>13</xdr:row>
      <xdr:rowOff>68586</xdr:rowOff>
    </xdr:to>
    <xdr:graphicFrame macro="">
      <xdr:nvGraphicFramePr>
        <xdr:cNvPr id="3" name="Chart 2">
          <a:extLst>
            <a:ext uri="{FF2B5EF4-FFF2-40B4-BE49-F238E27FC236}">
              <a16:creationId xmlns:a16="http://schemas.microsoft.com/office/drawing/2014/main" id="{F1DF8504-2A16-D579-8E2F-173F723BA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840g3 i5 8 256" refreshedDate="46049.92814733796" createdVersion="8" refreshedVersion="8" minRefreshableVersion="3" recordCount="1265" xr:uid="{233D6BE9-472C-40C2-B527-C511ED172B13}">
  <cacheSource type="worksheet">
    <worksheetSource ref="A2:AC1048576" sheet="STAGING DATA"/>
  </cacheSource>
  <cacheFields count="28">
    <cacheField name="ORD-2024-275203" numFmtId="0">
      <sharedItems containsBlank="1" count="631">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11/03/2024" numFmtId="14">
      <sharedItems containsNonDate="0" containsDate="1" containsString="0" containsBlank="1" minDate="2023-01-02T00:00:00" maxDate="2025-09-16T00:00:00"/>
    </cacheField>
    <cacheField name="Mar-2024" numFmtId="14">
      <sharedItems containsBlank="1"/>
    </cacheField>
    <cacheField name="Q1-2024" numFmtId="14">
      <sharedItems containsBlank="1"/>
    </cacheField>
    <cacheField name="00/01/1900" numFmtId="0">
      <sharedItems containsString="0" containsBlank="1" containsNumber="1" containsInteger="1" minValue="0" maxValue="0"/>
    </cacheField>
    <cacheField name="45388.00" numFmtId="0">
      <sharedItems containsDate="1" containsString="0" containsBlank="1" containsMixedTypes="1" minDate="1900-01-02T21:51:04" maxDate="2025-10-06T00:00:00"/>
    </cacheField>
    <cacheField name="45362.00" numFmtId="0">
      <sharedItems containsDate="1" containsString="0" containsBlank="1" containsMixedTypes="1" minDate="1900-01-02T22:51:04" maxDate="2025-09-16T00:00:00"/>
    </cacheField>
    <cacheField name="26.00" numFmtId="0">
      <sharedItems containsString="0" containsBlank="1" containsNumber="1" containsInteger="1" minValue="-9" maxValue="30"/>
    </cacheField>
    <cacheField name="Africa" numFmtId="0">
      <sharedItems containsBlank="1"/>
    </cacheField>
    <cacheField name="Kenya" numFmtId="0">
      <sharedItems containsBlank="1"/>
    </cacheField>
    <cacheField name="Kisumu" numFmtId="0">
      <sharedItems containsBlank="1"/>
    </cacheField>
    <cacheField name="TEXT(H2" numFmtId="0">
      <sharedItems containsBlank="1"/>
    </cacheField>
    <cacheField name="Corporate" numFmtId="0">
      <sharedItems containsBlank="1"/>
    </cacheField>
    <cacheField name="Retail" numFmtId="0">
      <sharedItems containsBlank="1"/>
    </cacheField>
    <cacheField name="C. Otieno" numFmtId="0">
      <sharedItems containsBlank="1" count="17">
        <s v="J. Njeri"/>
        <s v="I. Johnson"/>
        <s v="G. Dubois"/>
        <s v="L. Okafor"/>
        <s v="B. Chen"/>
        <s v="E. Garcia"/>
        <s v="O. Wang"/>
        <s v="A. Patel"/>
        <s v="F. Müller"/>
        <s v="H. Kim"/>
        <s v="K. Singh"/>
        <s v="C. Otieno"/>
        <s v="M. Rossi"/>
        <s v="N. Brown"/>
        <s v="D. Smith"/>
        <s v="NOT ASSIGNED"/>
        <m/>
      </sharedItems>
    </cacheField>
    <cacheField name="Components" numFmtId="0">
      <sharedItems containsBlank="1" count="8">
        <s v="Printers"/>
        <s v="Networking"/>
        <s v="Phones"/>
        <s v="Laptops"/>
        <s v="Monitors"/>
        <s v="Components"/>
        <s v="Accessories"/>
        <m/>
      </sharedItems>
    </cacheField>
    <cacheField name="Low" numFmtId="0">
      <sharedItems containsBlank="1"/>
    </cacheField>
    <cacheField name="CMP-8270" numFmtId="0">
      <sharedItems containsBlank="1" count="63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279.24" numFmtId="2">
      <sharedItems containsString="0" containsBlank="1" containsNumber="1" minValue="5.34" maxValue="1495.79"/>
    </cacheField>
    <cacheField name="608.9" numFmtId="0">
      <sharedItems containsString="0" containsBlank="1" containsNumber="1" minValue="-33.659999999999997" maxValue="3661.07"/>
    </cacheField>
    <cacheField name="608.90" numFmtId="0">
      <sharedItems containsBlank="1" containsMixedTypes="1" containsNumber="1" minValue="4.22" maxValue="3661.07"/>
    </cacheField>
    <cacheField name="11.20%" numFmtId="10">
      <sharedItems containsBlank="1" containsMixedTypes="1" containsNumber="1" minValue="0" maxValue="0.56499999999999995"/>
    </cacheField>
    <cacheField name="11.20%2" numFmtId="10">
      <sharedItems containsString="0" containsBlank="1" containsNumber="1" minValue="0" maxValue="0.56499999999999995"/>
    </cacheField>
    <cacheField name="9" numFmtId="1">
      <sharedItems containsString="0" containsBlank="1" containsNumber="1" containsInteger="1" minValue="2" maxValue="61" count="53">
        <n v="31"/>
        <n v="12"/>
        <n v="22"/>
        <n v="15"/>
        <n v="7"/>
        <n v="4"/>
        <n v="18"/>
        <n v="6"/>
        <n v="23"/>
        <n v="20"/>
        <n v="10"/>
        <n v="9"/>
        <n v="28"/>
        <n v="16"/>
        <n v="19"/>
        <n v="8"/>
        <n v="14"/>
        <n v="17"/>
        <n v="37"/>
        <n v="27"/>
        <n v="13"/>
        <n v="11"/>
        <n v="24"/>
        <n v="38"/>
        <n v="56"/>
        <n v="51"/>
        <n v="40"/>
        <n v="5"/>
        <n v="3"/>
        <n v="26"/>
        <n v="25"/>
        <n v="30"/>
        <n v="39"/>
        <n v="2"/>
        <n v="44"/>
        <n v="50"/>
        <n v="47"/>
        <n v="46"/>
        <n v="36"/>
        <n v="41"/>
        <n v="60"/>
        <n v="61"/>
        <n v="21"/>
        <n v="53"/>
        <n v="43"/>
        <n v="34"/>
        <n v="35"/>
        <n v="42"/>
        <n v="32"/>
        <n v="33"/>
        <n v="55"/>
        <n v="29"/>
        <m/>
      </sharedItems>
    </cacheField>
    <cacheField name="4866.3288" numFmtId="0">
      <sharedItems containsString="0" containsBlank="1" containsNumber="1" minValue="18.659839999999999" maxValue="139277.83032000001"/>
    </cacheField>
    <cacheField name="2513.16" numFmtId="0">
      <sharedItems containsString="0" containsBlank="1" containsNumber="1" minValue="22" maxValue="83258.290000000008"/>
    </cacheField>
    <cacheField name="2353.1688" numFmtId="0">
      <sharedItems containsString="0" containsBlank="1" containsNumber="1" minValue="-15655.657510000005" maxValue="65188.659999999996" count="632">
        <n v="-15655.657510000005"/>
        <n v="-5079.4436399999995"/>
        <n v="-493.1889599999995"/>
        <n v="1012.529700000001"/>
        <n v="1930.6699999999992"/>
        <n v="542.16963999999962"/>
        <n v="174.22776000000005"/>
        <n v="6942.0893400000004"/>
        <n v="19655.722359999992"/>
        <n v="1190.23344"/>
        <n v="-7801.4500000000007"/>
        <n v="1652.8040000000001"/>
        <n v="11932.200000000003"/>
        <n v="-1788.2399999999998"/>
        <n v="281.97720000000027"/>
        <n v="998.17479999999341"/>
        <n v="15758.091040000003"/>
        <n v="18869.124059999998"/>
        <n v="19975.662919999995"/>
        <n v="13321.51072"/>
        <n v="9254.0650400000013"/>
        <n v="3627.0920000000006"/>
        <n v="10028.504800000001"/>
        <n v="13511.830559999999"/>
        <n v="2628.8905599999998"/>
        <n v="580.29999999999973"/>
        <n v="-1162.7325000000005"/>
        <n v="2029.9500000000003"/>
        <n v="9517.3537200000028"/>
        <n v="1380.8273800000024"/>
        <n v="6267.8043199999993"/>
        <n v="3791.7852800000001"/>
        <n v="6765.2"/>
        <n v="14439.149999999998"/>
        <n v="26.034310000000914"/>
        <n v="-289.30311000000074"/>
        <n v="5937.6339200000002"/>
        <n v="3718.9489999999987"/>
        <n v="736.28838000000042"/>
        <n v="13458.530970000003"/>
        <n v="3321.5399999999991"/>
        <n v="11045.845999999998"/>
        <n v="5348.0594200000014"/>
        <n v="3071.0345600000037"/>
        <n v="9363.1594000000005"/>
        <n v="2744.8199999999997"/>
        <n v="65188.659999999996"/>
        <n v="14996.902319999994"/>
        <n v="5766.142359999998"/>
        <n v="3262.0239999999994"/>
        <n v="16.012000000000057"/>
        <n v="-2213.0999999999995"/>
        <n v="-134.55441999999994"/>
        <n v="-51.321600000000018"/>
        <n v="-838.84467999999833"/>
        <n v="16958.649949999999"/>
        <n v="2015.5468000000005"/>
        <n v="-6785.5339999999924"/>
        <n v="339.45080000000053"/>
        <n v="10156.301800000008"/>
        <n v="10059.770399999998"/>
        <n v="4309.9539999999997"/>
        <n v="9753.2374500000078"/>
        <n v="6364.275999999998"/>
        <n v="-4787.1626399999986"/>
        <n v="-1301.0384000000031"/>
        <n v="5527.4563499999986"/>
        <n v="-231.24455999999918"/>
        <n v="4519.0624999999991"/>
        <n v="2452.0571999999993"/>
        <n v="3222.8152799999998"/>
        <n v="-3229.0369499999979"/>
        <n v="-3542.4397800000006"/>
        <n v="-161.48279999999886"/>
        <n v="1095.0028600000005"/>
        <n v="17265.827799999995"/>
        <n v="14141.576480000007"/>
        <n v="3308.5931999999993"/>
        <n v="1509.0979800000005"/>
        <n v="23631.505299999997"/>
        <n v="-684.33167999999932"/>
        <n v="2775.8196000000003"/>
        <n v="176.21174999999999"/>
        <n v="2587.1424799999986"/>
        <n v="98.49069999999665"/>
        <n v="532.26440000000184"/>
        <n v="-149.63339999999971"/>
        <n v="6082.1463999999996"/>
        <n v="179.23503999999997"/>
        <n v="3486.5026000000016"/>
        <n v="6327.5579999999991"/>
        <n v="3729.3862399999998"/>
        <n v="10601.273620000004"/>
        <n v="-569.27760000000035"/>
        <n v="23682.78611999999"/>
        <n v="0.36755999999999744"/>
        <n v="12051.719999999998"/>
        <n v="-2333.9909600000001"/>
        <n v="3888.8704799999978"/>
        <n v="31475.329999999998"/>
        <n v="-574.62240000000111"/>
        <n v="7635.2499999999991"/>
        <n v="2749.4340000000007"/>
        <n v="5307.8548499999997"/>
        <n v="-1809.9048000000003"/>
        <n v="17.504369999999994"/>
        <n v="10021.924440000003"/>
        <n v="838.99999999999989"/>
        <n v="-36.079899999999952"/>
        <n v="12820.409999999998"/>
        <n v="9970.4653199999957"/>
        <n v="-13.550940000000004"/>
        <n v="554.49349999999981"/>
        <n v="-626.22"/>
        <n v="12734.366720000002"/>
        <n v="-512.06805000000008"/>
        <n v="33103.559599999993"/>
        <n v="2373.1758"/>
        <n v="187.20848999999998"/>
        <n v="21088.284389999997"/>
        <n v="11306.565629999999"/>
        <n v="-683.90712000000167"/>
        <n v="-90.738400000000183"/>
        <n v="647.40584000000035"/>
        <n v="-4400.9212799999987"/>
        <n v="24667.226140000013"/>
        <n v="-107.15723000000003"/>
        <n v="1222.1486999999997"/>
        <n v="8628.0886800000007"/>
        <n v="4384.2640800000008"/>
        <n v="-1697.6165800000008"/>
        <n v="-6722.3104000000003"/>
        <n v="1056.16408"/>
        <n v="-6157.3283199999987"/>
        <n v="13229.010859999999"/>
        <n v="1225.2638399999978"/>
        <n v="-227.05725000000075"/>
        <n v="9088.9779200000085"/>
        <n v="-69.439300000000003"/>
        <n v="22992.449919999992"/>
        <n v="3695.3442000000005"/>
        <n v="3072.3358599999992"/>
        <n v="2614.3501500000002"/>
        <n v="9464.3270399999983"/>
        <n v="6616.4780800000017"/>
        <n v="-1785.8571000000006"/>
        <n v="3753.26"/>
        <n v="5456.7140000000018"/>
        <n v="19149.805439999996"/>
        <n v="-4311.6158400000013"/>
        <n v="3537.3105000000032"/>
        <n v="-2445.7271999999994"/>
        <n v="14795.950080000001"/>
        <n v="2336.6104000000032"/>
        <n v="614.64468000000124"/>
        <n v="3922.8047000000006"/>
        <n v="10696.672500000001"/>
        <n v="5487.6788399999996"/>
        <n v="12178.014519999993"/>
        <n v="7057.3714999999975"/>
        <n v="1594.9244000000008"/>
        <n v="991.66116000000147"/>
        <n v="5844.0739999999996"/>
        <n v="4504.4463999999998"/>
        <n v="31306.100319999998"/>
        <n v="-687.08130000000165"/>
        <n v="-921.67541999999958"/>
        <n v="1383.4284000000007"/>
        <n v="597.01219999999967"/>
        <n v="1720.7091200000013"/>
        <n v="4700.8295999999991"/>
        <n v="28.5154"/>
        <n v="12598.587599999999"/>
        <n v="505.51567999999997"/>
        <n v="38988.19"/>
        <n v="7162.3605599999992"/>
        <n v="-188.05708999999996"/>
        <n v="3902.0495999999994"/>
        <n v="-163.98382000000038"/>
        <n v="-3.3401600000000009"/>
        <n v="18700.046200000012"/>
        <n v="3856.5059999999999"/>
        <n v="3164.4668300000012"/>
        <n v="2878.2584100000022"/>
        <n v="1576.3499999999985"/>
        <n v="1263.5064600000001"/>
        <n v="-4793.2122499999969"/>
        <n v="9387.2301599999992"/>
        <n v="1059.4094000000005"/>
        <n v="661.72535000000062"/>
        <n v="4296.3850000000002"/>
        <n v="-4346.2051199999987"/>
        <n v="-1516.5235200000006"/>
        <n v="931.85976000000028"/>
        <n v="4994.4471599999997"/>
        <n v="-2229.0502000000051"/>
        <n v="4090.8064399999994"/>
        <n v="349.06241999999929"/>
        <n v="22872.233749999999"/>
        <n v="-40.490820000000895"/>
        <n v="-299.80320000000029"/>
        <n v="9950.4599999999991"/>
        <n v="11703.957579999995"/>
        <n v="13357.942800000001"/>
        <n v="13169.08736"/>
        <n v="1616.3301999999994"/>
        <n v="14990.295839999995"/>
        <n v="2093.1093699999965"/>
        <n v="5798.4071999999978"/>
        <n v="8200.7143200000046"/>
        <n v="420.30719999999997"/>
        <n v="-12.25536000000011"/>
        <n v="11215.619999999999"/>
        <n v="3192.54936"/>
        <n v="1386.4697999999989"/>
        <n v="139.68969000000106"/>
        <n v="1024.7667200000001"/>
        <n v="1444.3124800000005"/>
        <n v="12346.561240000001"/>
        <n v="7038.989099999998"/>
        <n v="180.13699999999994"/>
        <n v="2092.0364"/>
        <n v="38215.171199999982"/>
        <n v="-846.72300000000178"/>
        <n v="10769.349499999998"/>
        <n v="12897.698970000001"/>
        <n v="574.26300000000083"/>
        <n v="4476.3208099999974"/>
        <n v="-2794.4790999999996"/>
        <n v="-206.76991999999996"/>
        <n v="3055.7827299999999"/>
        <n v="903.68360000000007"/>
        <n v="2152.21776"/>
        <n v="1172.1485999999986"/>
        <n v="1269.9647999999979"/>
        <n v="4902.8217599999989"/>
        <n v="56019.54032"/>
        <n v="-309.11250000000018"/>
        <n v="1089.5708"/>
        <n v="1354.0691200000006"/>
        <n v="2339.9156000000012"/>
        <n v="7112.1846399999922"/>
        <n v="171.74303999999995"/>
        <n v="-3967.9639999999999"/>
        <n v="1400.1489199999999"/>
        <n v="1668.5088000000005"/>
        <n v="244.60668000000004"/>
        <n v="378.92000000000007"/>
        <n v="2109.6841600000007"/>
        <n v="5705.2086000000018"/>
        <n v="5892.3036000000011"/>
        <n v="-472.29699999999866"/>
        <n v="12700.39488"/>
        <n v="3613.0251599999992"/>
        <n v="14126.6556"/>
        <n v="5840.7196499999991"/>
        <n v="326.32055999999966"/>
        <n v="1855.922"/>
        <n v="-3886.0768000000007"/>
        <n v="9441.9554400000034"/>
        <n v="7663.3438000000006"/>
        <n v="2357.2576000000008"/>
        <n v="-3.0916800000001103"/>
        <n v="6618.7546199999924"/>
        <n v="-7932.1877600000025"/>
        <n v="17764.670160000009"/>
        <n v="7436.8288800000009"/>
        <n v="-424.0600000000004"/>
        <n v="478.21139999999923"/>
        <n v="1416.9634999999998"/>
        <n v="1906.7286400000003"/>
        <n v="5917.8263200000001"/>
        <n v="7889.1159999999982"/>
        <n v="5377.619099999999"/>
        <n v="101.57250000000022"/>
        <n v="26014.755999999994"/>
        <n v="2985.9064800000001"/>
        <n v="14885.234000000004"/>
        <n v="4140.392499999999"/>
        <n v="7567.2115200000026"/>
        <n v="5287.2502200000008"/>
        <n v="116.6400000000001"/>
        <n v="4215.3568799999994"/>
        <n v="3290.3196000000007"/>
        <n v="95.32740000000058"/>
        <n v="-22.141279999999995"/>
        <n v="10428.937380000001"/>
        <n v="12392.940239999998"/>
        <n v="-6073.8631199999982"/>
        <n v="9686.9653199999993"/>
        <n v="311.12708000000009"/>
        <n v="7380.8740600000019"/>
        <n v="4234.9950000000008"/>
        <n v="1827.6839999999984"/>
        <n v="10919.815130000001"/>
        <n v="1511.2410499999996"/>
        <n v="831.8713200000002"/>
        <n v="-34.959239999999994"/>
        <n v="-318.55999999999949"/>
        <n v="9182.3640799999994"/>
        <n v="4017.1204799999987"/>
        <n v="11756.318200000002"/>
        <n v="-833.82159999999931"/>
        <n v="3153.2256000000002"/>
        <n v="948.27071999999976"/>
        <n v="8274.5520000000033"/>
        <n v="580.64128000000073"/>
        <n v="1910.7941999999989"/>
        <n v="4223.99586"/>
        <n v="14002.633800000003"/>
        <n v="60.978399999999965"/>
        <n v="4212.1007999999993"/>
        <n v="17626.95"/>
        <n v="847.49335999999948"/>
        <n v="3847.7309000000014"/>
        <n v="2656.3869199999999"/>
        <n v="1037.7937500000007"/>
        <n v="880.30409999999983"/>
        <n v="6640.2841399999888"/>
        <n v="12511.704000000002"/>
        <n v="-1411.8323999999975"/>
        <n v="21349.434539999998"/>
        <n v="-342.99719999999991"/>
        <n v="14901.819459999995"/>
        <n v="1982.7283200000002"/>
        <n v="1133.8823200000002"/>
        <n v="1117.1131499999997"/>
        <n v="2392.0423999999994"/>
        <n v="12650.022000000001"/>
        <n v="1329.0108000000002"/>
        <n v="3237.4565599999996"/>
        <n v="2776.3528000000006"/>
        <n v="-314.85760000000028"/>
        <n v="2449.7572500000001"/>
        <n v="7197.3949600000014"/>
        <n v="14008.02656"/>
        <n v="15439.445099999997"/>
        <n v="-1539.9684000000002"/>
        <n v="8725.8939600000012"/>
        <n v="1193.1384000000016"/>
        <n v="408.99759999999969"/>
        <n v="11189.529999999999"/>
        <n v="1548.0996600000017"/>
        <n v="1703.3347799999999"/>
        <n v="6158.3379999999988"/>
        <n v="36649.677010000007"/>
        <n v="1040.7000000000003"/>
        <n v="12237.134079999998"/>
        <n v="6339.2946000000011"/>
        <n v="750.9625200000005"/>
        <n v="1542.8678099999997"/>
        <n v="8381.3829799999985"/>
        <n v="10149.768000000004"/>
        <n v="568.58960000000025"/>
        <n v="9388.5682799999995"/>
        <n v="22253.58"/>
        <n v="17565.881399999995"/>
        <n v="222.30000000000018"/>
        <n v="6152.7419200000022"/>
        <n v="12333.184799999999"/>
        <n v="-2304.3217600000007"/>
        <n v="43304.491519999996"/>
        <n v="-1939.0766400000002"/>
        <n v="1206.7310399999988"/>
        <n v="2586.5935199999985"/>
        <n v="9185.8899200000033"/>
        <n v="10131.900299999998"/>
        <n v="7386.7860000000019"/>
        <n v="483.17359999999962"/>
        <n v="1176.75108"/>
        <n v="3514.0600000000013"/>
        <n v="15712.274740000001"/>
        <n v="-814.89194000000043"/>
        <n v="13194.487679999998"/>
        <n v="4801.8023200000025"/>
        <n v="16544.093059999999"/>
        <n v="3098.002599999998"/>
        <n v="3551.3889600000011"/>
        <n v="18127.018079999998"/>
        <n v="1875.6429999999982"/>
        <n v="1208.877599999998"/>
        <n v="5584.5999999999985"/>
        <n v="726.64300000000367"/>
        <n v="-1686.7825199999988"/>
        <n v="-13932.289700000001"/>
        <n v="3824.6457599999994"/>
        <n v="3477.5026999999973"/>
        <n v="-3220.9520899999989"/>
        <n v="210.27248000000006"/>
        <n v="-220.9621700000007"/>
        <n v="1375.2635000000002"/>
        <n v="8476.8610500000068"/>
        <n v="1049.07402"/>
        <n v="9437.7689599999994"/>
        <n v="2013.3384200000019"/>
        <n v="28223.377799999995"/>
        <n v="-1800.7678400000004"/>
        <n v="6634.0429999999997"/>
        <n v="2404.4722199999997"/>
        <n v="2065.0630000000001"/>
        <n v="1263.8648000000012"/>
        <n v="619.69184000000132"/>
        <n v="2742.9239000000007"/>
        <n v="-1909.0989000000009"/>
        <n v="5553.2702399999989"/>
        <n v="3398.3838000000032"/>
        <n v="-4332.002040000003"/>
        <n v="-552.54583999999977"/>
        <n v="6687.9600000000028"/>
        <n v="1594.7103199999997"/>
        <n v="-400.379539999999"/>
        <n v="674.64560000000006"/>
        <n v="7756.4106900000006"/>
        <n v="17727.673040000001"/>
        <n v="9397.9283999999989"/>
        <n v="-2730.2168000000001"/>
        <n v="1163.8715000000002"/>
        <n v="257.89835999999997"/>
        <n v="1935.3365999999996"/>
        <n v="3505.8484000000008"/>
        <n v="2753.1560999999983"/>
        <n v="46964.342039999996"/>
        <n v="-6106.5196800000049"/>
        <n v="22623.474960000007"/>
        <n v="7085.4631999999983"/>
        <n v="3742.5149999999994"/>
        <n v="-1134.7747200000013"/>
        <n v="2487.7800000000007"/>
        <n v="18674.741999999995"/>
        <n v="6357.5847499999973"/>
        <n v="32830.14"/>
        <n v="-1214.2760000000003"/>
        <n v="6126.4386400000003"/>
        <n v="-412.61687999999981"/>
        <n v="4025.4000000000015"/>
        <n v="2771.1642200000006"/>
        <n v="3091.1091399999996"/>
        <n v="3612.4492800000007"/>
        <n v="679.73844000000008"/>
        <n v="9896.7990000000009"/>
        <n v="2731.0472800000007"/>
        <n v="16530.425009999999"/>
        <n v="3078.7628799999998"/>
        <n v="9942.4500000000007"/>
        <n v="937.01872000000003"/>
        <n v="4768.4883199999995"/>
        <n v="700.32725000000028"/>
        <n v="17820.683360000003"/>
        <n v="-1143.8999999999978"/>
        <n v="5833.72055"/>
        <n v="10897.877"/>
        <n v="12880.125119999999"/>
        <n v="4377.4812500000007"/>
        <n v="10922.848349999995"/>
        <n v="5578.9460800000015"/>
        <n v="7885.92"/>
        <n v="-716.66688000000067"/>
        <n v="3973.7249999999995"/>
        <n v="7889.0499999999993"/>
        <n v="391.35456000000022"/>
        <n v="235.04574000000002"/>
        <n v="364.71759999999995"/>
        <n v="408.37159999999994"/>
        <n v="706.32592"/>
        <n v="30705.719600000004"/>
        <n v="1265.9967000000001"/>
        <n v="4403.8243899999998"/>
        <n v="7697.7899999999972"/>
        <n v="4970.8499799999972"/>
        <n v="5243.9373600000008"/>
        <n v="18506.849260000003"/>
        <n v="7606.243199999999"/>
        <n v="3320.6713199999995"/>
        <n v="8370.8954999999969"/>
        <n v="12003.372039999997"/>
        <n v="-44.50309999999979"/>
        <n v="-2400.2454000000007"/>
        <n v="20094.585840000003"/>
        <n v="4351.729800000001"/>
        <n v="20983.832960000007"/>
        <n v="2360.8761000000004"/>
        <n v="16862.697000000004"/>
        <n v="1268.6790600000004"/>
        <n v="4910.9716500000031"/>
        <n v="142.1317199999994"/>
        <n v="1993.4393599999994"/>
        <n v="13734.075000000003"/>
        <n v="806.27655999999934"/>
        <n v="3748.4403999999995"/>
        <n v="611.25000000000011"/>
        <n v="3688.2"/>
        <n v="-2349.5385100000003"/>
        <n v="56.749199999999995"/>
        <n v="3024.3151199999993"/>
        <n v="2213.4219799999996"/>
        <n v="15178.158960000001"/>
        <n v="-5343.5467799999969"/>
        <n v="4570.1896000000015"/>
        <n v="7984.4047400000018"/>
        <n v="9874.6355399999993"/>
        <n v="-4899.589100000002"/>
        <n v="5478.4129400000002"/>
        <n v="2972.0374499999998"/>
        <n v="1219.3191000000006"/>
        <n v="17322.55802"/>
        <n v="8697.1514000000025"/>
        <n v="7333.3067999999994"/>
        <n v="1650.9744000000005"/>
        <n v="3780.3786000000009"/>
        <n v="515.88306000000011"/>
        <n v="825.43056000000024"/>
        <n v="4444.2353999999978"/>
        <n v="1169.0336000000002"/>
        <n v="17596.920000000006"/>
        <n v="3835.7"/>
        <n v="4675.2522299999982"/>
        <n v="479.17592000000002"/>
        <n v="3292.8142799999996"/>
        <n v="-128.18118000000015"/>
        <n v="1025.2031999999999"/>
        <n v="34611.296999999999"/>
        <n v="5313.6899999999987"/>
        <n v="8421.6234000000022"/>
        <n v="2189.7755999999999"/>
        <n v="3109.7852499999999"/>
        <n v="242.27804999999989"/>
        <n v="2742.24"/>
        <n v="11385.971219999999"/>
        <n v="19424.699999999997"/>
        <n v="827.62866000000031"/>
        <n v="33.349799999999846"/>
        <n v="-1.0130400000000463"/>
        <n v="5160.3977999999997"/>
        <n v="19412.054400000008"/>
        <n v="6447.8868000000002"/>
        <n v="1110.4472399999995"/>
        <n v="23833.066320000002"/>
        <n v="11241.921599999996"/>
        <n v="29722.714239999994"/>
        <n v="-1585.5629999999996"/>
        <n v="10770.829999999998"/>
        <n v="8727.9235199999966"/>
        <n v="-930.44016000000011"/>
        <n v="7671.1285000000016"/>
        <n v="353.03711999999905"/>
        <n v="2180.0596199999995"/>
        <n v="5138.6899199999989"/>
        <n v="6301.4439300000049"/>
        <n v="2501.7599999999984"/>
        <n v="14144.854499999992"/>
        <n v="893.76407999999992"/>
        <n v="5947.254719999999"/>
        <n v="4094.1692000000021"/>
        <n v="1906.4620800000012"/>
        <n v="18094.537499999999"/>
        <n v="20471.22"/>
        <n v="26690.819219999998"/>
        <n v="4120.9564500000015"/>
        <n v="5392.0058400000007"/>
        <n v="-6806.52"/>
        <n v="67.082999999998719"/>
        <n v="10347.694500000001"/>
        <n v="4493.9954400000006"/>
        <n v="1373.3855999999996"/>
        <n v="2128.0721199999994"/>
        <n v="1504.4411200000013"/>
        <n v="17260.177960000005"/>
        <n v="12487.920689999997"/>
        <n v="17422.559999999998"/>
        <n v="1711.3478399999999"/>
        <n v="1230.2980000000002"/>
        <n v="388.23536000000001"/>
        <n v="4918.4742400000014"/>
        <n v="-86.748960000000807"/>
        <n v="89.536600000000021"/>
        <n v="1611.2903999999999"/>
        <n v="6341.2615999999998"/>
        <n v="1473.4734000000008"/>
        <n v="1977.25864"/>
        <n v="544.52427999999873"/>
        <n v="3556.601999999999"/>
        <n v="671.72760000000017"/>
        <n v="11831.751749999996"/>
        <n v="1250.7751599999997"/>
        <n v="7568.7026100000021"/>
        <n v="177.36"/>
        <n v="5406.6759999999995"/>
        <n v="34487.324250000005"/>
        <n v="5877.0835200000001"/>
        <n v="-2835.7499999999982"/>
        <n v="1784.3703000000005"/>
        <n v="25354.521920000003"/>
        <n v="-536.95039999999972"/>
        <n v="4221.2300000000005"/>
        <n v="8129.7396000000017"/>
        <n v="2461.1687499999989"/>
        <n v="1621.1100000000001"/>
        <n v="1274.63688"/>
        <n v="1829.6422499999999"/>
        <n v="15214.592760000003"/>
        <n v="-1892.7636000000011"/>
        <n v="230.27020000000005"/>
        <n v="20355.867999999999"/>
        <n v="2617.8116999999997"/>
        <n v="-1889.6568600000001"/>
        <n v="555.10411000000022"/>
        <n v="15978.606029999999"/>
        <n v="729.65017999999986"/>
        <n v="-7.7899999999999636"/>
        <n v="1466.8601599999984"/>
        <n v="8001.8276800000003"/>
        <n v="777.95999999999913"/>
        <n v="47729.039799999991"/>
        <n v="7152.6135200000008"/>
        <n v="2558.6583600000013"/>
        <n v="6092.4014399999996"/>
        <n v="9778.3072800000009"/>
        <n v="993.24888000000283"/>
        <n v="6301.4242499999964"/>
        <n v="277.66739999999993"/>
        <n v="1174.4513199999999"/>
        <n v="-1911.76512"/>
        <n v="2018.9248800000005"/>
        <n v="23519.177499999998"/>
        <n v="13817.826400000005"/>
        <n v="-8912.0172700000021"/>
        <n v="2610.03908"/>
        <n v="14455.96"/>
        <n v="21180.193200000002"/>
        <n v="6312.5076799999997"/>
        <n v="-96.841780000000028"/>
        <m/>
      </sharedItems>
    </cacheField>
    <cacheField name="0.483561407" numFmtId="0">
      <sharedItems containsString="0" containsBlank="1" containsNumber="1" minValue="-0.87167486187856302" maxValue="0.596725312145289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840g3 i5 8 256" refreshedDate="46054.573027199076" createdVersion="8" refreshedVersion="8" minRefreshableVersion="3" recordCount="1266" xr:uid="{6E34369D-BE07-4706-BE62-E78DF5D4D281}">
  <cacheSource type="worksheet">
    <worksheetSource ref="A1:AC1048576" sheet="STAGING DATA"/>
  </cacheSource>
  <cacheFields count="29">
    <cacheField name="OrderID" numFmtId="0">
      <sharedItems containsBlank="1" count="632">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OrderDate" numFmtId="14">
      <sharedItems containsNonDate="0" containsDate="1" containsString="0" containsBlank="1" minDate="2023-01-02T00:00:00" maxDate="2025-09-16T00:00:00" count="469">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m/>
      </sharedItems>
    </cacheField>
    <cacheField name="ORDER DATE (M/Y)" numFmtId="14">
      <sharedItems containsBlank="1" count="34">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m/>
      </sharedItems>
    </cacheField>
    <cacheField name="QUARTER" numFmtId="14">
      <sharedItems containsBlank="1"/>
    </cacheField>
    <cacheField name="RequiredDate" numFmtId="0">
      <sharedItems containsDate="1" containsString="0" containsBlank="1" containsMixedTypes="1" minDate="1900-01-01T20:51:04" maxDate="2025-10-06T00:00:00"/>
    </cacheField>
    <cacheField name=" DATE(NEW)" numFmtId="0">
      <sharedItems containsDate="1" containsString="0" containsBlank="1" containsMixedTypes="1" minDate="1900-01-01T17:51:04" maxDate="2025-09-16T00:00:00"/>
    </cacheField>
    <cacheField name="LEAD TIME" numFmtId="0">
      <sharedItems containsString="0" containsBlank="1" containsNumber="1" containsInteger="1" minValue="-9" maxValue="30"/>
    </cacheField>
    <cacheField name="on -Time" numFmtId="0">
      <sharedItems containsBlank="1" count="3">
        <s v="delayed"/>
        <s v="ontime"/>
        <m/>
      </sharedItems>
    </cacheField>
    <cacheField name="leaDTIMES &lt;7" numFmtId="0">
      <sharedItems containsString="0" containsBlank="1" containsNumber="1" containsInteger="1" minValue="0" maxValue="1"/>
    </cacheField>
    <cacheField name="Region" numFmtId="0">
      <sharedItems containsBlank="1" count="5">
        <s v="Africa"/>
        <s v="Asia"/>
        <s v="Americas"/>
        <s v="Europe"/>
        <m/>
      </sharedItems>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ount="41">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NOT ASSIGNED"/>
        <s v="Austin"/>
        <s v="Frankfurt"/>
        <s v="Beijing"/>
        <s v="New York"/>
        <m/>
      </sharedItems>
    </cacheField>
    <cacheField name="CustomerSegment" numFmtId="0">
      <sharedItems containsBlank="1"/>
    </cacheField>
    <cacheField name="Channel" numFmtId="0">
      <sharedItems containsBlank="1" count="7">
        <s v="Retail"/>
        <s v="Online"/>
        <s v="Marketplace"/>
        <s v="Distributor"/>
        <s v="Direct"/>
        <s v="NOT ASSIGNED"/>
        <m/>
      </sharedItems>
    </cacheField>
    <cacheField name="Salesperson" numFmtId="0">
      <sharedItems containsBlank="1" count="17">
        <s v="C. Otieno"/>
        <s v="J. Njeri"/>
        <s v="I. Johnson"/>
        <s v="G. Dubois"/>
        <s v="L. Okafor"/>
        <s v="B. Chen"/>
        <s v="E. Garcia"/>
        <s v="O. Wang"/>
        <s v="A. Patel"/>
        <s v="F. Müller"/>
        <s v="H. Kim"/>
        <s v="K. Singh"/>
        <s v="M. Rossi"/>
        <s v="N. Brown"/>
        <s v="D. Smith"/>
        <s v="NOT ASSIGNED"/>
        <m/>
      </sharedItems>
    </cacheField>
    <cacheField name="ProductCategory" numFmtId="0">
      <sharedItems containsBlank="1" count="8">
        <s v="Components"/>
        <s v="Printers"/>
        <s v="Networking"/>
        <s v="Phones"/>
        <s v="Laptops"/>
        <s v="Monitors"/>
        <s v="Accessories"/>
        <m/>
      </sharedItems>
    </cacheField>
    <cacheField name="Price band" numFmtId="0">
      <sharedItems containsBlank="1"/>
    </cacheField>
    <cacheField name="SKU" numFmtId="0">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2">
      <sharedItems containsString="0" containsBlank="1" containsNumber="1" minValue="5.34" maxValue="1495.79"/>
    </cacheField>
    <cacheField name="UnitPrice" numFmtId="0">
      <sharedItems containsString="0" containsBlank="1" containsNumber="1" minValue="-33.659999999999997" maxValue="3661.07"/>
    </cacheField>
    <cacheField name="UNIT PRICE" numFmtId="0">
      <sharedItems containsBlank="1" containsMixedTypes="1" containsNumber="1" minValue="4.22" maxValue="3661.07"/>
    </cacheField>
    <cacheField name="DiscountPct" numFmtId="10">
      <sharedItems containsBlank="1" containsMixedTypes="1" containsNumber="1" minValue="0" maxValue="0.56499999999999995" count="230">
        <n v="0.112"/>
        <n v="0.23699999999999999"/>
        <n v="0.13100000000000001"/>
        <n v="7.1999999999999995E-2"/>
        <n v="0.10199999999999999"/>
        <n v="0"/>
        <n v="0.14699999999999999"/>
        <n v="0.19400000000000001"/>
        <n v="3.1E-2"/>
        <n v="0.14899999999999999"/>
        <n v="6.0000000000000001E-3"/>
        <n v="0.25"/>
        <n v="9.4E-2"/>
        <n v="7.3999999999999996E-2"/>
        <n v="0.109"/>
        <n v="0.183"/>
        <n v="3.7999999999999999E-2"/>
        <n v="0.14299999999999999"/>
        <n v="0.12"/>
        <n v="0.01"/>
        <n v="7.0000000000000001E-3"/>
        <n v="0.16800000000000001"/>
        <n v="0.125"/>
        <n v="0.13900000000000001"/>
        <n v="8.6999999999999994E-2"/>
        <n v="8.8999999999999996E-2"/>
        <n v="8.4000000000000005E-2"/>
        <n v="0.10100000000000001"/>
        <n v="0.24299999999999999"/>
        <n v="0.13600000000000001"/>
        <n v="0.17499999999999999"/>
        <n v="0.129"/>
        <n v="3.6999999999999998E-2"/>
        <n v="0.318"/>
        <n v="0.14599999999999999"/>
        <n v="0.182"/>
        <n v="0.16900000000000001"/>
        <n v="0.187"/>
        <n v="0.126"/>
        <n v="0.29199999999999998"/>
        <n v="0.29499999999999998"/>
        <n v="0.14399999999999999"/>
        <n v="3.5000000000000003E-2"/>
        <n v="7.4999999999999997E-2"/>
        <n v="0.20499999999999999"/>
        <n v="0.11899999999999999"/>
        <n v="0.11"/>
        <n v="0.2"/>
        <n v="0.255"/>
        <n v="0.13"/>
        <n v="0.184"/>
        <n v="0.189"/>
        <n v="0.105"/>
        <n v="0.20399999999999999"/>
        <n v="0.05"/>
        <n v="6.8000000000000005E-2"/>
        <n v="0.14199999999999999"/>
        <n v="0.185"/>
        <n v="4.7E-2"/>
        <n v="0.34300000000000003"/>
        <n v="0.114"/>
        <n v="0.13400000000000001"/>
        <n v="0.25700000000000001"/>
        <n v="0.186"/>
        <n v="0.161"/>
        <n v="0.24099999999999999"/>
        <n v="0.215"/>
        <n v="0.104"/>
        <n v="7.0000000000000007E-2"/>
        <n v="0.154"/>
        <n v="0.188"/>
        <n v="0.03"/>
        <n v="6.6000000000000003E-2"/>
        <n v="9.6000000000000002E-2"/>
        <n v="9.9000000000000005E-2"/>
        <n v="0.16"/>
        <n v="3.4000000000000002E-2"/>
        <n v="9.1999999999999998E-2"/>
        <n v="0.14000000000000001"/>
        <n v="0.18"/>
        <n v="0.27800000000000002"/>
        <n v="0.13700000000000001"/>
        <n v="0.123"/>
        <n v="0.22900000000000001"/>
        <n v="1.2E-2"/>
        <n v="0.11799999999999999"/>
        <n v="0.108"/>
        <n v="0.157"/>
        <n v="7.0999999999999994E-2"/>
        <n v="4.2999999999999997E-2"/>
        <n v="6.9000000000000006E-2"/>
        <n v="0.20300000000000001"/>
        <n v="5.7000000000000002E-2"/>
        <n v="7.2999999999999995E-2"/>
        <n v="0.17899999999999999"/>
        <n v="0.111"/>
        <n v="6.3E-2"/>
        <n v="0.22"/>
        <n v="0.192"/>
        <n v="8.9999999999999993E-3"/>
        <n v="0.26500000000000001"/>
        <n v="0.25900000000000001"/>
        <n v="0.151"/>
        <n v="0.245"/>
        <n v="8.2000000000000003E-2"/>
        <n v="0.107"/>
        <n v="2.1000000000000001E-2"/>
        <n v="4.4999999999999998E-2"/>
        <n v="1.7999999999999999E-2"/>
        <n v="2.5000000000000001E-2"/>
        <n v="0.127"/>
        <n v="0.18099999999999999"/>
        <n v="0.13300000000000001"/>
        <n v="0.02"/>
        <n v="5.2999999999999999E-2"/>
        <n v="0.19700000000000001"/>
        <n v="0.254"/>
        <n v="7.8E-2"/>
        <n v="2.1999999999999999E-2"/>
        <n v="9.0999999999999998E-2"/>
        <n v="0.17699999999999999"/>
        <n v="5.6000000000000001E-2"/>
        <n v="0.17299999999999999"/>
        <n v="0.21199999999999999"/>
        <n v="0.19600000000000001"/>
        <n v="0.153"/>
        <n v="0.21099999999999999"/>
        <n v="0.23300000000000001"/>
        <n v="0.23599999999999999"/>
        <n v="0.159"/>
        <n v="5.0999999999999997E-2"/>
        <n v="0.155"/>
        <n v="0.25800000000000001"/>
        <n v="5.5E-2"/>
        <n v="2.9000000000000001E-2"/>
        <n v="0.14799999999999999"/>
        <n v="0.152"/>
        <n v="0.128"/>
        <n v="0.20100000000000001"/>
        <n v="0.113"/>
        <n v="4.0000000000000001E-3"/>
        <n v="0.26600000000000001"/>
        <n v="9.2999999999999999E-2"/>
        <n v="6.7000000000000004E-2"/>
        <n v="0.11600000000000001"/>
        <n v="0.17199999999999999"/>
        <n v="0.23499999999999999"/>
        <n v="8.5999999999999993E-2"/>
        <n v="9.5000000000000001E-2"/>
        <n v="0.23799999999999999"/>
        <n v="0.16700000000000001"/>
        <n v="0.26300000000000001"/>
        <n v="0.22500000000000001"/>
        <n v="0.122"/>
        <n v="0.216"/>
        <n v="0.17399999999999999"/>
        <n v="0.16400000000000001"/>
        <n v="0.13500000000000001"/>
        <n v="0.115"/>
        <n v="0.13800000000000001"/>
        <n v="0.317"/>
        <n v="0.156"/>
        <n v="0.20699999999999999"/>
        <n v="5.8999999999999997E-2"/>
        <n v="0.08"/>
        <n v="0.1"/>
        <n v="0.17599999999999999"/>
        <n v="8.7999999999999995E-2"/>
        <n v="0.09"/>
        <n v="0.14099999999999999"/>
        <n v="1.4E-2"/>
        <n v="7.5999999999999998E-2"/>
        <n v="0.10299999999999999"/>
        <n v="0.121"/>
        <n v="4.2000000000000003E-2"/>
        <n v="0.34599999999999997"/>
        <n v="6.5000000000000002E-2"/>
        <n v="0.23899999999999999"/>
        <n v="0.27"/>
        <n v="2.8000000000000001E-2"/>
        <n v="0.14499999999999999"/>
        <n v="0.158"/>
        <n v="0.21"/>
        <n v="0.24"/>
        <n v="0.29899999999999999"/>
        <n v="0.56499999999999995"/>
        <n v="0.28199999999999997"/>
        <n v="0.26100000000000001"/>
        <n v="3.9E-2"/>
        <n v="0.17"/>
        <n v="0.27200000000000002"/>
        <n v="0.13200000000000001"/>
        <n v="0.106"/>
        <n v="5.8000000000000003E-2"/>
        <n v="0.25600000000000001"/>
        <n v="3.2000000000000001E-2"/>
        <n v="0.16300000000000001"/>
        <n v="0.19"/>
        <n v="0.35699999999999998"/>
        <n v="9.8000000000000004E-2"/>
        <n v="8.3000000000000004E-2"/>
        <n v="6.4000000000000001E-2"/>
        <n v="7.6999999999999999E-2"/>
        <n v="0.217"/>
        <n v="0.22600000000000001"/>
        <n v="1.9E-2"/>
        <n v="0.314"/>
        <n v="0.214"/>
        <n v="4.1000000000000002E-2"/>
        <n v="0.15"/>
        <n v="0.29299999999999998"/>
        <n v="0.16500000000000001"/>
        <n v="1.7000000000000001E-2"/>
        <n v="0.124"/>
        <n v="0.23"/>
        <n v="4.5999999999999999E-2"/>
        <n v="4.9000000000000002E-2"/>
        <n v="0.222"/>
        <n v="0.218"/>
        <n v="0.20899999999999999"/>
        <n v="0.248"/>
        <n v="4.3999999999999997E-2"/>
        <n v="0.20799999999999999"/>
        <n v="5.3999999999999999E-2"/>
        <n v="9.7000000000000003E-2"/>
        <n v="0.17100000000000001"/>
        <n v="8.1000000000000003E-2"/>
        <n v="6.2E-2"/>
        <m/>
        <b v="0"/>
      </sharedItems>
    </cacheField>
    <cacheField name="DISCOUNT" numFmtId="10">
      <sharedItems containsString="0" containsBlank="1" containsNumber="1" minValue="0" maxValue="0.56499999999999995"/>
    </cacheField>
    <cacheField name="DSC%&gt;20" numFmtId="10">
      <sharedItems containsBlank="1" count="3">
        <s v="okay"/>
        <s v="High discount"/>
        <m/>
      </sharedItems>
    </cacheField>
    <cacheField name="Quantity" numFmtId="1">
      <sharedItems containsString="0" containsBlank="1" containsNumber="1" containsInteger="1" minValue="2" maxValue="61"/>
    </cacheField>
    <cacheField name="Gross revenue" numFmtId="0">
      <sharedItems containsString="0" containsBlank="1" containsNumber="1" minValue="18.659839999999999" maxValue="139277.83032000001" count="633">
        <n v="4866.3287999999993"/>
        <n v="17960.432489999999"/>
        <n v="12449.676359999999"/>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61842.466000000008"/>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427.917200000000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229.7423999999992"/>
        <n v="27756.432000000001"/>
        <n v="2537.2908000000002"/>
        <n v="8764.4065599999994"/>
        <n v="7105.3528000000006"/>
        <n v="5610.0923999999995"/>
        <n v="4856.35725"/>
        <n v="16219.34496"/>
        <n v="28247.74656"/>
        <n v="38535.955099999999"/>
        <n v="3021.5016000000001"/>
        <n v="26106.613960000002"/>
        <n v="17067.938400000003"/>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30018.667280000001"/>
        <n v="25174.028880000002"/>
        <n v="41419.524249999995"/>
        <n v="1030.7574"/>
        <n v="2355.2113199999999"/>
        <n v="30229.994880000002"/>
        <n v="10693.88488"/>
        <n v="50090.397499999999"/>
        <n v="32704.386400000003"/>
        <n v="13983.752729999998"/>
        <n v="5096.4790800000001"/>
        <n v="33017.42"/>
        <n v="40476.013200000001"/>
        <n v="12769.38768"/>
        <n v="266.17821999999995"/>
        <m/>
      </sharedItems>
    </cacheField>
    <cacheField name="Cost of Goods" numFmtId="0">
      <sharedItems containsString="0" containsBlank="1" containsNumber="1" minValue="22" maxValue="83258.290000000008"/>
    </cacheField>
    <cacheField name="Gross profit" numFmtId="0">
      <sharedItems containsString="0" containsBlank="1" containsNumber="1" minValue="-15655.657510000005" maxValue="65188.659999999996"/>
    </cacheField>
    <cacheField name="Margin %" numFmtId="0">
      <sharedItems containsString="0" containsBlank="1" containsNumber="1" minValue="-0.87167486187856302" maxValue="0.59672531214528945"/>
    </cacheField>
  </cacheFields>
  <extLst>
    <ext xmlns:x14="http://schemas.microsoft.com/office/spreadsheetml/2009/9/main" uri="{725AE2AE-9491-48be-B2B4-4EB974FC3084}">
      <x14:pivotCacheDefinition pivotCacheId="885501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5">
  <r>
    <x v="0"/>
    <d v="2024-10-23T00:00:00"/>
    <s v="Oct-2024"/>
    <s v="Q4-2024"/>
    <n v="0"/>
    <n v="45587"/>
    <n v="45595"/>
    <n v="-8"/>
    <s v="Africa"/>
    <s v="Nigeria"/>
    <s v="Port Harcourt"/>
    <m/>
    <s v="Education"/>
    <s v="Online"/>
    <x v="0"/>
    <x v="0"/>
    <s v="High"/>
    <x v="0"/>
    <n v="1084.3900000000001"/>
    <n v="759.33"/>
    <n v="759.33"/>
    <n v="0.23699999999999999"/>
    <n v="0.23699999999999999"/>
    <x v="0"/>
    <n v="17960.432489999999"/>
    <n v="33616.090000000004"/>
    <x v="0"/>
    <n v="-0.87167486187856302"/>
  </r>
  <r>
    <x v="1"/>
    <d v="2023-02-28T00:00:00"/>
    <s v="Feb-2023"/>
    <s v="Q1-2023"/>
    <m/>
    <d v="2023-03-25T00:00:00"/>
    <d v="2023-02-28T00:00:00"/>
    <n v="25"/>
    <s v="Africa"/>
    <s v="Kenya"/>
    <s v="Nairobi"/>
    <s v="XLOOKUP(h4:i4:j4,K7)"/>
    <s v="Corporate"/>
    <s v="Retail"/>
    <x v="1"/>
    <x v="1"/>
    <m/>
    <x v="1"/>
    <n v="1460.76"/>
    <n v="-30.66"/>
    <s v="1193.87"/>
    <n v="0.13100000000000001"/>
    <n v="0.13100000000000001"/>
    <x v="1"/>
    <n v="12449.676359999999"/>
    <n v="17529.12"/>
    <x v="1"/>
    <n v="-0.40799804694682035"/>
  </r>
  <r>
    <x v="2"/>
    <d v="2025-03-29T00:00:00"/>
    <s v="Mar-2025"/>
    <s v="Q1-2025"/>
    <m/>
    <d v="2025-04-02T00:00:00"/>
    <d v="2025-03-29T00:00:00"/>
    <n v="4"/>
    <s v="Africa"/>
    <s v="Nigeria"/>
    <s v="Lagos"/>
    <m/>
    <s v="Non-Profit"/>
    <s v="Marketplace"/>
    <x v="2"/>
    <x v="2"/>
    <m/>
    <x v="2"/>
    <n v="259.93"/>
    <n v="255.94"/>
    <n v="255.94"/>
    <n v="7.1999999999999995E-2"/>
    <n v="7.1999999999999995E-2"/>
    <x v="2"/>
    <n v="5225.2710400000005"/>
    <n v="5718.46"/>
    <x v="2"/>
    <n v="-9.4385335463861311E-2"/>
  </r>
  <r>
    <x v="3"/>
    <d v="2023-12-06T00:00:00"/>
    <s v="Dec-2023"/>
    <s v="Q4-2023"/>
    <m/>
    <d v="2023-12-31T00:00:00"/>
    <d v="2023-12-06T00:00:00"/>
    <n v="25"/>
    <s v="Asia"/>
    <s v="Japan"/>
    <s v="Osaka"/>
    <m/>
    <s v="Consumer"/>
    <s v="Retail"/>
    <x v="3"/>
    <x v="0"/>
    <m/>
    <x v="3"/>
    <n v="663.03"/>
    <n v="813.51"/>
    <n v="813.51"/>
    <n v="0.10199999999999999"/>
    <n v="0.10199999999999999"/>
    <x v="3"/>
    <n v="10957.9797"/>
    <n v="9945.4499999999989"/>
    <x v="3"/>
    <n v="9.2401129379715952E-2"/>
  </r>
  <r>
    <x v="4"/>
    <d v="2023-01-02T00:00:00"/>
    <s v="Jan-2023"/>
    <s v="Q1-2023"/>
    <m/>
    <d v="2023-01-05T00:00:00"/>
    <d v="2023-01-02T00:00:00"/>
    <n v="3"/>
    <s v="Americas"/>
    <s v="Canada"/>
    <s v="Toronto"/>
    <m/>
    <s v="Corporate"/>
    <s v="Distributor"/>
    <x v="4"/>
    <x v="3"/>
    <m/>
    <x v="4"/>
    <n v="315.87"/>
    <n v="591.67999999999995"/>
    <n v="591.67999999999995"/>
    <n v="0"/>
    <n v="0"/>
    <x v="4"/>
    <n v="4141.7599999999993"/>
    <n v="2211.09"/>
    <x v="4"/>
    <n v="0.46614724175229844"/>
  </r>
  <r>
    <x v="5"/>
    <d v="2024-12-27T00:00:00"/>
    <s v="Dec-2024"/>
    <s v="Q4-2024"/>
    <m/>
    <d v="2025-01-14T00:00:00"/>
    <d v="2024-12-27T00:00:00"/>
    <n v="18"/>
    <s v="Asia"/>
    <s v="India"/>
    <s v="Bengaluru"/>
    <m/>
    <s v="Small Business"/>
    <s v="Marketplace"/>
    <x v="5"/>
    <x v="4"/>
    <m/>
    <x v="5"/>
    <n v="586.07000000000005"/>
    <n v="845.97"/>
    <n v="845.97"/>
    <n v="0.14699999999999999"/>
    <n v="0.14699999999999999"/>
    <x v="5"/>
    <n v="2886.4496399999998"/>
    <n v="2344.2800000000002"/>
    <x v="5"/>
    <n v="0.18783270370862928"/>
  </r>
  <r>
    <x v="6"/>
    <d v="2023-01-15T00:00:00"/>
    <s v="Jan-2023"/>
    <s v="Q1-2023"/>
    <m/>
    <d v="2023-01-13T00:00:00"/>
    <d v="2023-01-22T00:00:00"/>
    <n v="-9"/>
    <s v="Africa"/>
    <s v="Nigeria"/>
    <s v="Abuja"/>
    <m/>
    <s v="Education"/>
    <s v="Online"/>
    <x v="6"/>
    <x v="0"/>
    <m/>
    <x v="6"/>
    <n v="28.38"/>
    <n v="47.22"/>
    <n v="47.22"/>
    <n v="0.19400000000000001"/>
    <n v="0.19400000000000001"/>
    <x v="6"/>
    <n v="685.06776000000002"/>
    <n v="510.84"/>
    <x v="6"/>
    <n v="0.25432193743871417"/>
  </r>
  <r>
    <x v="7"/>
    <d v="2024-05-04T00:00:00"/>
    <s v="May-2024"/>
    <s v="Q2-2024"/>
    <m/>
    <d v="2024-05-29T00:00:00"/>
    <d v="2024-05-04T00:00:00"/>
    <n v="25"/>
    <s v="Africa"/>
    <s v="Nigeria"/>
    <s v="Abuja"/>
    <m/>
    <s v="Non-Profit"/>
    <s v="Marketplace"/>
    <x v="6"/>
    <x v="4"/>
    <m/>
    <x v="7"/>
    <n v="1295.3399999999999"/>
    <n v="2530.81"/>
    <n v="2530.81"/>
    <n v="3.1E-2"/>
    <n v="3.1E-2"/>
    <x v="7"/>
    <n v="14714.12934"/>
    <n v="7772.0399999999991"/>
    <x v="7"/>
    <n v="0.4717974933880798"/>
  </r>
  <r>
    <x v="8"/>
    <d v="2025-05-21T00:00:00"/>
    <s v="May-2025"/>
    <s v="Q2-2025"/>
    <m/>
    <d v="2025-06-09T00:00:00"/>
    <d v="2025-05-21T00:00:00"/>
    <n v="19"/>
    <s v="Americas"/>
    <s v="Brazil"/>
    <s v="São Paulo"/>
    <m/>
    <s v="Non-Profit"/>
    <s v="Online"/>
    <x v="7"/>
    <x v="5"/>
    <m/>
    <x v="8"/>
    <n v="1331.38"/>
    <n v="2309.56"/>
    <n v="2309.56"/>
    <n v="0.14899999999999999"/>
    <n v="0.14899999999999999"/>
    <x v="0"/>
    <n v="60928.502359999999"/>
    <n v="41272.780000000006"/>
    <x v="8"/>
    <n v="0.32260307735553528"/>
  </r>
  <r>
    <x v="9"/>
    <d v="2024-01-28T00:00:00"/>
    <s v="Jan-2024"/>
    <s v="Q1-2024"/>
    <m/>
    <d v="2024-02-09T00:00:00"/>
    <d v="2024-01-28T00:00:00"/>
    <n v="12"/>
    <s v="Europe"/>
    <s v="Germany"/>
    <s v="Berlin"/>
    <m/>
    <s v="Corporate"/>
    <s v="Online"/>
    <x v="2"/>
    <x v="6"/>
    <m/>
    <x v="9"/>
    <n v="644.16999999999996"/>
    <n v="700.12"/>
    <n v="700.12"/>
    <n v="6.0000000000000001E-3"/>
    <n v="6.0000000000000001E-3"/>
    <x v="8"/>
    <n v="16006.14344"/>
    <n v="14815.91"/>
    <x v="9"/>
    <n v="7.436103796405813E-2"/>
  </r>
  <r>
    <x v="10"/>
    <d v="2025-01-03T00:00:00"/>
    <s v="Jan-2025"/>
    <s v="Q1-2025"/>
    <m/>
    <d v="2025-01-23T00:00:00"/>
    <d v="2025-01-03T00:00:00"/>
    <n v="20"/>
    <s v="Asia"/>
    <s v="Japan"/>
    <s v="Osaka"/>
    <m/>
    <s v="Corporate"/>
    <s v="Distributor"/>
    <x v="8"/>
    <x v="2"/>
    <m/>
    <x v="10"/>
    <n v="908.6"/>
    <n v="691.37"/>
    <n v="691.37"/>
    <n v="0.25"/>
    <n v="0.25"/>
    <x v="9"/>
    <n v="10370.549999999999"/>
    <n v="18172"/>
    <x v="10"/>
    <n v="-0.75226964818645115"/>
  </r>
  <r>
    <x v="11"/>
    <d v="2025-03-06T00:00:00"/>
    <s v="Mar-2025"/>
    <s v="Q1-2025"/>
    <m/>
    <d v="2025-03-31T00:00:00"/>
    <d v="2025-03-06T00:00:00"/>
    <n v="25"/>
    <s v="Americas"/>
    <s v="Brazil"/>
    <s v="Brasília"/>
    <m/>
    <s v="Non-Profit"/>
    <s v="Online"/>
    <x v="0"/>
    <x v="5"/>
    <m/>
    <x v="11"/>
    <n v="331.57"/>
    <n v="548.4"/>
    <n v="548.4"/>
    <n v="9.4E-2"/>
    <n v="9.4E-2"/>
    <x v="10"/>
    <n v="4968.5039999999999"/>
    <n v="3315.7"/>
    <x v="11"/>
    <n v="0.33265626836568918"/>
  </r>
  <r>
    <x v="12"/>
    <d v="2024-01-20T00:00:00"/>
    <s v="Jan-2024"/>
    <s v="Q1-2024"/>
    <m/>
    <d v="2024-02-13T00:00:00"/>
    <d v="2024-01-20T00:00:00"/>
    <n v="24"/>
    <s v="Europe"/>
    <s v="France"/>
    <s v="Marseille"/>
    <m/>
    <s v="Corporate"/>
    <s v="Retail"/>
    <x v="9"/>
    <x v="0"/>
    <m/>
    <x v="12"/>
    <n v="643.53"/>
    <n v="1439.01"/>
    <n v="1439.01"/>
    <n v="0"/>
    <n v="0"/>
    <x v="3"/>
    <n v="21585.15"/>
    <n v="9652.9499999999989"/>
    <x v="12"/>
    <n v="0.55279671440782208"/>
  </r>
  <r>
    <x v="13"/>
    <d v="2025-09-01T00:00:00"/>
    <s v="Sep-2025"/>
    <s v="Q3-2025"/>
    <m/>
    <d v="2025-09-30T00:00:00"/>
    <d v="2025-09-01T00:00:00"/>
    <n v="29"/>
    <s v="Americas"/>
    <s v="Brazil"/>
    <s v="Brasília"/>
    <m/>
    <s v="Education"/>
    <s v="Retail"/>
    <x v="10"/>
    <x v="6"/>
    <m/>
    <x v="13"/>
    <n v="780.59"/>
    <n v="631.57000000000005"/>
    <n v="631.57000000000005"/>
    <n v="0"/>
    <n v="0"/>
    <x v="1"/>
    <n v="7578.84"/>
    <n v="9367.08"/>
    <x v="13"/>
    <n v="-0.23595167598207639"/>
  </r>
  <r>
    <x v="14"/>
    <d v="2023-04-23T00:00:00"/>
    <s v="Apr-2023"/>
    <s v="Q2-2023"/>
    <m/>
    <d v="2023-04-22T00:00:00"/>
    <d v="2023-04-30T00:00:00"/>
    <n v="-8"/>
    <s v="Africa"/>
    <s v="Kenya"/>
    <s v="Nairobi"/>
    <m/>
    <s v="Small Business"/>
    <s v="Direct"/>
    <x v="5"/>
    <x v="3"/>
    <m/>
    <x v="14"/>
    <n v="756.51"/>
    <n v="850.8"/>
    <n v="850.8"/>
    <n v="7.3999999999999996E-2"/>
    <n v="7.3999999999999996E-2"/>
    <x v="11"/>
    <n v="7090.5672000000004"/>
    <n v="6808.59"/>
    <x v="14"/>
    <n v="3.9767932810791252E-2"/>
  </r>
  <r>
    <x v="15"/>
    <d v="2024-12-10T00:00:00"/>
    <s v="Dec-2024"/>
    <s v="Q4-2024"/>
    <m/>
    <d v="2025-01-08T00:00:00"/>
    <d v="2024-12-10T00:00:00"/>
    <n v="29"/>
    <s v="Europe"/>
    <s v="France"/>
    <s v="Marseille"/>
    <m/>
    <s v="Small Business"/>
    <s v="Retail"/>
    <x v="10"/>
    <x v="0"/>
    <m/>
    <x v="15"/>
    <n v="891.08"/>
    <n v="1040.0999999999999"/>
    <n v="1040.0999999999999"/>
    <n v="0.109"/>
    <n v="0.109"/>
    <x v="12"/>
    <n v="25948.414799999995"/>
    <n v="24950.240000000002"/>
    <x v="15"/>
    <n v="3.8467660074556598E-2"/>
  </r>
  <r>
    <x v="16"/>
    <d v="2025-09-08T00:00:00"/>
    <s v="Sep-2025"/>
    <s v="Q3-2025"/>
    <m/>
    <d v="2025-09-16T00:00:00"/>
    <d v="2025-09-08T00:00:00"/>
    <n v="8"/>
    <s v="Asia"/>
    <s v="Japan"/>
    <s v="Osaka"/>
    <m/>
    <s v="Corporate"/>
    <s v="Distributor"/>
    <x v="11"/>
    <x v="2"/>
    <m/>
    <x v="16"/>
    <n v="1225.57"/>
    <n v="2705.57"/>
    <n v="2705.57"/>
    <n v="0.183"/>
    <n v="0.183"/>
    <x v="13"/>
    <n v="35367.211040000002"/>
    <n v="19609.12"/>
    <x v="16"/>
    <n v="0.44555650775453404"/>
  </r>
  <r>
    <x v="17"/>
    <d v="2025-07-20T00:00:00"/>
    <s v="Jul-2025"/>
    <s v="Q3-2025"/>
    <m/>
    <d v="2025-08-05T00:00:00"/>
    <d v="2025-07-20T00:00:00"/>
    <n v="16"/>
    <s v="Americas"/>
    <s v="Brazil"/>
    <s v="Brasília"/>
    <m/>
    <s v="Enterprise"/>
    <s v="Marketplace"/>
    <x v="2"/>
    <x v="6"/>
    <m/>
    <x v="17"/>
    <n v="1068.17"/>
    <n v="2375.37"/>
    <n v="2375.37"/>
    <n v="0.109"/>
    <n v="0.109"/>
    <x v="6"/>
    <n v="38096.18406"/>
    <n v="19227.060000000001"/>
    <x v="17"/>
    <n v="0.49530220744108822"/>
  </r>
  <r>
    <x v="18"/>
    <d v="2025-05-21T00:00:00"/>
    <s v="May-2025"/>
    <s v="Q2-2025"/>
    <m/>
    <d v="2025-05-19T00:00:00"/>
    <d v="2025-05-28T00:00:00"/>
    <n v="-9"/>
    <s v="Europe"/>
    <s v="United Kingdom"/>
    <s v="Birmingham"/>
    <m/>
    <s v="Enterprise"/>
    <s v="Online"/>
    <x v="12"/>
    <x v="3"/>
    <m/>
    <x v="18"/>
    <n v="1015.16"/>
    <n v="2148.14"/>
    <n v="2148.14"/>
    <n v="3.7999999999999999E-2"/>
    <n v="3.7999999999999999E-2"/>
    <x v="14"/>
    <n v="39263.702919999996"/>
    <n v="19288.04"/>
    <x v="18"/>
    <n v="0.50875647059322227"/>
  </r>
  <r>
    <x v="19"/>
    <d v="2024-07-25T00:00:00"/>
    <s v="Jul-2024"/>
    <s v="Q3-2024"/>
    <m/>
    <d v="2024-07-24T00:00:00"/>
    <d v="2024-08-01T00:00:00"/>
    <n v="-8"/>
    <s v="Africa"/>
    <s v="Kenya"/>
    <s v="Mombasa"/>
    <m/>
    <s v="Non-Profit"/>
    <s v="Direct"/>
    <x v="0"/>
    <x v="3"/>
    <m/>
    <x v="19"/>
    <n v="1494.4"/>
    <n v="3661.07"/>
    <n v="3661.07"/>
    <n v="7.1999999999999995E-2"/>
    <n v="7.1999999999999995E-2"/>
    <x v="4"/>
    <n v="23782.310720000001"/>
    <n v="10460.800000000001"/>
    <x v="19"/>
    <n v="0.56014366630897339"/>
  </r>
  <r>
    <x v="20"/>
    <d v="2023-05-11T00:00:00"/>
    <s v="May-2023"/>
    <s v="Q2-2023"/>
    <m/>
    <d v="2023-05-28T00:00:00"/>
    <d v="2023-05-11T00:00:00"/>
    <n v="17"/>
    <s v="Asia"/>
    <s v="China"/>
    <s v="Shenzhen"/>
    <m/>
    <s v="Enterprise"/>
    <s v="Marketplace"/>
    <x v="5"/>
    <x v="1"/>
    <m/>
    <x v="20"/>
    <n v="1331.19"/>
    <n v="2903.09"/>
    <n v="2903.09"/>
    <n v="0.14299999999999999"/>
    <n v="0.14299999999999999"/>
    <x v="15"/>
    <n v="19903.585040000002"/>
    <n v="10649.52"/>
    <x v="20"/>
    <n v="0.46494463290920784"/>
  </r>
  <r>
    <x v="21"/>
    <d v="2025-06-14T00:00:00"/>
    <s v="Jun-2025"/>
    <s v="Q2-2025"/>
    <m/>
    <d v="2025-06-29T00:00:00"/>
    <d v="2025-06-14T00:00:00"/>
    <n v="15"/>
    <s v="Africa"/>
    <s v="Nigeria"/>
    <s v="Port Harcourt"/>
    <m/>
    <s v="Consumer"/>
    <s v="Marketplace"/>
    <x v="12"/>
    <x v="6"/>
    <m/>
    <x v="21"/>
    <n v="730.99"/>
    <n v="1242.8399999999999"/>
    <n v="1242.8399999999999"/>
    <n v="0.12"/>
    <n v="0.12"/>
    <x v="10"/>
    <n v="10936.992"/>
    <n v="7309.9"/>
    <x v="21"/>
    <n v="0.33163524303574515"/>
  </r>
  <r>
    <x v="22"/>
    <d v="2024-05-18T00:00:00"/>
    <s v="May-2024"/>
    <s v="Q2-2024"/>
    <m/>
    <d v="2024-05-23T00:00:00"/>
    <d v="2024-05-18T00:00:00"/>
    <n v="5"/>
    <s v="Americas"/>
    <s v="USA"/>
    <s v="Chicago"/>
    <m/>
    <s v="Enterprise"/>
    <s v="Retail"/>
    <x v="9"/>
    <x v="3"/>
    <m/>
    <x v="22"/>
    <n v="1274.5899999999999"/>
    <n v="2553.69"/>
    <n v="2553.69"/>
    <n v="0.01"/>
    <n v="0.01"/>
    <x v="15"/>
    <n v="20225.2248"/>
    <n v="10196.719999999999"/>
    <x v="22"/>
    <n v="0.49584145042481803"/>
  </r>
  <r>
    <x v="23"/>
    <d v="2023-02-07T00:00:00"/>
    <s v="Feb-2023"/>
    <s v="Q1-2023"/>
    <m/>
    <d v="2023-02-12T00:00:00"/>
    <d v="2023-02-07T00:00:00"/>
    <n v="5"/>
    <s v="Americas"/>
    <s v="Brazil"/>
    <s v="São Paulo"/>
    <m/>
    <s v="Education"/>
    <s v="Online"/>
    <x v="13"/>
    <x v="5"/>
    <m/>
    <x v="23"/>
    <n v="948.55"/>
    <n v="2089.16"/>
    <n v="2089.16"/>
    <n v="7.0000000000000001E-3"/>
    <n v="7.0000000000000001E-3"/>
    <x v="1"/>
    <n v="24894.430559999997"/>
    <n v="11382.599999999999"/>
    <x v="23"/>
    <n v="0.54276519912492427"/>
  </r>
  <r>
    <x v="24"/>
    <d v="2024-06-30T00:00:00"/>
    <s v="Jun-2024"/>
    <s v="Q2-2024"/>
    <m/>
    <d v="2024-07-14T00:00:00"/>
    <d v="2024-06-30T00:00:00"/>
    <n v="14"/>
    <s v="Americas"/>
    <s v="Brazil"/>
    <s v="Brasília"/>
    <m/>
    <s v="Education"/>
    <s v="Retail"/>
    <x v="11"/>
    <x v="6"/>
    <m/>
    <x v="24"/>
    <n v="1491.85"/>
    <n v="2583.02"/>
    <n v="2583.02"/>
    <n v="0.16800000000000001"/>
    <n v="0.16800000000000001"/>
    <x v="5"/>
    <n v="8596.2905599999995"/>
    <n v="5967.4"/>
    <x v="24"/>
    <n v="0.30581685689321325"/>
  </r>
  <r>
    <x v="25"/>
    <d v="2024-11-30T00:00:00"/>
    <s v="Nov-2024"/>
    <s v="Q4-2024"/>
    <m/>
    <d v="2024-12-30T00:00:00"/>
    <d v="2024-11-30T00:00:00"/>
    <n v="30"/>
    <s v="Europe"/>
    <s v="France"/>
    <s v="Marseille"/>
    <m/>
    <s v="Consumer"/>
    <s v="Marketplace"/>
    <x v="8"/>
    <x v="0"/>
    <m/>
    <x v="25"/>
    <n v="117.64"/>
    <n v="175.67"/>
    <n v="175.67"/>
    <n v="0"/>
    <n v="0"/>
    <x v="10"/>
    <n v="1756.6999999999998"/>
    <n v="1176.4000000000001"/>
    <x v="25"/>
    <n v="0.33033528775545046"/>
  </r>
  <r>
    <x v="26"/>
    <d v="2024-07-19T00:00:00"/>
    <s v="Jul-2024"/>
    <s v="Q3-2024"/>
    <m/>
    <d v="2024-07-19T00:00:00"/>
    <d v="2024-07-19T00:00:00"/>
    <n v="0"/>
    <s v="Africa"/>
    <s v="Kenya"/>
    <s v="Kisumu"/>
    <m/>
    <s v="Small Business"/>
    <s v="Retail"/>
    <x v="7"/>
    <x v="2"/>
    <m/>
    <x v="26"/>
    <n v="857.24"/>
    <n v="758.23"/>
    <n v="758.23"/>
    <n v="0.125"/>
    <n v="0.125"/>
    <x v="7"/>
    <n v="3980.7075"/>
    <n v="5143.4400000000005"/>
    <x v="26"/>
    <n v="-0.29209192084572921"/>
  </r>
  <r>
    <x v="27"/>
    <d v="2023-04-14T00:00:00"/>
    <s v="Apr-2023"/>
    <s v="Q2-2023"/>
    <m/>
    <d v="2023-05-14T00:00:00"/>
    <d v="2023-04-14T00:00:00"/>
    <n v="30"/>
    <s v="Africa"/>
    <s v="Kenya"/>
    <s v="Nakuru"/>
    <m/>
    <s v="Consumer"/>
    <s v="Marketplace"/>
    <x v="12"/>
    <x v="2"/>
    <m/>
    <x v="27"/>
    <n v="209.25"/>
    <n v="434.8"/>
    <n v="434.8"/>
    <n v="0"/>
    <n v="0"/>
    <x v="11"/>
    <n v="3913.2000000000003"/>
    <n v="1883.25"/>
    <x v="27"/>
    <n v="0.51874425022999082"/>
  </r>
  <r>
    <x v="28"/>
    <d v="2025-04-07T00:00:00"/>
    <s v="Apr-2025"/>
    <s v="Q2-2025"/>
    <m/>
    <d v="2025-04-11T00:00:00"/>
    <d v="2025-04-07T00:00:00"/>
    <n v="4"/>
    <s v="Europe"/>
    <s v="France"/>
    <s v="Lyon"/>
    <m/>
    <s v="Education"/>
    <s v="Retail"/>
    <x v="5"/>
    <x v="1"/>
    <m/>
    <x v="28"/>
    <n v="754.77"/>
    <n v="1666.18"/>
    <n v="1666.18"/>
    <n v="0.13900000000000001"/>
    <n v="0.13900000000000001"/>
    <x v="16"/>
    <n v="20084.133720000002"/>
    <n v="10566.779999999999"/>
    <x v="28"/>
    <n v="0.47387424584424653"/>
  </r>
  <r>
    <x v="29"/>
    <d v="2024-12-27T00:00:00"/>
    <s v="Dec-2024"/>
    <s v="Q4-2024"/>
    <m/>
    <d v="2025-01-15T00:00:00"/>
    <d v="2024-12-27T00:00:00"/>
    <n v="19"/>
    <s v="Asia"/>
    <s v="India"/>
    <s v="Delhi"/>
    <m/>
    <s v="Non-Profit"/>
    <s v="Distributor"/>
    <x v="2"/>
    <x v="5"/>
    <m/>
    <x v="29"/>
    <n v="495.59"/>
    <n v="631.78"/>
    <n v="631.78"/>
    <n v="8.6999999999999994E-2"/>
    <n v="8.6999999999999994E-2"/>
    <x v="17"/>
    <n v="9805.8573800000013"/>
    <n v="8425.0299999999988"/>
    <x v="29"/>
    <n v="0.14081658813601899"/>
  </r>
  <r>
    <x v="30"/>
    <d v="2023-02-23T00:00:00"/>
    <s v="Feb-2023"/>
    <s v="Q1-2023"/>
    <m/>
    <d v="2023-03-25T00:00:00"/>
    <d v="2023-02-23T00:00:00"/>
    <n v="30"/>
    <s v="Americas"/>
    <s v="Canada"/>
    <s v="Montreal"/>
    <m/>
    <s v="Enterprise"/>
    <s v="Online"/>
    <x v="14"/>
    <x v="2"/>
    <m/>
    <x v="30"/>
    <n v="1242.6600000000001"/>
    <n v="1794.07"/>
    <n v="1794.07"/>
    <n v="8.8999999999999996E-2"/>
    <n v="8.8999999999999996E-2"/>
    <x v="13"/>
    <n v="26150.364320000001"/>
    <n v="19882.560000000001"/>
    <x v="30"/>
    <n v="0.23968325042440553"/>
  </r>
  <r>
    <x v="31"/>
    <d v="2025-07-24T00:00:00"/>
    <s v="Jul-2025"/>
    <s v="Q3-2025"/>
    <m/>
    <d v="2025-08-06T00:00:00"/>
    <d v="2025-07-24T00:00:00"/>
    <n v="13"/>
    <s v="Africa"/>
    <s v="South Africa"/>
    <s v="Johannesburg"/>
    <m/>
    <s v="Education"/>
    <s v="Marketplace"/>
    <x v="14"/>
    <x v="1"/>
    <m/>
    <x v="31"/>
    <n v="1463.9"/>
    <n v="2633.02"/>
    <n v="2633.02"/>
    <n v="8.4000000000000005E-2"/>
    <n v="8.4000000000000005E-2"/>
    <x v="5"/>
    <n v="9647.3852800000004"/>
    <n v="5855.6"/>
    <x v="31"/>
    <n v="0.39303761277791527"/>
  </r>
  <r>
    <x v="32"/>
    <d v="2024-04-18T00:00:00"/>
    <s v="Apr-2024"/>
    <s v="Q2-2024"/>
    <m/>
    <d v="2024-05-08T00:00:00"/>
    <d v="2024-04-18T00:00:00"/>
    <n v="20"/>
    <s v="Europe"/>
    <s v="United Kingdom"/>
    <s v="London"/>
    <m/>
    <s v="Non-Profit"/>
    <s v="NOT ASSIGNED"/>
    <x v="14"/>
    <x v="3"/>
    <m/>
    <x v="32"/>
    <n v="645.33000000000004"/>
    <n v="1321.85"/>
    <n v="1321.85"/>
    <n v="0"/>
    <n v="0"/>
    <x v="10"/>
    <n v="13218.5"/>
    <n v="6453.3"/>
    <x v="32"/>
    <n v="0.51179785906116426"/>
  </r>
  <r>
    <x v="33"/>
    <d v="2024-08-23T00:00:00"/>
    <s v="Aug-2024"/>
    <s v="Q3-2024"/>
    <m/>
    <d v="2024-08-21T00:00:00"/>
    <d v="2024-08-30T00:00:00"/>
    <n v="-9"/>
    <s v="Africa"/>
    <s v="South Africa"/>
    <s v="Johannesburg"/>
    <m/>
    <s v="Education"/>
    <s v="Retail"/>
    <x v="5"/>
    <x v="5"/>
    <m/>
    <x v="33"/>
    <n v="1432.52"/>
    <n v="3036.87"/>
    <n v="3036.87"/>
    <n v="0"/>
    <n v="0"/>
    <x v="11"/>
    <n v="27331.829999999998"/>
    <n v="12892.68"/>
    <x v="33"/>
    <n v="0.52829064135112791"/>
  </r>
  <r>
    <x v="34"/>
    <d v="2023-03-27T00:00:00"/>
    <s v="Mar-2023"/>
    <s v="Q1-2023"/>
    <m/>
    <d v="2023-04-22T00:00:00"/>
    <d v="2023-03-27T00:00:00"/>
    <n v="26"/>
    <s v="Asia"/>
    <s v="India"/>
    <s v="Delhi"/>
    <m/>
    <s v="Non-Profit"/>
    <s v="Marketplace"/>
    <x v="0"/>
    <x v="0"/>
    <m/>
    <x v="34"/>
    <n v="178.53"/>
    <n v="199.37"/>
    <n v="199.37"/>
    <n v="0.10100000000000001"/>
    <n v="0.10100000000000001"/>
    <x v="18"/>
    <n v="6631.6443100000006"/>
    <n v="6605.61"/>
    <x v="34"/>
    <n v="3.9257699573457538E-3"/>
  </r>
  <r>
    <x v="35"/>
    <d v="2024-03-07T00:00:00"/>
    <s v="Mar-2024"/>
    <s v="Q1-2024"/>
    <m/>
    <d v="2024-03-25T00:00:00"/>
    <d v="2024-03-07T00:00:00"/>
    <n v="18"/>
    <s v="Europe"/>
    <s v="Germany"/>
    <s v="Munich"/>
    <m/>
    <s v="Corporate"/>
    <s v="Online"/>
    <x v="4"/>
    <x v="5"/>
    <m/>
    <x v="35"/>
    <n v="712.84"/>
    <n v="927.51"/>
    <n v="927.51"/>
    <n v="0.24299999999999999"/>
    <n v="0.24299999999999999"/>
    <x v="19"/>
    <n v="18957.37689"/>
    <n v="19246.68"/>
    <x v="35"/>
    <n v="-1.5260714163076427E-2"/>
  </r>
  <r>
    <x v="36"/>
    <d v="2025-06-24T00:00:00"/>
    <s v="Jun-2025"/>
    <s v="Q2-2025"/>
    <m/>
    <d v="2025-07-10T00:00:00"/>
    <d v="2025-06-24T00:00:00"/>
    <n v="16"/>
    <s v="Asia"/>
    <s v="China"/>
    <s v="Shanghai"/>
    <m/>
    <s v="Enterprise"/>
    <s v="Direct"/>
    <x v="13"/>
    <x v="5"/>
    <m/>
    <x v="36"/>
    <n v="757.19"/>
    <n v="1735.41"/>
    <n v="1735.41"/>
    <n v="0.13600000000000001"/>
    <n v="0.13600000000000001"/>
    <x v="15"/>
    <n v="11995.153920000001"/>
    <n v="6057.52"/>
    <x v="36"/>
    <n v="0.4950027285685718"/>
  </r>
  <r>
    <x v="37"/>
    <d v="2024-04-19T00:00:00"/>
    <s v="Apr-2024"/>
    <s v="Q2-2024"/>
    <m/>
    <d v="2024-05-06T00:00:00"/>
    <d v="2024-04-19T00:00:00"/>
    <n v="17"/>
    <s v="Africa"/>
    <s v="Nigeria"/>
    <s v="Port Harcourt"/>
    <m/>
    <s v="Non-Profit"/>
    <s v="Online"/>
    <x v="7"/>
    <x v="0"/>
    <m/>
    <x v="37"/>
    <n v="865.33"/>
    <n v="1395.64"/>
    <n v="1395.64"/>
    <n v="0.17499999999999999"/>
    <n v="0.17499999999999999"/>
    <x v="20"/>
    <n v="14968.239"/>
    <n v="11249.29"/>
    <x v="37"/>
    <n v="0.24845601409758347"/>
  </r>
  <r>
    <x v="38"/>
    <d v="2023-06-17T00:00:00"/>
    <s v="Jun-2023"/>
    <s v="Q2-2023"/>
    <m/>
    <d v="2023-06-24T00:00:00"/>
    <d v="2023-06-17T00:00:00"/>
    <n v="7"/>
    <s v="Americas"/>
    <s v="USA"/>
    <s v="San Francisco"/>
    <m/>
    <s v="Corporate"/>
    <s v="Retail"/>
    <x v="1"/>
    <x v="0"/>
    <m/>
    <x v="38"/>
    <n v="313.99"/>
    <n v="454.42"/>
    <n v="454.42"/>
    <n v="0.129"/>
    <n v="0.129"/>
    <x v="11"/>
    <n v="3562.1983800000003"/>
    <n v="2825.91"/>
    <x v="38"/>
    <n v="0.20669493988147858"/>
  </r>
  <r>
    <x v="39"/>
    <d v="2024-08-27T00:00:00"/>
    <s v="Aug-2024"/>
    <s v="Q3-2024"/>
    <m/>
    <d v="2024-09-19T00:00:00"/>
    <d v="2024-08-27T00:00:00"/>
    <n v="23"/>
    <s v="Europe"/>
    <s v="Germany"/>
    <s v="Berlin"/>
    <m/>
    <s v="Small Business"/>
    <s v="Direct"/>
    <x v="14"/>
    <x v="4"/>
    <m/>
    <x v="39"/>
    <n v="1024.01"/>
    <n v="1580.97"/>
    <n v="1580.97"/>
    <n v="3.6999999999999998E-2"/>
    <n v="3.6999999999999998E-2"/>
    <x v="19"/>
    <n v="41106.800970000004"/>
    <n v="27648.27"/>
    <x v="39"/>
    <n v="0.3274039976942531"/>
  </r>
  <r>
    <x v="40"/>
    <d v="2024-01-11T00:00:00"/>
    <s v="Jan-2024"/>
    <s v="Q1-2024"/>
    <m/>
    <d v="2024-02-02T00:00:00"/>
    <d v="2024-01-11T00:00:00"/>
    <n v="22"/>
    <s v="Africa"/>
    <s v="South Africa"/>
    <s v="Durban"/>
    <m/>
    <s v="Consumer"/>
    <s v="Online"/>
    <x v="10"/>
    <x v="1"/>
    <m/>
    <x v="40"/>
    <n v="1206.2"/>
    <n v="1759.79"/>
    <n v="1759.79"/>
    <n v="0"/>
    <n v="0"/>
    <x v="7"/>
    <n v="10558.74"/>
    <n v="7237.2000000000007"/>
    <x v="40"/>
    <n v="0.31457730751964713"/>
  </r>
  <r>
    <x v="41"/>
    <d v="2024-10-25T00:00:00"/>
    <s v="Oct-2024"/>
    <s v="Q4-2024"/>
    <m/>
    <d v="2024-11-14T00:00:00"/>
    <d v="2024-10-25T00:00:00"/>
    <n v="20"/>
    <s v="Africa"/>
    <s v="Kenya"/>
    <s v="Mombasa"/>
    <m/>
    <s v="Corporate"/>
    <s v="Direct"/>
    <x v="9"/>
    <x v="0"/>
    <m/>
    <x v="41"/>
    <n v="1396.48"/>
    <n v="3204.5"/>
    <n v="3204.5"/>
    <n v="0.318"/>
    <n v="0.318"/>
    <x v="16"/>
    <n v="30596.565999999999"/>
    <n v="19550.72"/>
    <x v="41"/>
    <n v="0.36101587348070363"/>
  </r>
  <r>
    <x v="42"/>
    <d v="2025-05-29T00:00:00"/>
    <s v="May-2025"/>
    <s v="Q2-2025"/>
    <m/>
    <d v="2025-06-20T00:00:00"/>
    <d v="2025-05-29T00:00:00"/>
    <n v="22"/>
    <s v="Europe"/>
    <s v="Germany"/>
    <s v="Berlin"/>
    <m/>
    <s v="Corporate"/>
    <s v="Direct"/>
    <x v="7"/>
    <x v="0"/>
    <m/>
    <x v="42"/>
    <n v="483.47"/>
    <n v="1135.43"/>
    <n v="1135.43"/>
    <n v="0.14599999999999999"/>
    <n v="0.14599999999999999"/>
    <x v="21"/>
    <n v="10666.229420000001"/>
    <n v="5318.17"/>
    <x v="42"/>
    <n v="0.50140112399719983"/>
  </r>
  <r>
    <x v="43"/>
    <d v="2024-05-20T00:00:00"/>
    <s v="May-2024"/>
    <s v="Q2-2024"/>
    <m/>
    <d v="2024-06-02T00:00:00"/>
    <d v="2024-05-20T00:00:00"/>
    <n v="13"/>
    <s v="Americas"/>
    <s v="Canada"/>
    <s v="Vancouver"/>
    <m/>
    <s v="Enterprise"/>
    <s v="Marketplace"/>
    <x v="10"/>
    <x v="5"/>
    <m/>
    <x v="43"/>
    <n v="675.43"/>
    <n v="996.36"/>
    <n v="996.36"/>
    <n v="0.182"/>
    <n v="0.182"/>
    <x v="2"/>
    <n v="17930.494560000003"/>
    <n v="14859.46"/>
    <x v="43"/>
    <n v="0.17127439233332575"/>
  </r>
  <r>
    <x v="44"/>
    <d v="2023-04-19T00:00:00"/>
    <s v="Apr-2023"/>
    <s v="Q2-2023"/>
    <m/>
    <d v="2023-04-30T00:00:00"/>
    <d v="2023-04-19T00:00:00"/>
    <n v="11"/>
    <s v="Asia"/>
    <s v="India"/>
    <s v="Delhi"/>
    <m/>
    <s v="Small Business"/>
    <s v="Retail"/>
    <x v="7"/>
    <x v="1"/>
    <m/>
    <x v="44"/>
    <n v="826.55"/>
    <n v="1397.05"/>
    <n v="1397.05"/>
    <n v="0.16900000000000001"/>
    <n v="0.16900000000000001"/>
    <x v="12"/>
    <n v="32506.559399999998"/>
    <n v="23143.399999999998"/>
    <x v="44"/>
    <n v="0.28803907804527601"/>
  </r>
  <r>
    <x v="45"/>
    <d v="2023-06-23T00:00:00"/>
    <s v="Jun-2023"/>
    <s v="Q2-2023"/>
    <m/>
    <d v="2023-07-03T00:00:00"/>
    <d v="2023-06-23T00:00:00"/>
    <n v="10"/>
    <s v="Africa"/>
    <s v="Nigeria"/>
    <s v="Abuja"/>
    <m/>
    <s v="Consumer"/>
    <s v="Online"/>
    <x v="0"/>
    <x v="0"/>
    <m/>
    <x v="45"/>
    <n v="337.75"/>
    <n v="548.89"/>
    <n v="548.89"/>
    <n v="0"/>
    <n v="0"/>
    <x v="20"/>
    <n v="7135.57"/>
    <n v="4390.75"/>
    <x v="45"/>
    <n v="0.38466723751571352"/>
  </r>
  <r>
    <x v="46"/>
    <d v="2024-05-14T00:00:00"/>
    <s v="May-2024"/>
    <s v="Q2-2024"/>
    <m/>
    <d v="2024-05-28T00:00:00"/>
    <d v="2024-05-14T00:00:00"/>
    <n v="14"/>
    <s v="Europe"/>
    <s v="United Kingdom"/>
    <s v="Birmingham"/>
    <m/>
    <s v="Consumer"/>
    <s v="Retail"/>
    <x v="4"/>
    <x v="1"/>
    <m/>
    <x v="46"/>
    <n v="1421.14"/>
    <n v="3524"/>
    <n v="3524"/>
    <n v="0"/>
    <n v="0"/>
    <x v="0"/>
    <n v="109244"/>
    <n v="44055.340000000004"/>
    <x v="46"/>
    <n v="0.59672531214528945"/>
  </r>
  <r>
    <x v="47"/>
    <d v="2024-10-14T00:00:00"/>
    <s v="Oct-2024"/>
    <s v="Q4-2024"/>
    <m/>
    <d v="2024-11-08T00:00:00"/>
    <d v="2024-10-14T00:00:00"/>
    <n v="25"/>
    <s v="Africa"/>
    <s v="Nigeria"/>
    <s v="Lagos"/>
    <m/>
    <s v="Enterprise"/>
    <s v="Online"/>
    <x v="6"/>
    <x v="1"/>
    <m/>
    <x v="47"/>
    <n v="859.35"/>
    <n v="1825.61"/>
    <n v="1825.61"/>
    <n v="0.187"/>
    <n v="0.187"/>
    <x v="22"/>
    <n v="35621.302319999995"/>
    <n v="20624.400000000001"/>
    <x v="47"/>
    <n v="0.42100937762681989"/>
  </r>
  <r>
    <x v="48"/>
    <d v="2023-07-10T00:00:00"/>
    <s v="Jul-2023"/>
    <s v="Q3-2023"/>
    <m/>
    <d v="2023-08-01T00:00:00"/>
    <d v="2023-07-10T00:00:00"/>
    <n v="22"/>
    <s v="Europe"/>
    <s v="France"/>
    <s v="Marseille"/>
    <m/>
    <s v="Consumer"/>
    <s v="Marketplace"/>
    <x v="4"/>
    <x v="0"/>
    <m/>
    <x v="48"/>
    <n v="1303.56"/>
    <n v="1791.37"/>
    <n v="1791.37"/>
    <n v="0.126"/>
    <n v="0.126"/>
    <x v="2"/>
    <n v="34444.462359999998"/>
    <n v="28678.32"/>
    <x v="48"/>
    <n v="0.16740404596055358"/>
  </r>
  <r>
    <x v="49"/>
    <d v="2024-11-06T00:00:00"/>
    <s v="Nov-2024"/>
    <s v="Q4-2024"/>
    <m/>
    <d v="2024-11-22T00:00:00"/>
    <d v="2024-11-06T00:00:00"/>
    <n v="16"/>
    <s v="Americas"/>
    <s v="Canada"/>
    <s v="Toronto"/>
    <m/>
    <s v="Non-Profit"/>
    <s v="Distributor"/>
    <x v="14"/>
    <x v="6"/>
    <m/>
    <x v="49"/>
    <n v="1454.11"/>
    <n v="2629.75"/>
    <n v="2629.75"/>
    <n v="0.29199999999999998"/>
    <n v="0.29199999999999998"/>
    <x v="15"/>
    <n v="14894.903999999999"/>
    <n v="11632.88"/>
    <x v="49"/>
    <n v="0.21900268709351867"/>
  </r>
  <r>
    <x v="50"/>
    <d v="2024-10-17T00:00:00"/>
    <s v="Oct-2024"/>
    <s v="Q4-2024"/>
    <m/>
    <d v="2024-11-06T00:00:00"/>
    <d v="2024-10-17T00:00:00"/>
    <n v="20"/>
    <s v="Asia"/>
    <s v="India"/>
    <s v="Bengaluru"/>
    <m/>
    <s v="Enterprise"/>
    <s v="Distributor"/>
    <x v="6"/>
    <x v="4"/>
    <m/>
    <x v="50"/>
    <n v="72.94"/>
    <n v="106.3"/>
    <n v="106.3"/>
    <n v="0.29499999999999998"/>
    <n v="0.29499999999999998"/>
    <x v="15"/>
    <n v="599.53200000000004"/>
    <n v="583.52"/>
    <x v="50"/>
    <n v="2.6707498515508857E-2"/>
  </r>
  <r>
    <x v="51"/>
    <d v="2023-03-31T00:00:00"/>
    <s v="Mar-2023"/>
    <s v="Q1-2023"/>
    <m/>
    <d v="2023-04-05T00:00:00"/>
    <d v="2023-03-31T00:00:00"/>
    <n v="5"/>
    <s v="Africa"/>
    <s v="Kenya"/>
    <s v="Nakuru"/>
    <m/>
    <s v="Education"/>
    <s v="Marketplace"/>
    <x v="4"/>
    <x v="3"/>
    <m/>
    <x v="51"/>
    <n v="533.26"/>
    <n v="385.72"/>
    <n v="385.72"/>
    <n v="0"/>
    <n v="0"/>
    <x v="3"/>
    <n v="5785.8"/>
    <n v="7998.9"/>
    <x v="51"/>
    <n v="-0.38250544436378708"/>
  </r>
  <r>
    <x v="52"/>
    <d v="2025-01-21T00:00:00"/>
    <s v="Jan-2025"/>
    <s v="Q1-2025"/>
    <m/>
    <d v="2025-02-16T00:00:00"/>
    <d v="2025-01-21T00:00:00"/>
    <n v="26"/>
    <s v="Europe"/>
    <s v="France"/>
    <s v="Lyon"/>
    <m/>
    <s v="Corporate"/>
    <s v="Distributor"/>
    <x v="6"/>
    <x v="3"/>
    <m/>
    <x v="52"/>
    <n v="204.11"/>
    <n v="236.87"/>
    <n v="236.87"/>
    <n v="0.182"/>
    <n v="0.182"/>
    <x v="20"/>
    <n v="2518.8755800000004"/>
    <n v="2653.4300000000003"/>
    <x v="52"/>
    <n v="-5.3418446337075494E-2"/>
  </r>
  <r>
    <x v="53"/>
    <d v="2023-08-30T00:00:00"/>
    <s v="Aug-2023"/>
    <s v="Q3-2023"/>
    <m/>
    <d v="2023-09-01T00:00:00"/>
    <d v="2023-08-30T00:00:00"/>
    <n v="2"/>
    <s v="Europe"/>
    <s v="Germany"/>
    <s v="Munich"/>
    <m/>
    <s v="Corporate"/>
    <s v="Direct"/>
    <x v="13"/>
    <x v="1"/>
    <m/>
    <x v="53"/>
    <n v="44.42"/>
    <n v="41.9"/>
    <n v="41.9"/>
    <n v="0.14399999999999999"/>
    <n v="0.14399999999999999"/>
    <x v="7"/>
    <n v="215.19839999999996"/>
    <n v="266.52"/>
    <x v="53"/>
    <n v="-0.23848504449847224"/>
  </r>
  <r>
    <x v="54"/>
    <d v="2025-04-06T00:00:00"/>
    <s v="Apr-2025"/>
    <s v="Q2-2025"/>
    <m/>
    <d v="2025-04-30T00:00:00"/>
    <d v="2025-04-06T00:00:00"/>
    <n v="24"/>
    <s v="Americas"/>
    <s v="Brazil"/>
    <s v="Brasília"/>
    <m/>
    <s v="Education"/>
    <s v="Online"/>
    <x v="10"/>
    <x v="4"/>
    <m/>
    <x v="54"/>
    <n v="855.78"/>
    <n v="977.38"/>
    <n v="977.38"/>
    <n v="0.14699999999999999"/>
    <n v="0.14699999999999999"/>
    <x v="23"/>
    <n v="31680.795320000001"/>
    <n v="32519.64"/>
    <x v="54"/>
    <n v="-2.6478018355506307E-2"/>
  </r>
  <r>
    <x v="55"/>
    <d v="2025-02-09T00:00:00"/>
    <s v="Feb-2025"/>
    <s v="Q1-2025"/>
    <m/>
    <d v="2025-03-01T00:00:00"/>
    <d v="2025-02-09T00:00:00"/>
    <n v="20"/>
    <s v="Americas"/>
    <s v="Brazil"/>
    <s v="São Paulo"/>
    <m/>
    <s v="Corporate"/>
    <s v="Distributor"/>
    <x v="4"/>
    <x v="3"/>
    <m/>
    <x v="55"/>
    <n v="1154.6400000000001"/>
    <n v="2794.13"/>
    <n v="2794.13"/>
    <n v="3.5000000000000003E-2"/>
    <n v="3.5000000000000003E-2"/>
    <x v="21"/>
    <n v="29659.68995"/>
    <n v="12701.04"/>
    <x v="55"/>
    <n v="0.57177435025749479"/>
  </r>
  <r>
    <x v="56"/>
    <d v="2024-12-17T00:00:00"/>
    <s v="Dec-2024"/>
    <s v="Q4-2024"/>
    <m/>
    <d v="2024-12-18T00:00:00"/>
    <d v="2024-12-17T00:00:00"/>
    <n v="1"/>
    <s v="Europe"/>
    <s v="Germany"/>
    <s v="Munich"/>
    <m/>
    <s v="Education"/>
    <s v="Retail"/>
    <x v="3"/>
    <x v="6"/>
    <m/>
    <x v="56"/>
    <n v="346.82"/>
    <n v="701.95"/>
    <n v="701.95"/>
    <n v="0.14699999999999999"/>
    <n v="0.14699999999999999"/>
    <x v="15"/>
    <n v="4790.1068000000005"/>
    <n v="2774.56"/>
    <x v="56"/>
    <n v="0.42077283120284509"/>
  </r>
  <r>
    <x v="57"/>
    <d v="2025-06-09T00:00:00"/>
    <s v="Jun-2025"/>
    <s v="Q2-2025"/>
    <m/>
    <d v="2025-06-18T00:00:00"/>
    <d v="2025-06-09T00:00:00"/>
    <n v="9"/>
    <s v="Europe"/>
    <s v="France"/>
    <s v="Marseille"/>
    <m/>
    <s v="Small Business"/>
    <s v="Marketplace"/>
    <x v="9"/>
    <x v="6"/>
    <m/>
    <x v="57"/>
    <n v="1225.5"/>
    <n v="-5.27"/>
    <s v="1193.87"/>
    <n v="7.4999999999999997E-2"/>
    <n v="7.4999999999999997E-2"/>
    <x v="24"/>
    <n v="61842.466000000008"/>
    <n v="68628"/>
    <x v="57"/>
    <n v="-0.10972288847601891"/>
  </r>
  <r>
    <x v="58"/>
    <d v="2025-05-02T00:00:00"/>
    <s v="May-2025"/>
    <s v="Q2-2025"/>
    <m/>
    <d v="2025-05-13T00:00:00"/>
    <d v="2025-05-02T00:00:00"/>
    <n v="11"/>
    <s v="Africa"/>
    <s v="Kenya"/>
    <s v="Nakuru"/>
    <m/>
    <s v="Small Business"/>
    <s v="Online"/>
    <x v="7"/>
    <x v="6"/>
    <m/>
    <x v="58"/>
    <n v="1057.5999999999999"/>
    <n v="1437.06"/>
    <n v="1437.06"/>
    <n v="0.20499999999999999"/>
    <n v="0.20499999999999999"/>
    <x v="5"/>
    <n v="4569.8508000000002"/>
    <n v="4230.3999999999996"/>
    <x v="58"/>
    <n v="7.4280499485891424E-2"/>
  </r>
  <r>
    <x v="59"/>
    <d v="2024-03-10T00:00:00"/>
    <s v="Mar-2024"/>
    <s v="Q1-2024"/>
    <m/>
    <d v="2024-04-09T00:00:00"/>
    <d v="2024-03-10T00:00:00"/>
    <n v="30"/>
    <s v="Europe"/>
    <s v="France"/>
    <s v="Lyon"/>
    <m/>
    <s v="Corporate"/>
    <s v="Direct"/>
    <x v="1"/>
    <x v="5"/>
    <m/>
    <x v="59"/>
    <n v="1176.56"/>
    <n v="1911.89"/>
    <n v="1911.89"/>
    <n v="0.11899999999999999"/>
    <n v="0.11899999999999999"/>
    <x v="9"/>
    <n v="33687.501800000005"/>
    <n v="23531.199999999997"/>
    <x v="59"/>
    <n v="0.30148575160892477"/>
  </r>
  <r>
    <x v="60"/>
    <d v="2025-09-10T00:00:00"/>
    <s v="Sep-2025"/>
    <s v="Q3-2025"/>
    <m/>
    <d v="2025-09-12T00:00:00"/>
    <d v="2025-09-10T00:00:00"/>
    <n v="2"/>
    <s v="Asia"/>
    <s v="Japan"/>
    <s v="Tokyo"/>
    <m/>
    <s v="Consumer"/>
    <s v="Online"/>
    <x v="6"/>
    <x v="5"/>
    <m/>
    <x v="60"/>
    <n v="1470.15"/>
    <n v="2593.7800000000002"/>
    <n v="2593.7800000000002"/>
    <n v="0.11"/>
    <n v="0.11"/>
    <x v="1"/>
    <n v="27701.570400000001"/>
    <n v="17641.800000000003"/>
    <x v="60"/>
    <n v="0.36314801849645306"/>
  </r>
  <r>
    <x v="61"/>
    <d v="2025-04-27T00:00:00"/>
    <s v="Apr-2025"/>
    <s v="Q2-2025"/>
    <m/>
    <d v="2025-05-25T00:00:00"/>
    <d v="2025-04-27T00:00:00"/>
    <n v="28"/>
    <s v="Europe"/>
    <s v="France"/>
    <s v="Paris"/>
    <m/>
    <s v="Small Business"/>
    <s v="Marketplace"/>
    <x v="1"/>
    <x v="2"/>
    <m/>
    <x v="61"/>
    <n v="603.45000000000005"/>
    <n v="1244.08"/>
    <n v="1244.08"/>
    <n v="0.2"/>
    <n v="0.2"/>
    <x v="21"/>
    <n v="10947.904"/>
    <n v="6637.9500000000007"/>
    <x v="61"/>
    <n v="0.39367846119220623"/>
  </r>
  <r>
    <x v="62"/>
    <d v="2024-11-02T00:00:00"/>
    <s v="Nov-2024"/>
    <s v="Q4-2024"/>
    <m/>
    <d v="2024-11-18T00:00:00"/>
    <d v="2024-11-02T00:00:00"/>
    <n v="16"/>
    <s v="Asia"/>
    <s v="India"/>
    <s v="Mumbai"/>
    <m/>
    <s v="Small Business"/>
    <s v="Distributor"/>
    <x v="6"/>
    <x v="4"/>
    <m/>
    <x v="62"/>
    <n v="1233.58"/>
    <n v="1912.51"/>
    <n v="1912.51"/>
    <n v="0.255"/>
    <n v="0.255"/>
    <x v="25"/>
    <n v="72665.817450000002"/>
    <n v="62912.579999999994"/>
    <x v="62"/>
    <n v="0.134220432553601"/>
  </r>
  <r>
    <x v="63"/>
    <d v="2023-02-15T00:00:00"/>
    <s v="Feb-2023"/>
    <s v="Q1-2023"/>
    <m/>
    <d v="2023-02-26T00:00:00"/>
    <d v="2023-02-15T00:00:00"/>
    <n v="11"/>
    <s v="Africa"/>
    <s v="South Africa"/>
    <s v="Johannesburg"/>
    <m/>
    <s v="Non-Profit"/>
    <s v="Retail"/>
    <x v="10"/>
    <x v="3"/>
    <m/>
    <x v="63"/>
    <n v="498.5"/>
    <n v="755.87"/>
    <n v="755.87"/>
    <n v="0.13"/>
    <n v="0.13"/>
    <x v="26"/>
    <n v="26304.275999999998"/>
    <n v="19940"/>
    <x v="63"/>
    <n v="0.24194834330357537"/>
  </r>
  <r>
    <x v="64"/>
    <d v="2023-12-03T00:00:00"/>
    <s v="Dec-2023"/>
    <s v="Q4-2023"/>
    <m/>
    <d v="2023-12-26T00:00:00"/>
    <d v="2023-12-03T00:00:00"/>
    <n v="23"/>
    <s v="Americas"/>
    <s v="Brazil"/>
    <s v="Rio de Janeiro"/>
    <m/>
    <s v="Education"/>
    <s v="Retail"/>
    <x v="6"/>
    <x v="2"/>
    <m/>
    <x v="64"/>
    <n v="1303.1099999999999"/>
    <n v="1145.67"/>
    <n v="1145.67"/>
    <n v="0.184"/>
    <n v="0.184"/>
    <x v="20"/>
    <n v="12153.267360000002"/>
    <n v="16940.43"/>
    <x v="64"/>
    <n v="-0.39389922875851208"/>
  </r>
  <r>
    <x v="65"/>
    <d v="2023-03-19T00:00:00"/>
    <s v="Mar-2023"/>
    <s v="Q1-2023"/>
    <m/>
    <d v="2023-04-09T00:00:00"/>
    <d v="2023-03-19T00:00:00"/>
    <n v="21"/>
    <s v="Europe"/>
    <s v="United Kingdom"/>
    <s v="Manchester"/>
    <m/>
    <s v="Consumer"/>
    <s v="Retail"/>
    <x v="3"/>
    <x v="6"/>
    <m/>
    <x v="65"/>
    <n v="1082.17"/>
    <n v="1234.0999999999999"/>
    <n v="1234.0999999999999"/>
    <n v="0.189"/>
    <n v="0.189"/>
    <x v="13"/>
    <n v="16013.681599999998"/>
    <n v="17314.72"/>
    <x v="65"/>
    <n v="-8.124542703534228E-2"/>
  </r>
  <r>
    <x v="66"/>
    <d v="2024-05-22T00:00:00"/>
    <s v="May-2024"/>
    <s v="Q2-2024"/>
    <m/>
    <d v="2024-06-06T00:00:00"/>
    <d v="2024-05-22T00:00:00"/>
    <n v="15"/>
    <s v="Asia"/>
    <s v="Japan"/>
    <s v="Nagoya"/>
    <m/>
    <s v="Corporate"/>
    <s v="Distributor"/>
    <x v="11"/>
    <x v="4"/>
    <m/>
    <x v="66"/>
    <n v="673.88"/>
    <n v="1228.01"/>
    <n v="1228.01"/>
    <n v="0.105"/>
    <n v="0.105"/>
    <x v="20"/>
    <n v="14287.896349999999"/>
    <n v="8760.44"/>
    <x v="66"/>
    <n v="0.38686285332689996"/>
  </r>
  <r>
    <x v="67"/>
    <d v="2023-08-19T00:00:00"/>
    <s v="Aug-2023"/>
    <s v="Q3-2023"/>
    <m/>
    <d v="2023-09-07T00:00:00"/>
    <d v="2023-08-19T00:00:00"/>
    <n v="19"/>
    <s v="Africa"/>
    <s v="South Africa"/>
    <s v="Johannesburg"/>
    <m/>
    <s v="Enterprise"/>
    <s v="Retail"/>
    <x v="14"/>
    <x v="4"/>
    <m/>
    <x v="67"/>
    <n v="494.61"/>
    <n v="605.23"/>
    <n v="605.23"/>
    <n v="0.20399999999999999"/>
    <n v="0.20399999999999999"/>
    <x v="6"/>
    <n v="8671.7354400000004"/>
    <n v="8902.98"/>
    <x v="67"/>
    <n v="-2.6666468505639647E-2"/>
  </r>
  <r>
    <x v="68"/>
    <d v="2023-04-21T00:00:00"/>
    <s v="Apr-2023"/>
    <s v="Q2-2023"/>
    <m/>
    <d v="2023-05-10T00:00:00"/>
    <d v="2023-04-21T00:00:00"/>
    <n v="19"/>
    <s v="Asia"/>
    <s v="China"/>
    <s v="Shanghai"/>
    <m/>
    <s v="Corporate"/>
    <s v="Retail"/>
    <x v="7"/>
    <x v="5"/>
    <m/>
    <x v="68"/>
    <n v="882.33"/>
    <n v="1880.15"/>
    <n v="1880.15"/>
    <n v="0.05"/>
    <n v="0.05"/>
    <x v="27"/>
    <n v="8930.7124999999996"/>
    <n v="4411.6500000000005"/>
    <x v="68"/>
    <n v="0.50601365792482955"/>
  </r>
  <r>
    <x v="69"/>
    <d v="2024-03-18T00:00:00"/>
    <s v="Mar-2024"/>
    <s v="Q1-2024"/>
    <m/>
    <d v="2024-03-21T00:00:00"/>
    <d v="2024-03-18T00:00:00"/>
    <n v="3"/>
    <s v="Europe"/>
    <s v="Germany"/>
    <s v="Munich"/>
    <m/>
    <s v="Small Business"/>
    <s v="Online"/>
    <x v="12"/>
    <x v="6"/>
    <m/>
    <x v="69"/>
    <n v="910.63"/>
    <n v="1269.4000000000001"/>
    <n v="1269.4000000000001"/>
    <n v="6.8000000000000005E-2"/>
    <n v="6.8000000000000005E-2"/>
    <x v="11"/>
    <n v="10647.727199999999"/>
    <n v="8195.67"/>
    <x v="69"/>
    <n v="0.23028925834989455"/>
  </r>
  <r>
    <x v="70"/>
    <d v="2025-04-09T00:00:00"/>
    <s v="Apr-2025"/>
    <s v="Q2-2025"/>
    <m/>
    <d v="2025-05-06T00:00:00"/>
    <d v="2025-04-09T00:00:00"/>
    <n v="27"/>
    <s v="Americas"/>
    <s v="Brazil"/>
    <s v="Brasília"/>
    <m/>
    <s v="Enterprise"/>
    <s v="Marketplace"/>
    <x v="8"/>
    <x v="3"/>
    <m/>
    <x v="70"/>
    <n v="264.19"/>
    <n v="620.92999999999995"/>
    <n v="620.92999999999995"/>
    <n v="0.14199999999999999"/>
    <n v="0.14199999999999999"/>
    <x v="1"/>
    <n v="6393.0952799999995"/>
    <n v="3170.2799999999997"/>
    <x v="70"/>
    <n v="0.50410875152794532"/>
  </r>
  <r>
    <x v="71"/>
    <d v="2024-04-12T00:00:00"/>
    <s v="Apr-2024"/>
    <s v="Q2-2024"/>
    <m/>
    <d v="2024-05-07T00:00:00"/>
    <d v="2024-04-12T00:00:00"/>
    <n v="25"/>
    <s v="Africa"/>
    <s v="South Africa"/>
    <s v="Johannesburg"/>
    <m/>
    <s v="Education"/>
    <s v="Distributor"/>
    <x v="7"/>
    <x v="3"/>
    <m/>
    <x v="71"/>
    <n v="1376.51"/>
    <n v="1455.91"/>
    <n v="1455.91"/>
    <n v="0.185"/>
    <n v="0.185"/>
    <x v="17"/>
    <n v="20171.63305"/>
    <n v="23400.67"/>
    <x v="71"/>
    <n v="-0.1600781127634085"/>
  </r>
  <r>
    <x v="72"/>
    <d v="2024-12-15T00:00:00"/>
    <s v="Dec-2024"/>
    <s v="Q4-2024"/>
    <m/>
    <d v="2024-12-20T00:00:00"/>
    <d v="2024-12-15T00:00:00"/>
    <n v="5"/>
    <s v="Asia"/>
    <s v="China"/>
    <s v="Shenzhen"/>
    <m/>
    <s v="Small Business"/>
    <s v="Direct"/>
    <x v="0"/>
    <x v="1"/>
    <m/>
    <x v="72"/>
    <n v="717.55"/>
    <n v="546.42999999999995"/>
    <n v="546.42999999999995"/>
    <n v="4.7E-2"/>
    <n v="4.7E-2"/>
    <x v="6"/>
    <n v="9373.460219999999"/>
    <n v="12915.9"/>
    <x v="72"/>
    <n v="-0.37792231437026369"/>
  </r>
  <r>
    <x v="73"/>
    <d v="2023-05-20T00:00:00"/>
    <s v="May-2023"/>
    <s v="Q2-2023"/>
    <m/>
    <d v="2023-05-18T00:00:00"/>
    <d v="2023-05-27T00:00:00"/>
    <n v="-9"/>
    <s v="Africa"/>
    <s v="South Africa"/>
    <s v="Durban"/>
    <m/>
    <s v="Corporate"/>
    <s v="Distributor"/>
    <x v="7"/>
    <x v="5"/>
    <m/>
    <x v="73"/>
    <n v="917.88"/>
    <n v="1347.92"/>
    <n v="1347.92"/>
    <n v="0.34300000000000003"/>
    <n v="0.34300000000000003"/>
    <x v="27"/>
    <n v="4427.9172000000008"/>
    <n v="4589.3999999999996"/>
    <x v="73"/>
    <n v="-3.6469245630880096E-2"/>
  </r>
  <r>
    <x v="74"/>
    <d v="2023-09-18T00:00:00"/>
    <s v="Sep-2023"/>
    <s v="Q3-2023"/>
    <m/>
    <d v="2023-10-08T00:00:00"/>
    <d v="2023-09-18T00:00:00"/>
    <n v="20"/>
    <s v="Asia"/>
    <s v="India"/>
    <s v="Delhi"/>
    <m/>
    <s v="Small Business"/>
    <s v="Direct"/>
    <x v="4"/>
    <x v="5"/>
    <m/>
    <x v="74"/>
    <n v="825.64"/>
    <n v="1108.43"/>
    <n v="1108.43"/>
    <n v="0.114"/>
    <n v="0.114"/>
    <x v="4"/>
    <n v="6874.4828600000001"/>
    <n v="5779.48"/>
    <x v="74"/>
    <n v="0.15928512475773349"/>
  </r>
  <r>
    <x v="75"/>
    <d v="2024-08-28T00:00:00"/>
    <s v="Aug-2024"/>
    <s v="Q3-2024"/>
    <m/>
    <d v="2024-09-25T00:00:00"/>
    <d v="2024-08-28T00:00:00"/>
    <n v="28"/>
    <s v="Americas"/>
    <s v="Brazil"/>
    <s v="Rio de Janeiro"/>
    <m/>
    <s v="Non-Profit"/>
    <s v="Online"/>
    <x v="15"/>
    <x v="6"/>
    <m/>
    <x v="75"/>
    <n v="1394.65"/>
    <n v="3144.1"/>
    <n v="3144.1"/>
    <n v="0.13400000000000001"/>
    <n v="0.13400000000000001"/>
    <x v="20"/>
    <n v="35396.277799999996"/>
    <n v="18130.45"/>
    <x v="75"/>
    <n v="0.4877865378263021"/>
  </r>
  <r>
    <x v="76"/>
    <d v="2024-06-30T00:00:00"/>
    <s v="Jun-2024"/>
    <s v="Q2-2024"/>
    <m/>
    <d v="2024-06-28T00:00:00"/>
    <d v="2024-07-07T00:00:00"/>
    <n v="-9"/>
    <s v="Americas"/>
    <s v="Brazil"/>
    <s v="Rio de Janeiro"/>
    <m/>
    <s v="Small Business"/>
    <s v="Direct"/>
    <x v="3"/>
    <x v="6"/>
    <m/>
    <x v="76"/>
    <n v="1112.98"/>
    <n v="2095.73"/>
    <n v="2095.73"/>
    <n v="7.1999999999999995E-2"/>
    <n v="7.1999999999999995E-2"/>
    <x v="17"/>
    <n v="33062.236480000007"/>
    <n v="18920.66"/>
    <x v="76"/>
    <n v="0.42772594916724777"/>
  </r>
  <r>
    <x v="77"/>
    <d v="2023-06-14T00:00:00"/>
    <s v="Jun-2023"/>
    <s v="Q2-2023"/>
    <m/>
    <d v="2023-06-16T00:00:00"/>
    <d v="2023-06-14T00:00:00"/>
    <n v="2"/>
    <s v="Europe"/>
    <s v="United Kingdom"/>
    <s v="Manchester"/>
    <m/>
    <s v="Non-Profit"/>
    <s v="Direct"/>
    <x v="10"/>
    <x v="5"/>
    <m/>
    <x v="77"/>
    <n v="357.36"/>
    <n v="703.62"/>
    <n v="703.62"/>
    <n v="0.25700000000000001"/>
    <n v="0.25700000000000001"/>
    <x v="9"/>
    <n v="10455.7932"/>
    <n v="7147.2000000000007"/>
    <x v="77"/>
    <n v="0.31643636563125593"/>
  </r>
  <r>
    <x v="78"/>
    <d v="2024-11-21T00:00:00"/>
    <s v="Nov-2024"/>
    <s v="Q4-2024"/>
    <m/>
    <d v="2024-12-21T00:00:00"/>
    <d v="2024-11-21T00:00:00"/>
    <n v="30"/>
    <s v="Europe"/>
    <s v="France"/>
    <s v="Marseille"/>
    <m/>
    <s v="Small Business"/>
    <s v="Direct"/>
    <x v="1"/>
    <x v="4"/>
    <m/>
    <x v="78"/>
    <n v="1122.68"/>
    <n v="1997.19"/>
    <n v="1997.19"/>
    <n v="0.186"/>
    <n v="0.186"/>
    <x v="28"/>
    <n v="4877.1379800000004"/>
    <n v="3368.04"/>
    <x v="78"/>
    <n v="0.30942285951073306"/>
  </r>
  <r>
    <x v="79"/>
    <d v="2023-02-08T00:00:00"/>
    <s v="Feb-2023"/>
    <s v="Q1-2023"/>
    <m/>
    <d v="2023-02-11T00:00:00"/>
    <d v="2023-02-08T00:00:00"/>
    <n v="3"/>
    <s v="Africa"/>
    <s v="South Africa"/>
    <s v="Cape Town"/>
    <m/>
    <s v="Corporate"/>
    <s v="Direct"/>
    <x v="12"/>
    <x v="1"/>
    <m/>
    <x v="79"/>
    <n v="1410.05"/>
    <n v="2763.95"/>
    <n v="2763.95"/>
    <n v="0.161"/>
    <n v="0.161"/>
    <x v="29"/>
    <n v="60292.805299999993"/>
    <n v="36661.299999999996"/>
    <x v="79"/>
    <n v="0.39194569206750779"/>
  </r>
  <r>
    <x v="80"/>
    <d v="2023-08-19T00:00:00"/>
    <s v="Aug-2023"/>
    <s v="Q3-2023"/>
    <m/>
    <d v="2023-09-12T00:00:00"/>
    <d v="2023-08-19T00:00:00"/>
    <n v="24"/>
    <s v="Americas"/>
    <s v="Canada"/>
    <s v="Vancouver"/>
    <m/>
    <s v="Enterprise"/>
    <s v="Retail"/>
    <x v="1"/>
    <x v="0"/>
    <m/>
    <x v="80"/>
    <n v="1183.95"/>
    <n v="1503.53"/>
    <n v="1503.53"/>
    <n v="0.24099999999999999"/>
    <n v="0.24099999999999999"/>
    <x v="13"/>
    <n v="18258.868320000001"/>
    <n v="18943.2"/>
    <x v="80"/>
    <n v="-3.7479413729623705E-2"/>
  </r>
  <r>
    <x v="81"/>
    <d v="2025-05-14T00:00:00"/>
    <s v="May-2025"/>
    <s v="Q2-2025"/>
    <m/>
    <d v="2025-05-24T00:00:00"/>
    <d v="2025-05-14T00:00:00"/>
    <n v="10"/>
    <s v="Europe"/>
    <s v="France"/>
    <s v="Paris"/>
    <m/>
    <s v="Small Business"/>
    <s v="Marketplace"/>
    <x v="10"/>
    <x v="5"/>
    <m/>
    <x v="81"/>
    <n v="170.39"/>
    <n v="388.04"/>
    <n v="388.04"/>
    <n v="8.4000000000000005E-2"/>
    <n v="8.4000000000000005E-2"/>
    <x v="3"/>
    <n v="5331.6696000000002"/>
    <n v="2555.85"/>
    <x v="81"/>
    <n v="0.52062858508711796"/>
  </r>
  <r>
    <x v="82"/>
    <d v="2025-04-23T00:00:00"/>
    <s v="Apr-2025"/>
    <s v="Q2-2025"/>
    <m/>
    <d v="2025-04-22T00:00:00"/>
    <d v="2025-04-30T00:00:00"/>
    <n v="-8"/>
    <s v="Americas"/>
    <s v="USA"/>
    <s v="San Francisco"/>
    <m/>
    <s v="Non-Profit"/>
    <s v="Distributor"/>
    <x v="14"/>
    <x v="4"/>
    <m/>
    <x v="82"/>
    <n v="23.24"/>
    <n v="44.57"/>
    <n v="44.57"/>
    <n v="0.215"/>
    <n v="0.215"/>
    <x v="3"/>
    <n v="524.81174999999996"/>
    <n v="348.59999999999997"/>
    <x v="82"/>
    <n v="0.33576182316802167"/>
  </r>
  <r>
    <x v="83"/>
    <d v="2025-03-25T00:00:00"/>
    <s v="Mar-2025"/>
    <s v="Q1-2025"/>
    <m/>
    <d v="2025-04-17T00:00:00"/>
    <d v="2025-03-25T00:00:00"/>
    <n v="23"/>
    <s v="Europe"/>
    <s v="United Kingdom"/>
    <s v="London"/>
    <m/>
    <s v="Consumer"/>
    <s v="Retail"/>
    <x v="9"/>
    <x v="1"/>
    <m/>
    <x v="83"/>
    <n v="1421.19"/>
    <n v="1808.26"/>
    <n v="1808.26"/>
    <n v="0.104"/>
    <n v="0.104"/>
    <x v="20"/>
    <n v="21062.61248"/>
    <n v="18475.47"/>
    <x v="83"/>
    <n v="0.12283103449093123"/>
  </r>
  <r>
    <x v="84"/>
    <d v="2023-12-22T00:00:00"/>
    <s v="Dec-2023"/>
    <s v="Q4-2023"/>
    <m/>
    <d v="2023-12-23T00:00:00"/>
    <d v="2023-12-22T00:00:00"/>
    <n v="1"/>
    <s v="Africa"/>
    <s v="South Africa"/>
    <s v="Cape Town"/>
    <m/>
    <s v="Non-Profit"/>
    <s v="Marketplace"/>
    <x v="14"/>
    <x v="5"/>
    <m/>
    <x v="84"/>
    <n v="1186.18"/>
    <n v="1285.0899999999999"/>
    <n v="1285.0899999999999"/>
    <n v="7.0000000000000007E-2"/>
    <n v="7.0000000000000007E-2"/>
    <x v="21"/>
    <n v="13146.470699999998"/>
    <n v="13047.980000000001"/>
    <x v="84"/>
    <n v="7.4917977796121861E-3"/>
  </r>
  <r>
    <x v="85"/>
    <d v="2024-04-06T00:00:00"/>
    <s v="Apr-2024"/>
    <s v="Q2-2024"/>
    <m/>
    <d v="2024-04-25T00:00:00"/>
    <d v="2024-04-06T00:00:00"/>
    <n v="19"/>
    <s v="Asia"/>
    <s v="China"/>
    <s v="Shanghai"/>
    <m/>
    <s v="Corporate"/>
    <s v="Retail"/>
    <x v="10"/>
    <x v="5"/>
    <m/>
    <x v="85"/>
    <n v="1366.48"/>
    <n v="1678.14"/>
    <n v="1678.14"/>
    <n v="0.154"/>
    <n v="0.154"/>
    <x v="10"/>
    <n v="14197.064400000001"/>
    <n v="13664.8"/>
    <x v="85"/>
    <n v="3.7491159087790132E-2"/>
  </r>
  <r>
    <x v="86"/>
    <d v="2025-08-07T00:00:00"/>
    <s v="Aug-2025"/>
    <s v="Q3-2025"/>
    <m/>
    <d v="2025-08-19T00:00:00"/>
    <d v="2025-08-07T00:00:00"/>
    <n v="12"/>
    <s v="Africa"/>
    <s v="Kenya"/>
    <s v="Nakuru"/>
    <m/>
    <s v="Corporate"/>
    <s v="NOT ASSIGNED"/>
    <x v="12"/>
    <x v="5"/>
    <m/>
    <x v="86"/>
    <n v="601.51"/>
    <n v="679.35"/>
    <n v="679.35"/>
    <n v="0.188"/>
    <n v="0.188"/>
    <x v="28"/>
    <n v="1654.8966000000003"/>
    <n v="1804.53"/>
    <x v="86"/>
    <n v="-9.0418579626062243E-2"/>
  </r>
  <r>
    <x v="87"/>
    <d v="2024-01-21T00:00:00"/>
    <s v="Jan-2024"/>
    <s v="Q1-2024"/>
    <m/>
    <d v="2024-01-25T00:00:00"/>
    <d v="2024-01-21T00:00:00"/>
    <n v="4"/>
    <s v="Asia"/>
    <s v="India"/>
    <s v="Delhi"/>
    <m/>
    <s v="Consumer"/>
    <s v="Direct"/>
    <x v="11"/>
    <x v="4"/>
    <m/>
    <x v="87"/>
    <n v="523.70000000000005"/>
    <n v="1109.92"/>
    <n v="1109.92"/>
    <n v="0.03"/>
    <n v="0.03"/>
    <x v="21"/>
    <n v="11842.8464"/>
    <n v="5760.7000000000007"/>
    <x v="87"/>
    <n v="0.51357133197302973"/>
  </r>
  <r>
    <x v="88"/>
    <d v="2023-06-29T00:00:00"/>
    <s v="Jun-2023"/>
    <s v="Q2-2023"/>
    <m/>
    <d v="2023-07-02T00:00:00"/>
    <d v="2023-06-29T00:00:00"/>
    <n v="3"/>
    <s v="Asia"/>
    <s v="Japan"/>
    <s v="Nagoya"/>
    <m/>
    <s v="Education"/>
    <s v="Marketplace"/>
    <x v="8"/>
    <x v="4"/>
    <m/>
    <x v="88"/>
    <n v="55.65"/>
    <n v="83.57"/>
    <n v="83.57"/>
    <n v="6.6000000000000003E-2"/>
    <n v="6.6000000000000003E-2"/>
    <x v="15"/>
    <n v="624.43503999999996"/>
    <n v="445.2"/>
    <x v="88"/>
    <n v="0.2870355257449998"/>
  </r>
  <r>
    <x v="89"/>
    <d v="2025-04-28T00:00:00"/>
    <s v="Apr-2025"/>
    <s v="Q2-2025"/>
    <m/>
    <d v="2025-05-15T00:00:00"/>
    <d v="2025-04-28T00:00:00"/>
    <n v="17"/>
    <s v="Asia"/>
    <s v="Japan"/>
    <s v="Nagoya"/>
    <m/>
    <s v="Education"/>
    <s v="Direct"/>
    <x v="13"/>
    <x v="1"/>
    <m/>
    <x v="89"/>
    <n v="691.19"/>
    <n v="1284.3"/>
    <n v="1284.3"/>
    <n v="7.3999999999999996E-2"/>
    <n v="7.3999999999999996E-2"/>
    <x v="4"/>
    <n v="8324.8326000000015"/>
    <n v="4838.33"/>
    <x v="89"/>
    <n v="0.41880753253825198"/>
  </r>
  <r>
    <x v="90"/>
    <d v="2025-06-09T00:00:00"/>
    <s v="Jun-2025"/>
    <s v="Q2-2025"/>
    <m/>
    <d v="2025-06-25T00:00:00"/>
    <d v="2025-06-09T00:00:00"/>
    <n v="16"/>
    <s v="Asia"/>
    <s v="India"/>
    <s v="Hyderabad"/>
    <m/>
    <s v="Enterprise"/>
    <s v="Distributor"/>
    <x v="12"/>
    <x v="2"/>
    <m/>
    <x v="90"/>
    <n v="527.33000000000004"/>
    <n v="911.72"/>
    <n v="911.72"/>
    <n v="0.14399999999999999"/>
    <n v="0.14399999999999999"/>
    <x v="30"/>
    <n v="19510.808000000001"/>
    <n v="13183.250000000002"/>
    <x v="90"/>
    <n v="0.32431040272652978"/>
  </r>
  <r>
    <x v="91"/>
    <d v="2023-06-24T00:00:00"/>
    <s v="Jun-2023"/>
    <s v="Q2-2023"/>
    <m/>
    <d v="2023-06-23T00:00:00"/>
    <d v="2023-07-01T00:00:00"/>
    <n v="-8"/>
    <s v="Americas"/>
    <s v="Brazil"/>
    <s v="Rio de Janeiro"/>
    <m/>
    <s v="Non-Profit"/>
    <s v="Retail"/>
    <x v="5"/>
    <x v="0"/>
    <m/>
    <x v="91"/>
    <n v="804.01"/>
    <n v="1405.07"/>
    <n v="1405.07"/>
    <n v="9.6000000000000002E-2"/>
    <n v="9.6000000000000002E-2"/>
    <x v="15"/>
    <n v="10161.46624"/>
    <n v="6432.08"/>
    <x v="91"/>
    <n v="0.36701260939287439"/>
  </r>
  <r>
    <x v="92"/>
    <d v="2024-10-04T00:00:00"/>
    <s v="Oct-2024"/>
    <s v="Q4-2024"/>
    <m/>
    <d v="2024-11-02T00:00:00"/>
    <d v="2024-10-04T00:00:00"/>
    <n v="29"/>
    <s v="Africa"/>
    <s v="Nigeria"/>
    <s v="Abuja"/>
    <m/>
    <s v="Corporate"/>
    <s v="Distributor"/>
    <x v="8"/>
    <x v="6"/>
    <m/>
    <x v="92"/>
    <n v="412.09"/>
    <n v="968.94"/>
    <n v="968.94"/>
    <n v="9.9000000000000005E-2"/>
    <n v="9.9000000000000005E-2"/>
    <x v="8"/>
    <n v="20079.343620000003"/>
    <n v="9478.07"/>
    <x v="92"/>
    <n v="0.52796913189137418"/>
  </r>
  <r>
    <x v="93"/>
    <d v="2025-09-10T00:00:00"/>
    <s v="Sep-2025"/>
    <s v="Q3-2025"/>
    <m/>
    <d v="2025-09-30T00:00:00"/>
    <d v="2025-09-10T00:00:00"/>
    <n v="20"/>
    <s v="Africa"/>
    <s v="Kenya"/>
    <s v="Mombasa"/>
    <m/>
    <s v="Corporate"/>
    <s v="Direct"/>
    <x v="3"/>
    <x v="2"/>
    <m/>
    <x v="93"/>
    <n v="1009.48"/>
    <n v="1088.81"/>
    <n v="1088.81"/>
    <n v="0.16"/>
    <n v="0.16"/>
    <x v="7"/>
    <n v="5487.6023999999998"/>
    <n v="6056.88"/>
    <x v="93"/>
    <n v="-0.10373885688219693"/>
  </r>
  <r>
    <x v="94"/>
    <d v="2023-04-06T00:00:00"/>
    <s v="Apr-2023"/>
    <s v="Q2-2023"/>
    <m/>
    <d v="2023-04-27T00:00:00"/>
    <d v="2023-04-06T00:00:00"/>
    <n v="21"/>
    <s v="Europe"/>
    <s v="United Kingdom"/>
    <s v="Manchester"/>
    <m/>
    <s v="Enterprise"/>
    <s v="Distributor"/>
    <x v="1"/>
    <x v="0"/>
    <m/>
    <x v="94"/>
    <n v="1084.79"/>
    <n v="2484.9899999999998"/>
    <n v="2484.9899999999998"/>
    <n v="3.4000000000000002E-2"/>
    <n v="3.4000000000000002E-2"/>
    <x v="6"/>
    <n v="43209.006119999991"/>
    <n v="19526.22"/>
    <x v="94"/>
    <n v="0.54809837685755114"/>
  </r>
  <r>
    <x v="95"/>
    <d v="2025-08-01T00:00:00"/>
    <s v="Aug-2025"/>
    <s v="Q3-2025"/>
    <m/>
    <d v="2025-08-16T00:00:00"/>
    <d v="2025-08-01T00:00:00"/>
    <n v="15"/>
    <s v="Asia"/>
    <s v="India"/>
    <s v="NOT ASSIGNED"/>
    <m/>
    <s v="Enterprise"/>
    <s v="Direct"/>
    <x v="6"/>
    <x v="4"/>
    <m/>
    <x v="95"/>
    <n v="24.44"/>
    <n v="28.69"/>
    <n v="28.69"/>
    <n v="0.14599999999999999"/>
    <n v="0.14599999999999999"/>
    <x v="7"/>
    <n v="147.00756000000001"/>
    <n v="146.64000000000001"/>
    <x v="95"/>
    <n v="2.5002795774584476E-3"/>
  </r>
  <r>
    <x v="96"/>
    <d v="2024-05-28T00:00:00"/>
    <s v="May-2024"/>
    <s v="Q2-2024"/>
    <m/>
    <d v="2024-05-26T00:00:00"/>
    <d v="2024-06-04T00:00:00"/>
    <n v="-9"/>
    <s v="Africa"/>
    <s v="Nigeria"/>
    <s v="Abuja"/>
    <m/>
    <s v="Enterprise"/>
    <s v="Online"/>
    <x v="8"/>
    <x v="6"/>
    <m/>
    <x v="96"/>
    <n v="1227.08"/>
    <n v="1896.62"/>
    <n v="1896.62"/>
    <n v="0"/>
    <n v="0"/>
    <x v="6"/>
    <n v="34139.159999999996"/>
    <n v="22087.439999999999"/>
    <x v="96"/>
    <n v="0.353017473189147"/>
  </r>
  <r>
    <x v="97"/>
    <d v="2025-07-22T00:00:00"/>
    <s v="Jul-2025"/>
    <s v="Q3-2025"/>
    <m/>
    <d v="2025-08-18T00:00:00"/>
    <d v="2025-07-22T00:00:00"/>
    <n v="27"/>
    <s v="Asia"/>
    <s v="China"/>
    <s v="Shenzhen"/>
    <m/>
    <s v="Non-Profit"/>
    <s v="Marketplace"/>
    <x v="12"/>
    <x v="1"/>
    <m/>
    <x v="97"/>
    <n v="547.32000000000005"/>
    <n v="419.17"/>
    <n v="419.17"/>
    <n v="9.1999999999999998E-2"/>
    <n v="9.1999999999999998E-2"/>
    <x v="16"/>
    <n v="5328.4890400000004"/>
    <n v="7662.4800000000005"/>
    <x v="97"/>
    <n v="-0.43802116181137907"/>
  </r>
  <r>
    <x v="98"/>
    <d v="2023-02-28T00:00:00"/>
    <s v="Feb-2023"/>
    <s v="Q1-2023"/>
    <m/>
    <d v="2023-03-20T00:00:00"/>
    <d v="2023-02-28T00:00:00"/>
    <n v="20"/>
    <s v="Europe"/>
    <s v="Germany"/>
    <s v="Berlin"/>
    <m/>
    <s v="Small Business"/>
    <s v="Direct"/>
    <x v="9"/>
    <x v="3"/>
    <m/>
    <x v="98"/>
    <n v="1200.78"/>
    <n v="2001.17"/>
    <n v="2001.17"/>
    <n v="0.29199999999999998"/>
    <n v="0.29199999999999998"/>
    <x v="6"/>
    <n v="25502.910479999999"/>
    <n v="21614.04"/>
    <x v="98"/>
    <n v="0.15248732034132906"/>
  </r>
  <r>
    <x v="99"/>
    <d v="2025-01-27T00:00:00"/>
    <s v="Jan-2025"/>
    <s v="Q1-2025"/>
    <m/>
    <d v="2025-02-15T00:00:00"/>
    <d v="2025-01-27T00:00:00"/>
    <n v="19"/>
    <s v="Asia"/>
    <s v="China"/>
    <s v="Shenzhen"/>
    <m/>
    <s v="Non-Profit"/>
    <s v="Direct"/>
    <x v="3"/>
    <x v="2"/>
    <m/>
    <x v="99"/>
    <n v="1253.22"/>
    <n v="3104.71"/>
    <n v="3104.71"/>
    <n v="0"/>
    <n v="0"/>
    <x v="17"/>
    <n v="52780.07"/>
    <n v="21304.74"/>
    <x v="99"/>
    <n v="0.59634877331538205"/>
  </r>
  <r>
    <x v="100"/>
    <d v="2024-01-13T00:00:00"/>
    <s v="Jan-2024"/>
    <s v="Q1-2024"/>
    <m/>
    <d v="2024-01-22T00:00:00"/>
    <d v="2024-01-13T00:00:00"/>
    <n v="9"/>
    <s v="Asia"/>
    <s v="India"/>
    <s v="Mumbai"/>
    <m/>
    <s v="Enterprise"/>
    <s v="Marketplace"/>
    <x v="0"/>
    <x v="5"/>
    <m/>
    <x v="100"/>
    <n v="313.60000000000002"/>
    <n v="334.28"/>
    <n v="334.28"/>
    <n v="0.14000000000000001"/>
    <n v="0.14000000000000001"/>
    <x v="2"/>
    <n v="6324.5775999999996"/>
    <n v="6899.2000000000007"/>
    <x v="100"/>
    <n v="-9.0855458868905517E-2"/>
  </r>
  <r>
    <x v="101"/>
    <d v="2025-03-31T00:00:00"/>
    <s v="Mar-2025"/>
    <s v="Q1-2025"/>
    <m/>
    <d v="2025-04-04T00:00:00"/>
    <d v="2025-03-31T00:00:00"/>
    <n v="4"/>
    <s v="Africa"/>
    <s v="Kenya"/>
    <s v="Nakuru"/>
    <m/>
    <s v="Corporate"/>
    <s v="Direct"/>
    <x v="11"/>
    <x v="3"/>
    <m/>
    <x v="101"/>
    <n v="862.08"/>
    <n v="1952.83"/>
    <n v="1952.83"/>
    <n v="0"/>
    <n v="0"/>
    <x v="4"/>
    <n v="13669.81"/>
    <n v="6034.56"/>
    <x v="101"/>
    <n v="0.5585483631447693"/>
  </r>
  <r>
    <x v="102"/>
    <d v="2024-12-05T00:00:00"/>
    <s v="Dec-2024"/>
    <s v="Q4-2024"/>
    <m/>
    <d v="2024-12-28T00:00:00"/>
    <d v="2024-12-05T00:00:00"/>
    <n v="23"/>
    <s v="Americas"/>
    <s v="Canada"/>
    <s v="Vancouver"/>
    <m/>
    <s v="Corporate"/>
    <s v="Direct"/>
    <x v="8"/>
    <x v="6"/>
    <m/>
    <x v="102"/>
    <n v="107.03"/>
    <n v="242.29"/>
    <n v="242.29"/>
    <n v="0.18"/>
    <n v="0.18"/>
    <x v="31"/>
    <n v="5960.3340000000007"/>
    <n v="3210.9"/>
    <x v="102"/>
    <n v="0.46128857879440988"/>
  </r>
  <r>
    <x v="103"/>
    <d v="2024-09-14T00:00:00"/>
    <s v="Sep-2024"/>
    <s v="Q3-2024"/>
    <m/>
    <d v="2024-10-05T00:00:00"/>
    <d v="2024-09-14T00:00:00"/>
    <n v="21"/>
    <s v="Asia"/>
    <s v="China"/>
    <s v="Shanghai"/>
    <m/>
    <s v="Small Business"/>
    <s v="Online"/>
    <x v="9"/>
    <x v="3"/>
    <m/>
    <x v="103"/>
    <n v="1405.56"/>
    <n v="2968.87"/>
    <n v="2968.87"/>
    <n v="0.16900000000000001"/>
    <n v="0.16900000000000001"/>
    <x v="27"/>
    <n v="12335.654849999999"/>
    <n v="7027.7999999999993"/>
    <x v="103"/>
    <n v="0.4302856163327235"/>
  </r>
  <r>
    <x v="104"/>
    <d v="2024-05-21T00:00:00"/>
    <s v="May-2024"/>
    <s v="Q2-2024"/>
    <m/>
    <d v="2024-05-27T00:00:00"/>
    <d v="2024-05-21T00:00:00"/>
    <n v="6"/>
    <s v="Africa"/>
    <s v="South Africa"/>
    <s v="Johannesburg"/>
    <m/>
    <s v="Non-Profit"/>
    <s v="Online"/>
    <x v="12"/>
    <x v="5"/>
    <m/>
    <x v="104"/>
    <n v="1157.51"/>
    <n v="1394.3"/>
    <n v="1394.3"/>
    <n v="0.27800000000000002"/>
    <n v="0.27800000000000002"/>
    <x v="1"/>
    <n v="12080.215199999999"/>
    <n v="13890.119999999999"/>
    <x v="104"/>
    <n v="-0.14982388724333326"/>
  </r>
  <r>
    <x v="105"/>
    <d v="2023-05-11T00:00:00"/>
    <s v="May-2023"/>
    <s v="Q2-2023"/>
    <m/>
    <d v="2023-06-07T00:00:00"/>
    <d v="2023-05-11T00:00:00"/>
    <n v="27"/>
    <s v="Africa"/>
    <s v="Kenya"/>
    <s v="Mombasa"/>
    <m/>
    <s v="Corporate"/>
    <s v="Online"/>
    <x v="0"/>
    <x v="2"/>
    <m/>
    <x v="105"/>
    <n v="12.85"/>
    <n v="15.41"/>
    <n v="15.41"/>
    <n v="0.13700000000000001"/>
    <n v="0.13700000000000001"/>
    <x v="32"/>
    <n v="518.65436999999997"/>
    <n v="501.15"/>
    <x v="105"/>
    <n v="3.3749585489851353E-2"/>
  </r>
  <r>
    <x v="106"/>
    <d v="2024-08-14T00:00:00"/>
    <s v="Aug-2024"/>
    <s v="Q3-2024"/>
    <m/>
    <d v="2024-09-04T00:00:00"/>
    <d v="2024-08-14T00:00:00"/>
    <n v="21"/>
    <s v="Europe"/>
    <s v="United Kingdom"/>
    <s v="Manchester"/>
    <m/>
    <s v="Non-Profit"/>
    <s v="Online"/>
    <x v="0"/>
    <x v="2"/>
    <m/>
    <x v="106"/>
    <n v="1138.8"/>
    <n v="2250.81"/>
    <n v="2250.81"/>
    <n v="0.123"/>
    <n v="0.123"/>
    <x v="1"/>
    <n v="23687.524440000001"/>
    <n v="13665.599999999999"/>
    <x v="106"/>
    <n v="0.42308872188756258"/>
  </r>
  <r>
    <x v="107"/>
    <d v="2024-10-16T00:00:00"/>
    <s v="Oct-2024"/>
    <s v="Q4-2024"/>
    <m/>
    <d v="2024-11-08T00:00:00"/>
    <d v="2024-10-16T00:00:00"/>
    <n v="23"/>
    <s v="Asia"/>
    <s v="Japan"/>
    <s v="Osaka"/>
    <m/>
    <s v="Small Business"/>
    <s v="Retail"/>
    <x v="0"/>
    <x v="1"/>
    <m/>
    <x v="107"/>
    <n v="82.14"/>
    <n v="166.04"/>
    <n v="166.04"/>
    <n v="0"/>
    <n v="0"/>
    <x v="10"/>
    <n v="1660.3999999999999"/>
    <n v="821.4"/>
    <x v="107"/>
    <n v="0.50529992772825827"/>
  </r>
  <r>
    <x v="108"/>
    <d v="2024-06-02T00:00:00"/>
    <s v="Jun-2024"/>
    <s v="Q2-2024"/>
    <m/>
    <d v="2024-06-08T00:00:00"/>
    <d v="2024-06-02T00:00:00"/>
    <n v="6"/>
    <s v="Africa"/>
    <s v="Kenya"/>
    <s v="Kisumu"/>
    <m/>
    <s v="Consumer"/>
    <s v="Marketplace"/>
    <x v="7"/>
    <x v="6"/>
    <m/>
    <x v="108"/>
    <n v="292.94"/>
    <n v="356.55"/>
    <n v="356.55"/>
    <n v="0.22900000000000001"/>
    <n v="0.22900000000000001"/>
    <x v="33"/>
    <n v="549.80010000000004"/>
    <n v="585.88"/>
    <x v="108"/>
    <n v="-6.5623669402751925E-2"/>
  </r>
  <r>
    <x v="109"/>
    <d v="2024-06-09T00:00:00"/>
    <s v="Jun-2024"/>
    <s v="Q2-2024"/>
    <m/>
    <d v="2024-07-07T00:00:00"/>
    <d v="2024-06-09T00:00:00"/>
    <n v="28"/>
    <s v="Asia"/>
    <s v="China"/>
    <s v="Shenzhen"/>
    <m/>
    <s v="Corporate"/>
    <s v="Online"/>
    <x v="0"/>
    <x v="5"/>
    <m/>
    <x v="109"/>
    <n v="550.22"/>
    <n v="1025.05"/>
    <n v="1025.05"/>
    <n v="0"/>
    <n v="0"/>
    <x v="19"/>
    <n v="27676.35"/>
    <n v="14855.94"/>
    <x v="109"/>
    <n v="0.46322618408858102"/>
  </r>
  <r>
    <x v="110"/>
    <d v="2024-06-10T00:00:00"/>
    <s v="Jun-2024"/>
    <s v="Q2-2024"/>
    <m/>
    <d v="2024-06-11T00:00:00"/>
    <d v="2024-06-10T00:00:00"/>
    <n v="1"/>
    <s v="Europe"/>
    <s v="United Kingdom"/>
    <s v="Birmingham"/>
    <m/>
    <s v="Small Business"/>
    <s v="Marketplace"/>
    <x v="12"/>
    <x v="3"/>
    <m/>
    <x v="110"/>
    <n v="1187.1300000000001"/>
    <n v="1795.17"/>
    <n v="1795.17"/>
    <n v="1.2E-2"/>
    <n v="1.2E-2"/>
    <x v="17"/>
    <n v="30151.675319999998"/>
    <n v="20181.210000000003"/>
    <x v="110"/>
    <n v="0.33067699271046663"/>
  </r>
  <r>
    <x v="111"/>
    <d v="2024-06-29T00:00:00"/>
    <s v="Jun-2024"/>
    <s v="Q2-2024"/>
    <m/>
    <d v="2024-07-26T00:00:00"/>
    <d v="2024-06-29T00:00:00"/>
    <n v="27"/>
    <s v="Africa"/>
    <s v="South Africa"/>
    <s v="Durban"/>
    <m/>
    <s v="Enterprise"/>
    <s v="Distributor"/>
    <x v="4"/>
    <x v="1"/>
    <m/>
    <x v="111"/>
    <n v="5.36"/>
    <n v="4.37"/>
    <n v="4.37"/>
    <n v="0.11799999999999999"/>
    <n v="0.11799999999999999"/>
    <x v="11"/>
    <n v="34.689059999999998"/>
    <n v="48.24"/>
    <x v="111"/>
    <n v="-0.39064016148030545"/>
  </r>
  <r>
    <x v="112"/>
    <d v="2025-01-17T00:00:00"/>
    <s v="Jan-2025"/>
    <s v="Q1-2025"/>
    <m/>
    <d v="2025-01-24T00:00:00"/>
    <d v="2025-01-17T00:00:00"/>
    <n v="7"/>
    <s v="Americas"/>
    <s v="USA"/>
    <s v="Austin"/>
    <m/>
    <s v="Enterprise"/>
    <s v="Online"/>
    <x v="2"/>
    <x v="6"/>
    <m/>
    <x v="112"/>
    <n v="142.09"/>
    <n v="218.5"/>
    <n v="218.5"/>
    <n v="0.11899999999999999"/>
    <n v="0.11899999999999999"/>
    <x v="21"/>
    <n v="2117.4834999999998"/>
    <n v="1562.99"/>
    <x v="112"/>
    <n v="0.26186437816398561"/>
  </r>
  <r>
    <x v="113"/>
    <d v="2023-11-20T00:00:00"/>
    <s v="Nov-2023"/>
    <s v="Q4-2023"/>
    <m/>
    <d v="2023-12-05T00:00:00"/>
    <d v="2023-11-20T00:00:00"/>
    <n v="15"/>
    <s v="Asia"/>
    <s v="Japan"/>
    <s v="Tokyo"/>
    <m/>
    <s v="Enterprise"/>
    <s v="Retail"/>
    <x v="3"/>
    <x v="1"/>
    <m/>
    <x v="113"/>
    <n v="354.24"/>
    <n v="249.87"/>
    <n v="249.87"/>
    <n v="0"/>
    <n v="0"/>
    <x v="7"/>
    <n v="1499.22"/>
    <n v="2125.44"/>
    <x v="113"/>
    <n v="-0.41769720254532355"/>
  </r>
  <r>
    <x v="114"/>
    <d v="2023-03-02T00:00:00"/>
    <s v="Mar-2023"/>
    <s v="Q1-2023"/>
    <m/>
    <d v="2023-03-05T00:00:00"/>
    <d v="2023-03-02T00:00:00"/>
    <n v="3"/>
    <s v="Americas"/>
    <s v="Brazil"/>
    <s v="Brasília"/>
    <m/>
    <s v="Enterprise"/>
    <s v="Direct"/>
    <x v="2"/>
    <x v="4"/>
    <m/>
    <x v="114"/>
    <n v="1473.58"/>
    <n v="3436.52"/>
    <n v="3436.52"/>
    <n v="0.108"/>
    <n v="0.108"/>
    <x v="15"/>
    <n v="24523.006720000001"/>
    <n v="11788.64"/>
    <x v="114"/>
    <n v="0.51928243813652564"/>
  </r>
  <r>
    <x v="115"/>
    <d v="2025-06-03T00:00:00"/>
    <s v="Jun-2025"/>
    <s v="Q2-2025"/>
    <m/>
    <d v="2025-06-10T00:00:00"/>
    <d v="2025-06-03T00:00:00"/>
    <n v="7"/>
    <s v="Americas"/>
    <s v="Canada"/>
    <s v="Toronto"/>
    <m/>
    <s v="Consumer"/>
    <s v="Distributor"/>
    <x v="6"/>
    <x v="0"/>
    <m/>
    <x v="115"/>
    <n v="75.180000000000007"/>
    <n v="53.45"/>
    <n v="53.45"/>
    <n v="0.157"/>
    <n v="0.157"/>
    <x v="17"/>
    <n v="765.99195000000009"/>
    <n v="1278.0600000000002"/>
    <x v="115"/>
    <n v="-0.66850317421743144"/>
  </r>
  <r>
    <x v="116"/>
    <d v="2024-12-27T00:00:00"/>
    <s v="Dec-2024"/>
    <s v="Q4-2024"/>
    <m/>
    <d v="2025-01-02T00:00:00"/>
    <d v="2024-12-27T00:00:00"/>
    <n v="6"/>
    <s v="Europe"/>
    <s v="Germany"/>
    <s v="Frankfurt"/>
    <m/>
    <s v="Education"/>
    <s v="Direct"/>
    <x v="8"/>
    <x v="3"/>
    <m/>
    <x v="116"/>
    <n v="1391.99"/>
    <n v="3469.7"/>
    <n v="3469.7"/>
    <n v="0.184"/>
    <n v="0.184"/>
    <x v="8"/>
    <n v="65119.329599999997"/>
    <n v="32015.77"/>
    <x v="116"/>
    <n v="0.50835227886006973"/>
  </r>
  <r>
    <x v="117"/>
    <d v="2023-06-09T00:00:00"/>
    <s v="Jun-2023"/>
    <s v="Q2-2023"/>
    <m/>
    <d v="2023-06-19T00:00:00"/>
    <d v="2023-06-09T00:00:00"/>
    <n v="10"/>
    <s v="Asia"/>
    <s v="China"/>
    <s v="Beijing"/>
    <m/>
    <s v="Enterprise"/>
    <s v="Retail"/>
    <x v="8"/>
    <x v="4"/>
    <m/>
    <x v="117"/>
    <n v="339.61"/>
    <n v="621.02"/>
    <n v="621.02"/>
    <n v="7.0999999999999994E-2"/>
    <n v="7.0999999999999994E-2"/>
    <x v="10"/>
    <n v="5769.2758000000003"/>
    <n v="3396.1000000000004"/>
    <x v="117"/>
    <n v="0.41134726129750981"/>
  </r>
  <r>
    <x v="118"/>
    <d v="2025-07-09T00:00:00"/>
    <s v="Jul-2025"/>
    <s v="Q3-2025"/>
    <m/>
    <d v="2025-07-18T00:00:00"/>
    <d v="2025-07-09T00:00:00"/>
    <n v="9"/>
    <s v="Americas"/>
    <s v="Canada"/>
    <s v="Vancouver"/>
    <m/>
    <s v="Education"/>
    <s v="Distributor"/>
    <x v="1"/>
    <x v="3"/>
    <m/>
    <x v="118"/>
    <n v="57.96"/>
    <n v="88.51"/>
    <n v="88.51"/>
    <n v="4.2999999999999997E-2"/>
    <n v="4.2999999999999997E-2"/>
    <x v="4"/>
    <n v="592.92849000000001"/>
    <n v="405.72"/>
    <x v="118"/>
    <n v="0.3157353595877978"/>
  </r>
  <r>
    <x v="119"/>
    <d v="2025-06-19T00:00:00"/>
    <s v="Jun-2025"/>
    <s v="Q2-2025"/>
    <m/>
    <d v="2025-07-12T00:00:00"/>
    <d v="2025-06-19T00:00:00"/>
    <n v="23"/>
    <s v="Europe"/>
    <s v="United Kingdom"/>
    <s v="NOT ASSIGNED"/>
    <m/>
    <s v="Non-Profit"/>
    <s v="Direct"/>
    <x v="15"/>
    <x v="1"/>
    <m/>
    <x v="119"/>
    <n v="801.24"/>
    <n v="1959.09"/>
    <n v="1959.09"/>
    <n v="0.123"/>
    <n v="0.123"/>
    <x v="8"/>
    <n v="39516.804389999998"/>
    <n v="18428.52"/>
    <x v="119"/>
    <n v="0.53365358650651762"/>
  </r>
  <r>
    <x v="120"/>
    <d v="2023-11-19T00:00:00"/>
    <s v="Nov-2023"/>
    <s v="Q4-2023"/>
    <m/>
    <d v="2023-12-13T00:00:00"/>
    <d v="2023-11-19T00:00:00"/>
    <n v="24"/>
    <s v="Europe"/>
    <s v="France"/>
    <s v="Lyon"/>
    <m/>
    <s v="Non-Profit"/>
    <s v="Direct"/>
    <x v="9"/>
    <x v="4"/>
    <m/>
    <x v="120"/>
    <n v="1297.42"/>
    <n v="2742.97"/>
    <n v="2742.97"/>
    <n v="6.9000000000000006E-2"/>
    <n v="6.9000000000000006E-2"/>
    <x v="11"/>
    <n v="22983.34563"/>
    <n v="11676.78"/>
    <x v="120"/>
    <n v="0.49194602961727291"/>
  </r>
  <r>
    <x v="121"/>
    <d v="2023-12-29T00:00:00"/>
    <s v="Dec-2023"/>
    <s v="Q4-2023"/>
    <m/>
    <d v="2024-01-20T00:00:00"/>
    <d v="2023-12-29T00:00:00"/>
    <n v="22"/>
    <s v="Africa"/>
    <s v="Kenya"/>
    <s v="Kisumu"/>
    <m/>
    <s v="Corporate"/>
    <s v="Direct"/>
    <x v="3"/>
    <x v="2"/>
    <m/>
    <x v="121"/>
    <n v="1395.49"/>
    <n v="1679.42"/>
    <n v="1679.42"/>
    <n v="0.20300000000000001"/>
    <n v="0.20300000000000001"/>
    <x v="1"/>
    <n v="16061.972879999999"/>
    <n v="16745.88"/>
    <x v="121"/>
    <n v="-4.2579272490964493E-2"/>
  </r>
  <r>
    <x v="122"/>
    <d v="2024-11-02T00:00:00"/>
    <s v="Nov-2024"/>
    <s v="Q4-2024"/>
    <m/>
    <d v="2024-11-29T00:00:00"/>
    <d v="2024-11-02T00:00:00"/>
    <n v="27"/>
    <s v="Americas"/>
    <s v="Brazil"/>
    <s v="Brasília"/>
    <m/>
    <s v="Small Business"/>
    <s v="Direct"/>
    <x v="1"/>
    <x v="1"/>
    <m/>
    <x v="122"/>
    <n v="1363.51"/>
    <n v="1433.9"/>
    <n v="1433.9"/>
    <n v="5.7000000000000002E-2"/>
    <n v="5.7000000000000002E-2"/>
    <x v="15"/>
    <n v="10817.3416"/>
    <n v="10908.08"/>
    <x v="122"/>
    <n v="-8.3882346842037592E-3"/>
  </r>
  <r>
    <x v="123"/>
    <d v="2023-08-21T00:00:00"/>
    <s v="Aug-2023"/>
    <s v="Q3-2023"/>
    <m/>
    <d v="2023-09-04T00:00:00"/>
    <d v="2023-08-21T00:00:00"/>
    <n v="14"/>
    <s v="Americas"/>
    <s v="Canada"/>
    <s v="Montreal"/>
    <m/>
    <s v="Education"/>
    <s v="Distributor"/>
    <x v="8"/>
    <x v="5"/>
    <m/>
    <x v="123"/>
    <n v="178.19"/>
    <n v="284.43"/>
    <n v="284.43"/>
    <n v="8.8999999999999996E-2"/>
    <n v="8.8999999999999996E-2"/>
    <x v="15"/>
    <n v="2072.9258400000003"/>
    <n v="1425.52"/>
    <x v="123"/>
    <n v="0.31231500302972742"/>
  </r>
  <r>
    <x v="124"/>
    <d v="2023-08-12T00:00:00"/>
    <s v="Aug-2023"/>
    <s v="Q3-2023"/>
    <m/>
    <d v="2023-09-06T00:00:00"/>
    <d v="2023-08-12T00:00:00"/>
    <n v="25"/>
    <s v="Asia"/>
    <s v="China"/>
    <s v="Shanghai"/>
    <m/>
    <s v="Small Business"/>
    <s v="Retail"/>
    <x v="4"/>
    <x v="5"/>
    <m/>
    <x v="124"/>
    <n v="950.77"/>
    <n v="694.78"/>
    <n v="694.78"/>
    <n v="8.4000000000000005E-2"/>
    <n v="8.4000000000000005E-2"/>
    <x v="16"/>
    <n v="8909.8587200000002"/>
    <n v="13310.779999999999"/>
    <x v="124"/>
    <n v="-0.49393839097821279"/>
  </r>
  <r>
    <x v="125"/>
    <d v="2024-06-07T00:00:00"/>
    <s v="Jun-2024"/>
    <s v="Q2-2024"/>
    <m/>
    <d v="2024-06-26T00:00:00"/>
    <d v="2024-06-07T00:00:00"/>
    <n v="19"/>
    <s v="Europe"/>
    <s v="Germany"/>
    <s v="Berlin"/>
    <m/>
    <s v="Non-Profit"/>
    <s v="Marketplace"/>
    <x v="12"/>
    <x v="5"/>
    <m/>
    <x v="125"/>
    <n v="1064.32"/>
    <n v="1848.39"/>
    <n v="1848.39"/>
    <n v="7.2999999999999995E-2"/>
    <n v="7.2999999999999995E-2"/>
    <x v="23"/>
    <n v="65111.38614000001"/>
    <n v="40444.159999999996"/>
    <x v="125"/>
    <n v="0.3788465827921631"/>
  </r>
  <r>
    <x v="126"/>
    <d v="2025-08-05T00:00:00"/>
    <s v="Aug-2025"/>
    <s v="Q3-2025"/>
    <m/>
    <d v="2025-08-14T00:00:00"/>
    <d v="2025-08-05T00:00:00"/>
    <n v="9"/>
    <s v="Europe"/>
    <s v="United Kingdom"/>
    <s v="London"/>
    <m/>
    <s v="Non-Profit"/>
    <s v="Direct"/>
    <x v="5"/>
    <x v="5"/>
    <m/>
    <x v="126"/>
    <n v="41.76"/>
    <n v="45.19"/>
    <n v="45.19"/>
    <n v="0.17899999999999999"/>
    <n v="0.17899999999999999"/>
    <x v="8"/>
    <n v="853.32276999999988"/>
    <n v="960.4799999999999"/>
    <x v="126"/>
    <n v="-0.12557643340514638"/>
  </r>
  <r>
    <x v="127"/>
    <d v="2024-05-30T00:00:00"/>
    <s v="May-2024"/>
    <s v="Q2-2024"/>
    <m/>
    <d v="2024-06-13T00:00:00"/>
    <d v="2024-05-30T00:00:00"/>
    <n v="14"/>
    <s v="Americas"/>
    <s v="USA"/>
    <s v="San Francisco"/>
    <m/>
    <s v="Small Business"/>
    <s v="Retail"/>
    <x v="8"/>
    <x v="2"/>
    <m/>
    <x v="127"/>
    <n v="157.78"/>
    <n v="361.1"/>
    <n v="361.1"/>
    <n v="0.187"/>
    <n v="0.187"/>
    <x v="11"/>
    <n v="2642.1686999999997"/>
    <n v="1420.02"/>
    <x v="127"/>
    <n v="0.46255513510549112"/>
  </r>
  <r>
    <x v="128"/>
    <d v="2023-01-22T00:00:00"/>
    <s v="Jan-2023"/>
    <s v="Q1-2023"/>
    <m/>
    <d v="2023-01-30T00:00:00"/>
    <d v="2023-01-22T00:00:00"/>
    <n v="8"/>
    <s v="Americas"/>
    <s v="USA"/>
    <s v="San Francisco"/>
    <m/>
    <s v="Small Business"/>
    <s v="Online"/>
    <x v="7"/>
    <x v="1"/>
    <m/>
    <x v="128"/>
    <n v="413.52"/>
    <n v="1004.34"/>
    <n v="1004.34"/>
    <n v="0.111"/>
    <n v="0.111"/>
    <x v="6"/>
    <n v="16071.44868"/>
    <n v="7443.36"/>
    <x v="128"/>
    <n v="0.53685817948304593"/>
  </r>
  <r>
    <x v="129"/>
    <d v="2025-02-12T00:00:00"/>
    <s v="Feb-2025"/>
    <s v="Q1-2025"/>
    <m/>
    <d v="2025-02-28T00:00:00"/>
    <d v="2025-02-12T00:00:00"/>
    <n v="16"/>
    <s v="Americas"/>
    <s v="Brazil"/>
    <s v="São Paulo"/>
    <m/>
    <s v="Non-Profit"/>
    <s v="Direct"/>
    <x v="4"/>
    <x v="4"/>
    <m/>
    <x v="129"/>
    <n v="414.95"/>
    <n v="1027.73"/>
    <n v="1027.73"/>
    <n v="6.3E-2"/>
    <n v="6.3E-2"/>
    <x v="15"/>
    <n v="7703.8640800000003"/>
    <n v="3319.6"/>
    <x v="129"/>
    <n v="0.56909935513815568"/>
  </r>
  <r>
    <x v="130"/>
    <d v="2025-03-03T00:00:00"/>
    <s v="Mar-2025"/>
    <s v="Q1-2025"/>
    <m/>
    <d v="2025-03-24T00:00:00"/>
    <d v="2025-03-03T00:00:00"/>
    <n v="21"/>
    <s v="Africa"/>
    <s v="Nigeria"/>
    <s v="Abuja"/>
    <m/>
    <s v="Enterprise"/>
    <s v="Direct"/>
    <x v="9"/>
    <x v="6"/>
    <m/>
    <x v="130"/>
    <n v="555.95000000000005"/>
    <n v="468.09"/>
    <n v="468.09"/>
    <n v="0.14199999999999999"/>
    <n v="0.14199999999999999"/>
    <x v="21"/>
    <n v="4417.8334199999999"/>
    <n v="6115.4500000000007"/>
    <x v="130"/>
    <n v="-0.38426450674095375"/>
  </r>
  <r>
    <x v="131"/>
    <d v="2023-01-27T00:00:00"/>
    <s v="Jan-2023"/>
    <s v="Q1-2023"/>
    <m/>
    <d v="2023-01-31T00:00:00"/>
    <d v="2023-01-27T00:00:00"/>
    <n v="4"/>
    <s v="Europe"/>
    <s v="United Kingdom"/>
    <s v="Manchester"/>
    <m/>
    <s v="Enterprise"/>
    <s v="Online"/>
    <x v="13"/>
    <x v="3"/>
    <m/>
    <x v="131"/>
    <n v="941.2"/>
    <n v="668.02"/>
    <n v="668.02"/>
    <n v="0.22"/>
    <n v="0.22"/>
    <x v="13"/>
    <n v="8336.8896000000004"/>
    <n v="15059.2"/>
    <x v="131"/>
    <n v="-0.80633314371825193"/>
  </r>
  <r>
    <x v="132"/>
    <d v="2025-01-09T00:00:00"/>
    <s v="Jan-2025"/>
    <s v="Q1-2025"/>
    <m/>
    <d v="2025-01-15T00:00:00"/>
    <d v="2025-01-09T00:00:00"/>
    <n v="6"/>
    <s v="Asia"/>
    <s v="China"/>
    <s v="Beijing"/>
    <m/>
    <s v="Education"/>
    <s v="Online"/>
    <x v="11"/>
    <x v="2"/>
    <m/>
    <x v="132"/>
    <n v="304.77999999999997"/>
    <n v="537.27"/>
    <n v="537.27"/>
    <n v="0.187"/>
    <n v="0.187"/>
    <x v="15"/>
    <n v="3494.4040799999998"/>
    <n v="2438.2399999999998"/>
    <x v="132"/>
    <n v="0.3022444044307549"/>
  </r>
  <r>
    <x v="133"/>
    <d v="2024-12-21T00:00:00"/>
    <s v="Dec-2024"/>
    <s v="Q4-2024"/>
    <m/>
    <d v="2024-12-26T00:00:00"/>
    <d v="2024-12-21T00:00:00"/>
    <n v="5"/>
    <s v="Americas"/>
    <s v="USA"/>
    <s v="San Francisco"/>
    <m/>
    <s v="Consumer"/>
    <s v="Marketplace"/>
    <x v="12"/>
    <x v="0"/>
    <m/>
    <x v="133"/>
    <n v="699.57"/>
    <n v="572.71"/>
    <n v="572.71"/>
    <n v="0.192"/>
    <n v="0.192"/>
    <x v="29"/>
    <n v="12031.491680000001"/>
    <n v="18188.82"/>
    <x v="133"/>
    <n v="-0.51176765805651114"/>
  </r>
  <r>
    <x v="134"/>
    <d v="2023-04-12T00:00:00"/>
    <s v="Apr-2023"/>
    <s v="Q2-2023"/>
    <m/>
    <d v="2023-04-17T00:00:00"/>
    <d v="2023-04-12T00:00:00"/>
    <n v="5"/>
    <s v="Europe"/>
    <s v="France"/>
    <s v="Lyon"/>
    <m/>
    <s v="Enterprise"/>
    <s v="Direct"/>
    <x v="5"/>
    <x v="4"/>
    <m/>
    <x v="134"/>
    <n v="1087.81"/>
    <n v="2323.87"/>
    <n v="2323.87"/>
    <n v="9.4E-2"/>
    <n v="9.4E-2"/>
    <x v="20"/>
    <n v="27370.540859999997"/>
    <n v="14141.529999999999"/>
    <x v="134"/>
    <n v="0.48333026839572651"/>
  </r>
  <r>
    <x v="135"/>
    <d v="2024-12-14T00:00:00"/>
    <s v="Dec-2024"/>
    <s v="Q4-2024"/>
    <m/>
    <d v="2025-01-12T00:00:00"/>
    <d v="2024-12-14T00:00:00"/>
    <n v="29"/>
    <s v="Asia"/>
    <s v="China"/>
    <s v="Shenzhen"/>
    <m/>
    <s v="Education"/>
    <s v="Online"/>
    <x v="0"/>
    <x v="5"/>
    <m/>
    <x v="135"/>
    <n v="1412.15"/>
    <n v="1631.04"/>
    <n v="1631.04"/>
    <n v="8.9999999999999993E-3"/>
    <n v="8.9999999999999993E-3"/>
    <x v="7"/>
    <n v="9698.1638399999993"/>
    <n v="8472.9000000000015"/>
    <x v="135"/>
    <n v="0.12633977526203535"/>
  </r>
  <r>
    <x v="136"/>
    <d v="2023-03-31T00:00:00"/>
    <s v="Mar-2023"/>
    <s v="Q1-2023"/>
    <m/>
    <d v="2023-04-12T00:00:00"/>
    <d v="2023-03-31T00:00:00"/>
    <n v="12"/>
    <s v="Africa"/>
    <s v="Kenya"/>
    <s v="Mombasa"/>
    <m/>
    <s v="Small Business"/>
    <s v="Online"/>
    <x v="11"/>
    <x v="2"/>
    <m/>
    <x v="136"/>
    <n v="304.22000000000003"/>
    <n v="393.31"/>
    <n v="393.31"/>
    <n v="0.26500000000000001"/>
    <n v="0.26500000000000001"/>
    <x v="3"/>
    <n v="4336.2427499999994"/>
    <n v="4563.3"/>
    <x v="136"/>
    <n v="-5.2362670424759034E-2"/>
  </r>
  <r>
    <x v="137"/>
    <d v="2024-11-20T00:00:00"/>
    <s v="Nov-2024"/>
    <s v="Q4-2024"/>
    <m/>
    <d v="2024-12-15T00:00:00"/>
    <d v="2024-11-20T00:00:00"/>
    <n v="25"/>
    <s v="Europe"/>
    <s v="France"/>
    <s v="Paris"/>
    <m/>
    <s v="Corporate"/>
    <s v="Online"/>
    <x v="2"/>
    <x v="0"/>
    <m/>
    <x v="137"/>
    <n v="1203.58"/>
    <n v="1856.16"/>
    <n v="1856.16"/>
    <n v="0.129"/>
    <n v="0.129"/>
    <x v="2"/>
    <n v="35567.737920000007"/>
    <n v="26478.76"/>
    <x v="137"/>
    <n v="0.25553994860295032"/>
  </r>
  <r>
    <x v="138"/>
    <d v="2024-02-14T00:00:00"/>
    <s v="Feb-2024"/>
    <s v="Q1-2024"/>
    <m/>
    <d v="2024-02-14T00:00:00"/>
    <d v="2024-02-14T00:00:00"/>
    <n v="0"/>
    <s v="Asia"/>
    <s v="China"/>
    <s v="Beijing"/>
    <m/>
    <s v="Corporate"/>
    <s v="Distributor"/>
    <x v="3"/>
    <x v="6"/>
    <m/>
    <x v="138"/>
    <n v="65.930000000000007"/>
    <n v="84.9"/>
    <n v="84.9"/>
    <n v="0.25900000000000001"/>
    <n v="0.25900000000000001"/>
    <x v="8"/>
    <n v="1446.9507000000001"/>
    <n v="1516.39"/>
    <x v="138"/>
    <n v="-4.7990093926489688E-2"/>
  </r>
  <r>
    <x v="139"/>
    <d v="2023-05-02T00:00:00"/>
    <s v="May-2023"/>
    <s v="Q2-2023"/>
    <m/>
    <d v="2023-05-18T00:00:00"/>
    <d v="2023-05-02T00:00:00"/>
    <n v="16"/>
    <s v="Asia"/>
    <s v="India"/>
    <s v="Delhi"/>
    <m/>
    <s v="Small Business"/>
    <s v="Marketplace"/>
    <x v="10"/>
    <x v="4"/>
    <m/>
    <x v="139"/>
    <n v="1463.92"/>
    <n v="2252.2399999999998"/>
    <n v="2252.2399999999998"/>
    <n v="0.11799999999999999"/>
    <n v="0.11799999999999999"/>
    <x v="34"/>
    <n v="87404.929919999995"/>
    <n v="64412.480000000003"/>
    <x v="139"/>
    <n v="0.26305667130040061"/>
  </r>
  <r>
    <x v="140"/>
    <d v="2024-12-23T00:00:00"/>
    <s v="Dec-2024"/>
    <s v="Q4-2024"/>
    <m/>
    <d v="2025-01-11T00:00:00"/>
    <d v="2024-12-23T00:00:00"/>
    <n v="19"/>
    <s v="Europe"/>
    <s v="Germany"/>
    <s v="Berlin"/>
    <m/>
    <s v="Education"/>
    <s v="Retail"/>
    <x v="10"/>
    <x v="2"/>
    <m/>
    <x v="140"/>
    <n v="501.81"/>
    <n v="921.62"/>
    <n v="921.62"/>
    <n v="0.01"/>
    <n v="0.01"/>
    <x v="11"/>
    <n v="8211.6342000000004"/>
    <n v="4516.29"/>
    <x v="140"/>
    <n v="0.45001325071202031"/>
  </r>
  <r>
    <x v="141"/>
    <d v="2023-07-26T00:00:00"/>
    <s v="Jul-2023"/>
    <s v="Q3-2023"/>
    <m/>
    <d v="2023-08-25T00:00:00"/>
    <d v="2023-07-26T00:00:00"/>
    <n v="30"/>
    <s v="Americas"/>
    <s v="USA"/>
    <s v="New York"/>
    <m/>
    <s v="Consumer"/>
    <s v="Retail"/>
    <x v="12"/>
    <x v="6"/>
    <m/>
    <x v="141"/>
    <n v="1261.48"/>
    <n v="1643.18"/>
    <n v="1643.18"/>
    <n v="0.151"/>
    <n v="0.151"/>
    <x v="8"/>
    <n v="32086.37586"/>
    <n v="29014.04"/>
    <x v="141"/>
    <n v="9.5752037357079045E-2"/>
  </r>
  <r>
    <x v="142"/>
    <d v="2024-06-15T00:00:00"/>
    <s v="Jun-2024"/>
    <s v="Q2-2024"/>
    <m/>
    <d v="2024-07-06T00:00:00"/>
    <d v="2024-06-15T00:00:00"/>
    <n v="21"/>
    <s v="Americas"/>
    <s v="Canada"/>
    <s v="Toronto"/>
    <m/>
    <s v="Enterprise"/>
    <s v="Distributor"/>
    <x v="3"/>
    <x v="0"/>
    <m/>
    <x v="142"/>
    <n v="817.23"/>
    <n v="1467.17"/>
    <n v="1467.17"/>
    <n v="0.245"/>
    <n v="0.245"/>
    <x v="11"/>
    <n v="9969.4201499999999"/>
    <n v="7355.07"/>
    <x v="142"/>
    <n v="0.26223693160328893"/>
  </r>
  <r>
    <x v="143"/>
    <d v="2023-07-05T00:00:00"/>
    <s v="Jul-2023"/>
    <s v="Q3-2023"/>
    <m/>
    <d v="2023-07-14T00:00:00"/>
    <d v="2023-07-05T00:00:00"/>
    <n v="9"/>
    <s v="Americas"/>
    <s v="Brazil"/>
    <s v="Brasília"/>
    <m/>
    <s v="Enterprise"/>
    <s v="Direct"/>
    <x v="4"/>
    <x v="1"/>
    <m/>
    <x v="143"/>
    <n v="578.85"/>
    <n v="998.76"/>
    <n v="998.76"/>
    <n v="8.2000000000000003E-2"/>
    <n v="8.2000000000000003E-2"/>
    <x v="12"/>
    <n v="25672.127039999999"/>
    <n v="16207.800000000001"/>
    <x v="143"/>
    <n v="0.36866158480960831"/>
  </r>
  <r>
    <x v="144"/>
    <d v="2023-11-30T00:00:00"/>
    <s v="Nov-2023"/>
    <s v="Q4-2023"/>
    <m/>
    <d v="2023-11-29T00:00:00"/>
    <d v="2023-12-07T00:00:00"/>
    <n v="-8"/>
    <s v="Africa"/>
    <s v="South Africa"/>
    <s v="Durban"/>
    <m/>
    <s v="Small Business"/>
    <s v="Marketplace"/>
    <x v="5"/>
    <x v="3"/>
    <m/>
    <x v="144"/>
    <n v="275.56"/>
    <n v="630.72"/>
    <n v="630.72"/>
    <n v="0.107"/>
    <n v="0.107"/>
    <x v="8"/>
    <n v="12954.358080000002"/>
    <n v="6337.88"/>
    <x v="144"/>
    <n v="0.5107530638831933"/>
  </r>
  <r>
    <x v="145"/>
    <d v="2025-09-11T00:00:00"/>
    <s v="Sep-2025"/>
    <s v="Q3-2025"/>
    <m/>
    <d v="2025-09-28T00:00:00"/>
    <d v="2025-09-11T00:00:00"/>
    <n v="17"/>
    <s v="Africa"/>
    <s v="Kenya"/>
    <s v="Nairobi"/>
    <m/>
    <s v="Non-Profit"/>
    <s v="Distributor"/>
    <x v="0"/>
    <x v="3"/>
    <m/>
    <x v="145"/>
    <n v="891.46"/>
    <n v="728.61"/>
    <n v="728.61"/>
    <n v="0.185"/>
    <n v="0.185"/>
    <x v="7"/>
    <n v="3562.9028999999996"/>
    <n v="5348.76"/>
    <x v="145"/>
    <n v="-0.50123653383874167"/>
  </r>
  <r>
    <x v="146"/>
    <d v="2024-04-04T00:00:00"/>
    <s v="Apr-2024"/>
    <s v="Q2-2024"/>
    <m/>
    <d v="2024-04-24T00:00:00"/>
    <d v="2024-04-04T00:00:00"/>
    <n v="20"/>
    <s v="Europe"/>
    <s v="Germany"/>
    <s v="Frankfurt"/>
    <m/>
    <s v="Non-Profit"/>
    <s v="Direct"/>
    <x v="6"/>
    <x v="6"/>
    <m/>
    <x v="146"/>
    <n v="683.42"/>
    <n v="951.51"/>
    <n v="951.51"/>
    <n v="0"/>
    <n v="0"/>
    <x v="16"/>
    <n v="13321.14"/>
    <n v="9567.8799999999992"/>
    <x v="146"/>
    <n v="0.28175216235247136"/>
  </r>
  <r>
    <x v="147"/>
    <d v="2023-09-14T00:00:00"/>
    <s v="Sep-2023"/>
    <s v="Q3-2023"/>
    <m/>
    <d v="2023-09-16T00:00:00"/>
    <d v="2023-09-14T00:00:00"/>
    <n v="2"/>
    <s v="Europe"/>
    <s v="France"/>
    <s v="Lyon"/>
    <m/>
    <s v="Non-Profit"/>
    <s v="Direct"/>
    <x v="4"/>
    <x v="0"/>
    <m/>
    <x v="147"/>
    <n v="376.83"/>
    <n v="732.88"/>
    <n v="732.88"/>
    <n v="0.188"/>
    <n v="0.188"/>
    <x v="30"/>
    <n v="14877.464000000002"/>
    <n v="9420.75"/>
    <x v="147"/>
    <n v="0.36677716040852132"/>
  </r>
  <r>
    <x v="148"/>
    <d v="2024-09-23T00:00:00"/>
    <s v="Sep-2024"/>
    <s v="Q3-2024"/>
    <m/>
    <d v="2024-10-18T00:00:00"/>
    <d v="2024-09-23T00:00:00"/>
    <n v="25"/>
    <s v="Americas"/>
    <s v="Canada"/>
    <s v="Vancouver"/>
    <m/>
    <s v="Small Business"/>
    <s v="Online"/>
    <x v="13"/>
    <x v="2"/>
    <m/>
    <x v="148"/>
    <n v="1297"/>
    <n v="2411.52"/>
    <n v="2411.52"/>
    <n v="2.1000000000000001E-2"/>
    <n v="2.1000000000000001E-2"/>
    <x v="6"/>
    <n v="42495.805439999996"/>
    <n v="23346"/>
    <x v="148"/>
    <n v="0.45062813239385913"/>
  </r>
  <r>
    <x v="149"/>
    <d v="2025-04-16T00:00:00"/>
    <s v="Apr-2025"/>
    <s v="Q2-2025"/>
    <m/>
    <d v="2025-05-16T00:00:00"/>
    <d v="2025-04-16T00:00:00"/>
    <n v="30"/>
    <s v="Americas"/>
    <s v="Canada"/>
    <s v="Montreal"/>
    <m/>
    <s v="Enterprise"/>
    <s v="Distributor"/>
    <x v="10"/>
    <x v="0"/>
    <m/>
    <x v="149"/>
    <n v="763.32"/>
    <n v="568.29"/>
    <n v="568.29"/>
    <n v="0.13100000000000001"/>
    <n v="0.13100000000000001"/>
    <x v="13"/>
    <n v="7901.5041599999995"/>
    <n v="12213.12"/>
    <x v="149"/>
    <n v="-0.54567026134426555"/>
  </r>
  <r>
    <x v="150"/>
    <d v="2023-07-03T00:00:00"/>
    <s v="Jul-2023"/>
    <s v="Q3-2023"/>
    <m/>
    <d v="2023-07-23T00:00:00"/>
    <d v="2023-07-03T00:00:00"/>
    <n v="20"/>
    <s v="Africa"/>
    <s v="South Africa"/>
    <s v="Johannesburg"/>
    <m/>
    <s v="Small Business"/>
    <s v="Distributor"/>
    <x v="8"/>
    <x v="3"/>
    <m/>
    <x v="150"/>
    <n v="1001.96"/>
    <n v="1254.95"/>
    <n v="1254.95"/>
    <n v="4.4999999999999998E-2"/>
    <n v="4.4999999999999998E-2"/>
    <x v="6"/>
    <n v="21572.590500000002"/>
    <n v="18035.28"/>
    <x v="150"/>
    <n v="0.16397244920585699"/>
  </r>
  <r>
    <x v="151"/>
    <d v="2023-12-07T00:00:00"/>
    <s v="Dec-2023"/>
    <s v="Q4-2023"/>
    <m/>
    <d v="2023-12-05T00:00:00"/>
    <d v="2023-12-14T00:00:00"/>
    <n v="-9"/>
    <s v="Asia"/>
    <s v="Japan"/>
    <s v="Tokyo"/>
    <m/>
    <s v="Non-Profit"/>
    <s v="Marketplace"/>
    <x v="9"/>
    <x v="0"/>
    <m/>
    <x v="151"/>
    <n v="1097.5899999999999"/>
    <n v="845.55"/>
    <n v="845.55"/>
    <n v="0.184"/>
    <n v="0.184"/>
    <x v="7"/>
    <n v="4139.8127999999997"/>
    <n v="6585.5399999999991"/>
    <x v="151"/>
    <n v="-0.59078207594314402"/>
  </r>
  <r>
    <x v="152"/>
    <d v="2024-02-18T00:00:00"/>
    <s v="Feb-2024"/>
    <s v="Q1-2024"/>
    <m/>
    <d v="2024-03-04T00:00:00"/>
    <d v="2024-02-18T00:00:00"/>
    <n v="15"/>
    <s v="Africa"/>
    <s v="Kenya"/>
    <s v="Kisumu"/>
    <m/>
    <s v="Education"/>
    <s v="Direct"/>
    <x v="10"/>
    <x v="0"/>
    <m/>
    <x v="152"/>
    <n v="928.68"/>
    <n v="2145.17"/>
    <n v="2145.17"/>
    <n v="0.13600000000000001"/>
    <n v="0.13600000000000001"/>
    <x v="13"/>
    <n v="29654.83008"/>
    <n v="14858.88"/>
    <x v="152"/>
    <n v="0.49893896003062177"/>
  </r>
  <r>
    <x v="153"/>
    <d v="2023-10-31T00:00:00"/>
    <s v="Oct-2023"/>
    <s v="Q4-2023"/>
    <m/>
    <d v="2023-11-02T00:00:00"/>
    <d v="2023-10-31T00:00:00"/>
    <n v="2"/>
    <s v="Africa"/>
    <s v="Kenya"/>
    <s v="Kisumu"/>
    <m/>
    <s v="Education"/>
    <s v="Retail"/>
    <x v="6"/>
    <x v="6"/>
    <m/>
    <x v="153"/>
    <n v="867.89"/>
    <n v="1349.94"/>
    <n v="1349.94"/>
    <n v="0.184"/>
    <n v="0.184"/>
    <x v="10"/>
    <n v="11015.510400000003"/>
    <n v="8678.9"/>
    <x v="153"/>
    <n v="0.21212003031652557"/>
  </r>
  <r>
    <x v="154"/>
    <d v="2024-08-07T00:00:00"/>
    <s v="Aug-2024"/>
    <s v="Q3-2024"/>
    <m/>
    <d v="2024-08-17T00:00:00"/>
    <d v="2024-08-07T00:00:00"/>
    <n v="10"/>
    <s v="Asia"/>
    <s v="Japan"/>
    <s v="Osaka"/>
    <m/>
    <s v="Consumer"/>
    <s v="Online"/>
    <x v="10"/>
    <x v="1"/>
    <m/>
    <x v="154"/>
    <n v="436.58"/>
    <n v="527.48"/>
    <n v="527.48"/>
    <n v="0.111"/>
    <n v="0.111"/>
    <x v="14"/>
    <n v="8909.6646800000017"/>
    <n v="8295.02"/>
    <x v="154"/>
    <n v="6.8986286473802644E-2"/>
  </r>
  <r>
    <x v="155"/>
    <d v="2024-02-01T00:00:00"/>
    <s v="Feb-2024"/>
    <s v="Q1-2024"/>
    <m/>
    <d v="2024-02-21T00:00:00"/>
    <d v="2024-02-01T00:00:00"/>
    <n v="20"/>
    <s v="Europe"/>
    <s v="France"/>
    <s v="Paris"/>
    <m/>
    <s v="Small Business"/>
    <s v="Marketplace"/>
    <x v="7"/>
    <x v="1"/>
    <m/>
    <x v="155"/>
    <n v="656.2"/>
    <n v="1467.17"/>
    <n v="1467.17"/>
    <n v="1.7999999999999999E-2"/>
    <n v="1.7999999999999999E-2"/>
    <x v="27"/>
    <n v="7203.8047000000006"/>
    <n v="3281"/>
    <x v="155"/>
    <n v="0.54454623124360946"/>
  </r>
  <r>
    <x v="156"/>
    <d v="2024-08-27T00:00:00"/>
    <s v="Aug-2024"/>
    <s v="Q3-2024"/>
    <m/>
    <d v="2024-09-18T00:00:00"/>
    <d v="2024-08-27T00:00:00"/>
    <n v="22"/>
    <s v="Asia"/>
    <s v="India"/>
    <s v="Delhi"/>
    <m/>
    <s v="Consumer"/>
    <s v="Direct"/>
    <x v="4"/>
    <x v="5"/>
    <m/>
    <x v="156"/>
    <n v="896.75"/>
    <n v="1651.14"/>
    <n v="1651.14"/>
    <n v="2.5000000000000001E-2"/>
    <n v="2.5000000000000001E-2"/>
    <x v="3"/>
    <n v="24147.922500000001"/>
    <n v="13451.25"/>
    <x v="156"/>
    <n v="0.44296450346815552"/>
  </r>
  <r>
    <x v="157"/>
    <d v="2025-02-15T00:00:00"/>
    <s v="Feb-2025"/>
    <s v="Q1-2025"/>
    <m/>
    <d v="2025-02-15T00:00:00"/>
    <d v="2025-02-15T00:00:00"/>
    <n v="0"/>
    <s v="Europe"/>
    <s v="Germany"/>
    <s v="Frankfurt"/>
    <m/>
    <s v="Small Business"/>
    <s v="Marketplace"/>
    <x v="3"/>
    <x v="6"/>
    <m/>
    <x v="157"/>
    <n v="815.83"/>
    <n v="1982.18"/>
    <n v="1982.18"/>
    <n v="0.127"/>
    <n v="0.127"/>
    <x v="7"/>
    <n v="10382.65884"/>
    <n v="4894.9800000000005"/>
    <x v="157"/>
    <n v="0.52854272923408507"/>
  </r>
  <r>
    <x v="158"/>
    <d v="2025-08-01T00:00:00"/>
    <s v="Aug-2025"/>
    <s v="Q3-2025"/>
    <m/>
    <d v="2025-08-21T00:00:00"/>
    <d v="2025-08-01T00:00:00"/>
    <n v="20"/>
    <s v="Asia"/>
    <s v="China"/>
    <s v="Shanghai"/>
    <m/>
    <s v="Corporate"/>
    <s v="Direct"/>
    <x v="1"/>
    <x v="2"/>
    <m/>
    <x v="158"/>
    <n v="1220.4100000000001"/>
    <n v="2552.2199999999998"/>
    <n v="2552.2199999999998"/>
    <n v="0.18099999999999999"/>
    <n v="0.18099999999999999"/>
    <x v="16"/>
    <n v="29263.754519999995"/>
    <n v="17085.740000000002"/>
    <x v="158"/>
    <n v="0.41614668793360271"/>
  </r>
  <r>
    <x v="159"/>
    <d v="2023-02-20T00:00:00"/>
    <s v="Feb-2023"/>
    <s v="Q1-2023"/>
    <m/>
    <d v="2023-03-04T00:00:00"/>
    <d v="2023-02-20T00:00:00"/>
    <n v="12"/>
    <s v="Asia"/>
    <s v="India"/>
    <s v="Delhi"/>
    <m/>
    <s v="Consumer"/>
    <s v="Distributor"/>
    <x v="12"/>
    <x v="4"/>
    <m/>
    <x v="159"/>
    <n v="299.75"/>
    <n v="523.01"/>
    <n v="523.01"/>
    <n v="0.157"/>
    <n v="0.157"/>
    <x v="35"/>
    <n v="22044.871499999997"/>
    <n v="14987.5"/>
    <x v="159"/>
    <n v="0.32013665854210122"/>
  </r>
  <r>
    <x v="160"/>
    <d v="2024-10-30T00:00:00"/>
    <s v="Oct-2024"/>
    <s v="Q4-2024"/>
    <m/>
    <d v="2024-11-24T00:00:00"/>
    <d v="2024-10-30T00:00:00"/>
    <n v="25"/>
    <s v="Asia"/>
    <s v="China"/>
    <s v="Shenzhen"/>
    <m/>
    <s v="Small Business"/>
    <s v="Online"/>
    <x v="5"/>
    <x v="5"/>
    <m/>
    <x v="160"/>
    <n v="811.05"/>
    <n v="1217.71"/>
    <n v="1217.71"/>
    <n v="7.1999999999999995E-2"/>
    <n v="7.1999999999999995E-2"/>
    <x v="27"/>
    <n v="5650.1744000000008"/>
    <n v="4055.25"/>
    <x v="160"/>
    <n v="0.28227879125288602"/>
  </r>
  <r>
    <x v="161"/>
    <d v="2024-04-03T00:00:00"/>
    <s v="Apr-2024"/>
    <s v="Q2-2024"/>
    <m/>
    <d v="2024-04-07T00:00:00"/>
    <d v="2024-04-03T00:00:00"/>
    <n v="4"/>
    <s v="Americas"/>
    <s v="Brazil"/>
    <s v="Brasília"/>
    <m/>
    <s v="Non-Profit"/>
    <s v="Direct"/>
    <x v="13"/>
    <x v="2"/>
    <m/>
    <x v="161"/>
    <n v="1023.27"/>
    <n v="1343.64"/>
    <n v="1343.64"/>
    <n v="0.13300000000000001"/>
    <n v="0.13300000000000001"/>
    <x v="4"/>
    <n v="8154.5511600000009"/>
    <n v="7162.8899999999994"/>
    <x v="161"/>
    <n v="0.12160830688810116"/>
  </r>
  <r>
    <x v="162"/>
    <d v="2023-03-25T00:00:00"/>
    <s v="Mar-2023"/>
    <s v="Q1-2023"/>
    <m/>
    <d v="2023-03-26T00:00:00"/>
    <d v="2023-03-25T00:00:00"/>
    <n v="1"/>
    <s v="Asia"/>
    <s v="Japan"/>
    <s v="Osaka"/>
    <m/>
    <s v="Small Business"/>
    <s v="Distributor"/>
    <x v="1"/>
    <x v="4"/>
    <m/>
    <x v="162"/>
    <n v="135.12"/>
    <n v="301.7"/>
    <n v="301.7"/>
    <n v="0.14000000000000001"/>
    <n v="0.14000000000000001"/>
    <x v="36"/>
    <n v="12194.714"/>
    <n v="6350.64"/>
    <x v="162"/>
    <n v="0.47923009920527859"/>
  </r>
  <r>
    <x v="163"/>
    <d v="2024-06-04T00:00:00"/>
    <s v="Jun-2024"/>
    <s v="Q2-2024"/>
    <m/>
    <d v="2024-06-16T00:00:00"/>
    <d v="2024-06-04T00:00:00"/>
    <n v="12"/>
    <s v="Asia"/>
    <s v="China"/>
    <s v="Shanghai"/>
    <m/>
    <s v="Corporate"/>
    <s v="Retail"/>
    <x v="0"/>
    <x v="0"/>
    <m/>
    <x v="163"/>
    <n v="918.42"/>
    <n v="1511.71"/>
    <n v="1511.71"/>
    <n v="0.02"/>
    <n v="0.02"/>
    <x v="15"/>
    <n v="11851.806399999999"/>
    <n v="7347.36"/>
    <x v="163"/>
    <n v="0.38006412254590999"/>
  </r>
  <r>
    <x v="164"/>
    <d v="2023-02-19T00:00:00"/>
    <s v="Feb-2023"/>
    <s v="Q1-2023"/>
    <m/>
    <d v="2023-03-12T00:00:00"/>
    <d v="2023-02-19T00:00:00"/>
    <n v="21"/>
    <s v="Europe"/>
    <s v="Germany"/>
    <s v="Berlin"/>
    <m/>
    <s v="Small Business"/>
    <s v="Direct"/>
    <x v="3"/>
    <x v="4"/>
    <m/>
    <x v="164"/>
    <n v="1234.81"/>
    <n v="2055.2399999999998"/>
    <n v="2055.2399999999998"/>
    <n v="5.2999999999999999E-2"/>
    <n v="5.2999999999999999E-2"/>
    <x v="34"/>
    <n v="85637.740319999997"/>
    <n v="54331.64"/>
    <x v="164"/>
    <n v="0.36556429680441616"/>
  </r>
  <r>
    <x v="165"/>
    <d v="2023-04-18T00:00:00"/>
    <s v="Apr-2023"/>
    <s v="Q2-2023"/>
    <m/>
    <d v="2023-05-18T00:00:00"/>
    <d v="2023-04-18T00:00:00"/>
    <n v="30"/>
    <s v="Asia"/>
    <s v="China"/>
    <s v="Shenzhen"/>
    <m/>
    <s v="Non-Profit"/>
    <s v="Retail"/>
    <x v="9"/>
    <x v="3"/>
    <m/>
    <x v="165"/>
    <n v="329.03"/>
    <n v="391.15"/>
    <n v="391.15"/>
    <n v="0.19700000000000001"/>
    <n v="0.19700000000000001"/>
    <x v="37"/>
    <n v="14448.298699999998"/>
    <n v="15135.38"/>
    <x v="165"/>
    <n v="-4.7554477815440081E-2"/>
  </r>
  <r>
    <x v="166"/>
    <d v="2024-05-23T00:00:00"/>
    <s v="May-2024"/>
    <s v="Q2-2024"/>
    <m/>
    <d v="2024-06-14T00:00:00"/>
    <d v="2024-05-23T00:00:00"/>
    <n v="22"/>
    <s v="Europe"/>
    <s v="France"/>
    <s v="Marseille"/>
    <m/>
    <s v="Small Business"/>
    <s v="Online"/>
    <x v="13"/>
    <x v="4"/>
    <m/>
    <x v="166"/>
    <n v="1481.74"/>
    <n v="1848.97"/>
    <n v="1848.97"/>
    <n v="0.254"/>
    <n v="0.254"/>
    <x v="11"/>
    <n v="12413.98458"/>
    <n v="13335.66"/>
    <x v="166"/>
    <n v="-7.4244930309072407E-2"/>
  </r>
  <r>
    <x v="167"/>
    <d v="2023-10-07T00:00:00"/>
    <s v="Oct-2023"/>
    <s v="Q4-2023"/>
    <m/>
    <d v="2023-10-23T00:00:00"/>
    <d v="2023-10-07T00:00:00"/>
    <n v="16"/>
    <s v="Asia"/>
    <s v="India"/>
    <s v="Hyderabad"/>
    <m/>
    <s v="Consumer"/>
    <s v="Retail"/>
    <x v="2"/>
    <x v="4"/>
    <m/>
    <x v="167"/>
    <n v="906.81"/>
    <n v="1395.56"/>
    <n v="1395.56"/>
    <n v="0.185"/>
    <n v="0.185"/>
    <x v="7"/>
    <n v="6824.2884000000004"/>
    <n v="5440.86"/>
    <x v="167"/>
    <n v="0.20272126834498974"/>
  </r>
  <r>
    <x v="168"/>
    <d v="2024-10-09T00:00:00"/>
    <s v="Oct-2024"/>
    <s v="Q4-2024"/>
    <m/>
    <d v="2024-11-08T00:00:00"/>
    <d v="2024-10-09T00:00:00"/>
    <n v="30"/>
    <s v="Europe"/>
    <s v="United Kingdom"/>
    <s v="Manchester"/>
    <m/>
    <s v="Small Business"/>
    <s v="Distributor"/>
    <x v="0"/>
    <x v="5"/>
    <m/>
    <x v="168"/>
    <n v="343.85"/>
    <n v="538.04"/>
    <n v="538.04"/>
    <n v="0.13900000000000001"/>
    <n v="0.13900000000000001"/>
    <x v="27"/>
    <n v="2316.2621999999997"/>
    <n v="1719.25"/>
    <x v="168"/>
    <n v="0.25774810813732563"/>
  </r>
  <r>
    <x v="169"/>
    <d v="2024-07-15T00:00:00"/>
    <s v="Jul-2024"/>
    <s v="Q3-2024"/>
    <m/>
    <d v="2024-07-15T00:00:00"/>
    <d v="2024-07-15T00:00:00"/>
    <n v="0"/>
    <s v="Asia"/>
    <s v="Japan"/>
    <s v="Tokyo"/>
    <m/>
    <s v="Small Business"/>
    <s v="Marketplace"/>
    <x v="2"/>
    <x v="6"/>
    <m/>
    <x v="169"/>
    <n v="801.77"/>
    <n v="1218.92"/>
    <n v="1218.92"/>
    <n v="0.254"/>
    <n v="0.254"/>
    <x v="13"/>
    <n v="14549.029120000001"/>
    <n v="12828.32"/>
    <x v="169"/>
    <n v="0.11826968698788344"/>
  </r>
  <r>
    <x v="170"/>
    <d v="2023-09-21T00:00:00"/>
    <s v="Sep-2023"/>
    <s v="Q3-2023"/>
    <m/>
    <d v="2023-10-10T00:00:00"/>
    <d v="2023-09-21T00:00:00"/>
    <n v="19"/>
    <s v="Asia"/>
    <s v="Japan"/>
    <s v="Tokyo"/>
    <m/>
    <s v="Education"/>
    <s v="Online"/>
    <x v="14"/>
    <x v="5"/>
    <m/>
    <x v="170"/>
    <n v="845.63"/>
    <n v="2062.12"/>
    <n v="2062.12"/>
    <n v="0.13400000000000001"/>
    <n v="0.13400000000000001"/>
    <x v="27"/>
    <n v="8928.9795999999988"/>
    <n v="4228.1499999999996"/>
    <x v="170"/>
    <n v="0.52646884757133949"/>
  </r>
  <r>
    <x v="171"/>
    <d v="2023-02-24T00:00:00"/>
    <s v="Feb-2023"/>
    <s v="Q1-2023"/>
    <m/>
    <d v="2023-03-09T00:00:00"/>
    <d v="2023-02-24T00:00:00"/>
    <n v="13"/>
    <s v="Americas"/>
    <s v="USA"/>
    <s v="New York"/>
    <m/>
    <s v="Enterprise"/>
    <s v="Online"/>
    <x v="12"/>
    <x v="5"/>
    <m/>
    <x v="171"/>
    <n v="6.85"/>
    <n v="10.18"/>
    <n v="10.18"/>
    <n v="4.7E-2"/>
    <n v="4.7E-2"/>
    <x v="10"/>
    <n v="97.0154"/>
    <n v="68.5"/>
    <x v="171"/>
    <n v="0.2939265312517394"/>
  </r>
  <r>
    <x v="172"/>
    <d v="2025-05-21T00:00:00"/>
    <s v="May-2025"/>
    <s v="Q2-2025"/>
    <m/>
    <d v="2025-05-19T00:00:00"/>
    <d v="2025-05-28T00:00:00"/>
    <n v="-9"/>
    <s v="Africa"/>
    <s v="South Africa"/>
    <s v="Johannesburg"/>
    <m/>
    <s v="Non-Profit"/>
    <s v="Distributor"/>
    <x v="6"/>
    <x v="3"/>
    <m/>
    <x v="172"/>
    <n v="1263.8399999999999"/>
    <n v="2281.7199999999998"/>
    <n v="2281.7199999999998"/>
    <n v="7.8E-2"/>
    <n v="7.8E-2"/>
    <x v="3"/>
    <n v="31556.187599999997"/>
    <n v="18957.599999999999"/>
    <x v="172"/>
    <n v="0.39924301882398494"/>
  </r>
  <r>
    <x v="173"/>
    <d v="2024-05-23T00:00:00"/>
    <s v="May-2024"/>
    <s v="Q2-2024"/>
    <m/>
    <d v="2024-06-03T00:00:00"/>
    <d v="2024-05-23T00:00:00"/>
    <n v="11"/>
    <s v="Africa"/>
    <s v="South Africa"/>
    <s v="Johannesburg"/>
    <m/>
    <s v="Small Business"/>
    <s v="Distributor"/>
    <x v="8"/>
    <x v="0"/>
    <m/>
    <x v="173"/>
    <n v="180.89"/>
    <n v="249.57"/>
    <n v="249.57"/>
    <n v="2.1999999999999999E-2"/>
    <n v="2.1999999999999999E-2"/>
    <x v="15"/>
    <n v="1952.6356799999999"/>
    <n v="1447.12"/>
    <x v="173"/>
    <n v="0.25888888806948362"/>
  </r>
  <r>
    <x v="174"/>
    <d v="2025-04-14T00:00:00"/>
    <s v="Apr-2025"/>
    <s v="Q2-2025"/>
    <m/>
    <d v="2025-05-04T00:00:00"/>
    <d v="2025-04-14T00:00:00"/>
    <n v="20"/>
    <s v="Europe"/>
    <s v="United Kingdom"/>
    <s v="Birmingham"/>
    <m/>
    <s v="Enterprise"/>
    <s v="Marketplace"/>
    <x v="10"/>
    <x v="4"/>
    <m/>
    <x v="174"/>
    <n v="1413.87"/>
    <n v="3275"/>
    <n v="3275"/>
    <n v="0.255"/>
    <n v="0.255"/>
    <x v="23"/>
    <n v="92715.25"/>
    <n v="53727.06"/>
    <x v="174"/>
    <n v="0.42051539525590453"/>
  </r>
  <r>
    <x v="175"/>
    <d v="2023-08-27T00:00:00"/>
    <s v="Aug-2023"/>
    <s v="Q3-2023"/>
    <m/>
    <d v="2023-09-11T00:00:00"/>
    <d v="2023-08-27T00:00:00"/>
    <n v="15"/>
    <s v="Europe"/>
    <s v="United Kingdom"/>
    <s v="London"/>
    <m/>
    <s v="Consumer"/>
    <s v="Marketplace"/>
    <x v="13"/>
    <x v="0"/>
    <m/>
    <x v="175"/>
    <n v="943.79"/>
    <n v="1913.76"/>
    <n v="1913.76"/>
    <n v="9.0999999999999998E-2"/>
    <n v="9.0999999999999998E-2"/>
    <x v="11"/>
    <n v="15656.47056"/>
    <n v="8494.11"/>
    <x v="175"/>
    <n v="0.45746967891338081"/>
  </r>
  <r>
    <x v="176"/>
    <d v="2024-02-03T00:00:00"/>
    <s v="Feb-2024"/>
    <s v="Q1-2024"/>
    <m/>
    <d v="2024-02-21T00:00:00"/>
    <d v="2024-02-03T00:00:00"/>
    <n v="18"/>
    <s v="Europe"/>
    <s v="Germany"/>
    <s v="Frankfurt"/>
    <m/>
    <s v="Corporate"/>
    <s v="Retail"/>
    <x v="9"/>
    <x v="5"/>
    <m/>
    <x v="176"/>
    <n v="39.229999999999997"/>
    <n v="30.09"/>
    <n v="30.09"/>
    <n v="0.17699999999999999"/>
    <n v="0.17699999999999999"/>
    <x v="20"/>
    <n v="321.93290999999999"/>
    <n v="509.98999999999995"/>
    <x v="176"/>
    <n v="-0.58414993981199359"/>
  </r>
  <r>
    <x v="177"/>
    <d v="2023-04-05T00:00:00"/>
    <s v="Apr-2023"/>
    <s v="Q2-2023"/>
    <m/>
    <d v="2023-04-16T00:00:00"/>
    <d v="2023-04-05T00:00:00"/>
    <n v="11"/>
    <s v="Americas"/>
    <s v="Canada"/>
    <s v="Vancouver"/>
    <m/>
    <s v="Non-Profit"/>
    <s v="Online"/>
    <x v="6"/>
    <x v="4"/>
    <m/>
    <x v="177"/>
    <n v="213.1"/>
    <n v="501.31"/>
    <n v="501.31"/>
    <n v="5.6000000000000001E-2"/>
    <n v="5.6000000000000001E-2"/>
    <x v="3"/>
    <n v="7098.5495999999994"/>
    <n v="3196.5"/>
    <x v="177"/>
    <n v="0.54969674368409005"/>
  </r>
  <r>
    <x v="178"/>
    <d v="2025-08-21T00:00:00"/>
    <s v="Aug-2025"/>
    <s v="Q3-2025"/>
    <m/>
    <d v="2025-09-12T00:00:00"/>
    <d v="2025-08-21T00:00:00"/>
    <n v="22"/>
    <s v="Asia"/>
    <s v="China"/>
    <s v="Shenzhen"/>
    <m/>
    <s v="Education"/>
    <s v="Retail"/>
    <x v="4"/>
    <x v="0"/>
    <m/>
    <x v="178"/>
    <n v="352.66"/>
    <n v="411.18"/>
    <n v="411.18"/>
    <n v="0.17299999999999999"/>
    <n v="0.17299999999999999"/>
    <x v="20"/>
    <n v="4420.5961799999995"/>
    <n v="4584.58"/>
    <x v="178"/>
    <n v="-3.7095408248758066E-2"/>
  </r>
  <r>
    <x v="179"/>
    <d v="2025-09-15T00:00:00"/>
    <s v="Sep-2025"/>
    <s v="Q3-2025"/>
    <m/>
    <d v="2025-09-18T00:00:00"/>
    <d v="2025-09-15T00:00:00"/>
    <n v="3"/>
    <s v="Americas"/>
    <s v="Brazil"/>
    <s v="Rio de Janeiro"/>
    <m/>
    <s v="Non-Profit"/>
    <s v="Direct"/>
    <x v="3"/>
    <x v="6"/>
    <m/>
    <x v="179"/>
    <n v="5.5"/>
    <n v="5.92"/>
    <n v="5.92"/>
    <n v="0.21199999999999999"/>
    <n v="0.21199999999999999"/>
    <x v="5"/>
    <n v="18.659839999999999"/>
    <n v="22"/>
    <x v="179"/>
    <n v="-0.17900260666758133"/>
  </r>
  <r>
    <x v="180"/>
    <d v="2024-10-03T00:00:00"/>
    <s v="Oct-2024"/>
    <s v="Q4-2024"/>
    <m/>
    <d v="2024-10-11T00:00:00"/>
    <d v="2024-10-03T00:00:00"/>
    <n v="8"/>
    <s v="Asia"/>
    <s v="China"/>
    <s v="Beijing"/>
    <m/>
    <s v="Enterprise"/>
    <s v="Direct"/>
    <x v="4"/>
    <x v="2"/>
    <m/>
    <x v="180"/>
    <n v="1132.6099999999999"/>
    <n v="2206.63"/>
    <n v="2206.63"/>
    <n v="6.3E-2"/>
    <n v="6.3E-2"/>
    <x v="9"/>
    <n v="41352.246200000009"/>
    <n v="22652.199999999997"/>
    <x v="180"/>
    <n v="0.45221355351671338"/>
  </r>
  <r>
    <x v="181"/>
    <d v="2025-02-02T00:00:00"/>
    <s v="Feb-2025"/>
    <s v="Q1-2025"/>
    <m/>
    <d v="2025-03-04T00:00:00"/>
    <d v="2025-02-02T00:00:00"/>
    <n v="30"/>
    <s v="Asia"/>
    <s v="Japan"/>
    <s v="Osaka"/>
    <m/>
    <s v="Education"/>
    <s v="Distributor"/>
    <x v="3"/>
    <x v="6"/>
    <m/>
    <x v="181"/>
    <n v="766.59"/>
    <n v="1912.8"/>
    <n v="1912.8"/>
    <n v="0.19600000000000001"/>
    <n v="0.19600000000000001"/>
    <x v="27"/>
    <n v="7689.4560000000001"/>
    <n v="3832.9500000000003"/>
    <x v="181"/>
    <n v="0.50153170783472845"/>
  </r>
  <r>
    <x v="182"/>
    <d v="2023-08-19T00:00:00"/>
    <s v="Aug-2023"/>
    <s v="Q3-2023"/>
    <m/>
    <d v="2023-08-23T00:00:00"/>
    <d v="2023-08-19T00:00:00"/>
    <n v="4"/>
    <s v="Africa"/>
    <s v="Nigeria"/>
    <s v="Abuja"/>
    <m/>
    <s v="Small Business"/>
    <s v="Online"/>
    <x v="0"/>
    <x v="4"/>
    <m/>
    <x v="182"/>
    <n v="790.63"/>
    <n v="1382.31"/>
    <n v="1382.31"/>
    <n v="0.10100000000000001"/>
    <n v="0.10100000000000001"/>
    <x v="4"/>
    <n v="8698.8768300000011"/>
    <n v="5534.41"/>
    <x v="182"/>
    <n v="0.36377878338116448"/>
  </r>
  <r>
    <x v="183"/>
    <d v="2024-10-22T00:00:00"/>
    <s v="Oct-2024"/>
    <s v="Q4-2024"/>
    <m/>
    <d v="2024-10-29T00:00:00"/>
    <d v="2024-10-22T00:00:00"/>
    <n v="7"/>
    <s v="Africa"/>
    <s v="Nigeria"/>
    <s v="Port Harcourt"/>
    <m/>
    <s v="Enterprise"/>
    <s v="Distributor"/>
    <x v="12"/>
    <x v="4"/>
    <m/>
    <x v="183"/>
    <n v="1023.06"/>
    <n v="1355.61"/>
    <n v="1355.61"/>
    <n v="0.153"/>
    <n v="0.153"/>
    <x v="8"/>
    <n v="26408.63841"/>
    <n v="23530.379999999997"/>
    <x v="183"/>
    <n v="0.10898927711888809"/>
  </r>
  <r>
    <x v="184"/>
    <d v="2023-06-22T00:00:00"/>
    <s v="Jun-2023"/>
    <s v="Q2-2023"/>
    <m/>
    <d v="2023-07-21T00:00:00"/>
    <d v="2023-06-22T00:00:00"/>
    <n v="29"/>
    <s v="Europe"/>
    <s v="France"/>
    <s v="Lyon"/>
    <m/>
    <s v="Corporate"/>
    <s v="Retail"/>
    <x v="0"/>
    <x v="6"/>
    <m/>
    <x v="184"/>
    <n v="734.34"/>
    <n v="887.9"/>
    <n v="887.9"/>
    <n v="2.5000000000000001E-2"/>
    <n v="2.5000000000000001E-2"/>
    <x v="1"/>
    <n v="10388.429999999998"/>
    <n v="8812.08"/>
    <x v="184"/>
    <n v="0.15174092716608753"/>
  </r>
  <r>
    <x v="185"/>
    <d v="2025-01-13T00:00:00"/>
    <s v="Jan-2025"/>
    <s v="Q1-2025"/>
    <m/>
    <d v="2025-02-08T00:00:00"/>
    <d v="2025-01-13T00:00:00"/>
    <n v="26"/>
    <s v="Europe"/>
    <s v="France"/>
    <s v="Paris"/>
    <m/>
    <s v="Non-Profit"/>
    <s v="NOT ASSIGNED"/>
    <x v="5"/>
    <x v="4"/>
    <m/>
    <x v="185"/>
    <n v="594.74"/>
    <n v="1020.69"/>
    <n v="1020.69"/>
    <n v="0.21099999999999999"/>
    <n v="0.21099999999999999"/>
    <x v="7"/>
    <n v="4831.9464600000001"/>
    <n v="3568.44"/>
    <x v="185"/>
    <n v="0.26149016146176424"/>
  </r>
  <r>
    <x v="128"/>
    <d v="2023-01-29T00:00:00"/>
    <s v="Jan-2023"/>
    <s v="Q1-2023"/>
    <m/>
    <d v="2023-02-28T00:00:00"/>
    <d v="2023-01-29T00:00:00"/>
    <n v="30"/>
    <s v="Asia"/>
    <s v="India"/>
    <s v="Bengaluru"/>
    <m/>
    <s v="Non-Profit"/>
    <s v="Retail"/>
    <x v="4"/>
    <x v="6"/>
    <m/>
    <x v="186"/>
    <n v="1262.0999999999999"/>
    <n v="1395.53"/>
    <n v="1395.53"/>
    <n v="0.23300000000000001"/>
    <n v="0.23300000000000001"/>
    <x v="30"/>
    <n v="26759.28775"/>
    <n v="31552.499999999996"/>
    <x v="186"/>
    <n v="-0.17912331205452198"/>
  </r>
  <r>
    <x v="186"/>
    <d v="2023-07-19T00:00:00"/>
    <s v="Jul-2023"/>
    <s v="Q3-2023"/>
    <m/>
    <d v="2023-07-31T00:00:00"/>
    <d v="2023-07-19T00:00:00"/>
    <n v="12"/>
    <s v="Americas"/>
    <s v="Brazil"/>
    <s v="Rio de Janeiro"/>
    <m/>
    <s v="Corporate"/>
    <s v="Retail"/>
    <x v="11"/>
    <x v="4"/>
    <m/>
    <x v="187"/>
    <n v="1334.64"/>
    <n v="2273.42"/>
    <n v="2273.42"/>
    <n v="0.11799999999999999"/>
    <n v="0.11799999999999999"/>
    <x v="16"/>
    <n v="28072.190160000002"/>
    <n v="18684.960000000003"/>
    <x v="187"/>
    <n v="0.33439607335575267"/>
  </r>
  <r>
    <x v="187"/>
    <d v="2024-05-19T00:00:00"/>
    <s v="May-2024"/>
    <s v="Q2-2024"/>
    <m/>
    <d v="2024-06-08T00:00:00"/>
    <d v="2024-05-19T00:00:00"/>
    <n v="20"/>
    <s v="Americas"/>
    <s v="Brazil"/>
    <s v="Brasília"/>
    <m/>
    <s v="Small Business"/>
    <s v="Retail"/>
    <x v="5"/>
    <x v="4"/>
    <m/>
    <x v="188"/>
    <n v="1075.9000000000001"/>
    <n v="1242.1500000000001"/>
    <n v="1242.1500000000001"/>
    <n v="1.2E-2"/>
    <n v="1.2E-2"/>
    <x v="4"/>
    <n v="8590.7094000000016"/>
    <n v="7531.3000000000011"/>
    <x v="188"/>
    <n v="0.12332036280961853"/>
  </r>
  <r>
    <x v="188"/>
    <d v="2024-02-03T00:00:00"/>
    <s v="Feb-2024"/>
    <s v="Q1-2024"/>
    <m/>
    <d v="2024-02-19T00:00:00"/>
    <d v="2024-02-03T00:00:00"/>
    <n v="16"/>
    <s v="Asia"/>
    <s v="China"/>
    <s v="Shenzhen"/>
    <m/>
    <s v="Small Business"/>
    <s v="Online"/>
    <x v="9"/>
    <x v="3"/>
    <m/>
    <x v="189"/>
    <n v="993.75"/>
    <n v="1310.29"/>
    <n v="1310.29"/>
    <n v="0.215"/>
    <n v="0.215"/>
    <x v="14"/>
    <n v="19542.975350000001"/>
    <n v="18881.25"/>
    <x v="189"/>
    <n v="3.3860010471742245E-2"/>
  </r>
  <r>
    <x v="189"/>
    <d v="2023-08-08T00:00:00"/>
    <s v="Aug-2023"/>
    <s v="Q3-2023"/>
    <m/>
    <d v="2023-08-22T00:00:00"/>
    <d v="2023-08-08T00:00:00"/>
    <n v="14"/>
    <s v="Europe"/>
    <s v="United Kingdom"/>
    <s v="Birmingham"/>
    <m/>
    <s v="Non-Profit"/>
    <s v="Direct"/>
    <x v="13"/>
    <x v="4"/>
    <m/>
    <x v="190"/>
    <n v="446.69"/>
    <n v="967.25"/>
    <n v="967.25"/>
    <n v="9.4E-2"/>
    <n v="9.4E-2"/>
    <x v="10"/>
    <n v="8763.2849999999999"/>
    <n v="4466.8999999999996"/>
    <x v="190"/>
    <n v="0.49027105702941309"/>
  </r>
  <r>
    <x v="190"/>
    <d v="2024-08-12T00:00:00"/>
    <s v="Aug-2024"/>
    <s v="Q3-2024"/>
    <m/>
    <d v="2024-09-03T00:00:00"/>
    <d v="2024-08-12T00:00:00"/>
    <n v="22"/>
    <s v="Americas"/>
    <s v="USA"/>
    <s v="Austin"/>
    <m/>
    <s v="Consumer"/>
    <s v="Distributor"/>
    <x v="1"/>
    <x v="3"/>
    <m/>
    <x v="191"/>
    <n v="797.8"/>
    <n v="886.22"/>
    <n v="886.22"/>
    <n v="0.23599999999999999"/>
    <n v="0.23599999999999999"/>
    <x v="38"/>
    <n v="24374.594880000001"/>
    <n v="28720.799999999999"/>
    <x v="191"/>
    <n v="-0.17830881462428633"/>
  </r>
  <r>
    <x v="191"/>
    <d v="2023-10-15T00:00:00"/>
    <s v="Oct-2023"/>
    <s v="Q4-2023"/>
    <m/>
    <d v="2023-11-13T00:00:00"/>
    <d v="2023-10-15T00:00:00"/>
    <n v="29"/>
    <s v="Asia"/>
    <s v="China"/>
    <s v="Shenzhen"/>
    <m/>
    <s v="Non-Profit"/>
    <s v="Distributor"/>
    <x v="0"/>
    <x v="0"/>
    <m/>
    <x v="192"/>
    <n v="986.44"/>
    <n v="790.61"/>
    <n v="790.61"/>
    <n v="7.1999999999999995E-2"/>
    <n v="7.1999999999999995E-2"/>
    <x v="7"/>
    <n v="4402.1164799999997"/>
    <n v="5918.64"/>
    <x v="192"/>
    <n v="-0.34449872621271499"/>
  </r>
  <r>
    <x v="192"/>
    <d v="2023-05-04T00:00:00"/>
    <s v="May-2023"/>
    <s v="Q2-2023"/>
    <m/>
    <d v="2023-05-26T00:00:00"/>
    <d v="2023-05-04T00:00:00"/>
    <n v="22"/>
    <s v="Americas"/>
    <s v="USA"/>
    <s v="San Francisco"/>
    <m/>
    <s v="Enterprise"/>
    <s v="Online"/>
    <x v="0"/>
    <x v="1"/>
    <m/>
    <x v="193"/>
    <n v="249.71"/>
    <n v="361.33"/>
    <n v="361.33"/>
    <n v="9.4E-2"/>
    <n v="9.4E-2"/>
    <x v="1"/>
    <n v="3928.3797600000003"/>
    <n v="2996.52"/>
    <x v="193"/>
    <n v="0.23721223937881206"/>
  </r>
  <r>
    <x v="193"/>
    <d v="2024-09-22T00:00:00"/>
    <s v="Sep-2024"/>
    <s v="Q3-2024"/>
    <m/>
    <d v="2024-10-01T00:00:00"/>
    <d v="2024-09-22T00:00:00"/>
    <n v="9"/>
    <s v="Americas"/>
    <s v="Brazil"/>
    <s v="São Paulo"/>
    <m/>
    <s v="Non-Profit"/>
    <s v="Online"/>
    <x v="10"/>
    <x v="4"/>
    <m/>
    <x v="194"/>
    <n v="1378.8"/>
    <n v="1952.04"/>
    <n v="1952.04"/>
    <n v="0.159"/>
    <n v="0.159"/>
    <x v="14"/>
    <n v="31191.64716"/>
    <n v="26197.200000000001"/>
    <x v="194"/>
    <n v="0.16012130216723058"/>
  </r>
  <r>
    <x v="194"/>
    <d v="2024-10-23T00:00:00"/>
    <s v="Oct-2024"/>
    <s v="Q4-2024"/>
    <m/>
    <d v="2024-11-14T00:00:00"/>
    <d v="2024-10-23T00:00:00"/>
    <n v="22"/>
    <s v="Asia"/>
    <s v="Japan"/>
    <s v="Osaka"/>
    <m/>
    <s v="Non-Profit"/>
    <s v="Direct"/>
    <x v="4"/>
    <x v="2"/>
    <m/>
    <x v="195"/>
    <n v="1406.4"/>
    <n v="1564.76"/>
    <n v="1564.76"/>
    <n v="0.185"/>
    <n v="0.185"/>
    <x v="17"/>
    <n v="21679.749799999998"/>
    <n v="23908.800000000003"/>
    <x v="195"/>
    <n v="-0.10281715520536151"/>
  </r>
  <r>
    <x v="195"/>
    <d v="2024-02-11T00:00:00"/>
    <s v="Feb-2024"/>
    <s v="Q1-2024"/>
    <m/>
    <d v="2024-03-03T00:00:00"/>
    <d v="2024-02-11T00:00:00"/>
    <n v="21"/>
    <s v="Africa"/>
    <s v="Kenya"/>
    <s v="Kisumu"/>
    <m/>
    <s v="Enterprise"/>
    <s v="Online"/>
    <x v="4"/>
    <x v="2"/>
    <m/>
    <x v="196"/>
    <n v="516.86"/>
    <n v="852.54"/>
    <n v="852.54"/>
    <n v="5.0999999999999997E-2"/>
    <n v="5.0999999999999997E-2"/>
    <x v="16"/>
    <n v="11326.846439999999"/>
    <n v="7236.04"/>
    <x v="196"/>
    <n v="0.36116022775355994"/>
  </r>
  <r>
    <x v="196"/>
    <d v="2023-01-30T00:00:00"/>
    <s v="Jan-2023"/>
    <s v="Q1-2023"/>
    <m/>
    <d v="2023-02-21T00:00:00"/>
    <d v="2023-01-30T00:00:00"/>
    <n v="22"/>
    <s v="Europe"/>
    <s v="Germany"/>
    <s v="Munich"/>
    <m/>
    <s v="Small Business"/>
    <s v="Marketplace"/>
    <x v="2"/>
    <x v="1"/>
    <m/>
    <x v="197"/>
    <n v="1142.8800000000001"/>
    <n v="1465.29"/>
    <n v="1465.29"/>
    <n v="0.186"/>
    <n v="0.186"/>
    <x v="4"/>
    <n v="8349.2224200000001"/>
    <n v="8000.1600000000008"/>
    <x v="197"/>
    <n v="4.1807775915017401E-2"/>
  </r>
  <r>
    <x v="197"/>
    <d v="2023-04-14T00:00:00"/>
    <s v="Apr-2023"/>
    <s v="Q2-2023"/>
    <m/>
    <d v="2023-05-13T00:00:00"/>
    <d v="2023-04-14T00:00:00"/>
    <n v="29"/>
    <s v="Europe"/>
    <s v="Germany"/>
    <s v="Frankfurt"/>
    <m/>
    <s v="Consumer"/>
    <s v="Direct"/>
    <x v="0"/>
    <x v="0"/>
    <m/>
    <x v="198"/>
    <n v="1320.33"/>
    <n v="2645.23"/>
    <n v="2645.23"/>
    <n v="0.155"/>
    <n v="0.155"/>
    <x v="30"/>
    <n v="55880.483749999999"/>
    <n v="33008.25"/>
    <x v="198"/>
    <n v="0.40930629470436536"/>
  </r>
  <r>
    <x v="198"/>
    <d v="2023-01-13T00:00:00"/>
    <s v="Jan-2023"/>
    <s v="Q1-2023"/>
    <m/>
    <d v="2023-01-19T00:00:00"/>
    <d v="2023-01-13T00:00:00"/>
    <n v="6"/>
    <s v="Americas"/>
    <s v="USA"/>
    <s v="Chicago"/>
    <m/>
    <s v="Corporate"/>
    <s v="Direct"/>
    <x v="9"/>
    <x v="2"/>
    <m/>
    <x v="199"/>
    <n v="833.57"/>
    <n v="881.57"/>
    <n v="881.57"/>
    <n v="5.7000000000000002E-2"/>
    <n v="5.7000000000000002E-2"/>
    <x v="6"/>
    <n v="14963.769179999999"/>
    <n v="15004.26"/>
    <x v="199"/>
    <n v="-2.7059238560107821E-3"/>
  </r>
  <r>
    <x v="199"/>
    <d v="2024-01-12T00:00:00"/>
    <s v="Jan-2024"/>
    <s v="Q1-2024"/>
    <m/>
    <d v="2024-01-29T00:00:00"/>
    <d v="2024-01-12T00:00:00"/>
    <n v="17"/>
    <s v="Americas"/>
    <s v="USA"/>
    <s v="Chicago"/>
    <m/>
    <s v="Education"/>
    <s v="Distributor"/>
    <x v="7"/>
    <x v="0"/>
    <m/>
    <x v="200"/>
    <n v="493.76"/>
    <n v="625.04"/>
    <n v="625.04"/>
    <n v="0.25800000000000001"/>
    <n v="0.25800000000000001"/>
    <x v="10"/>
    <n v="4637.7968000000001"/>
    <n v="4937.6000000000004"/>
    <x v="200"/>
    <n v="-6.464345311549663E-2"/>
  </r>
  <r>
    <x v="200"/>
    <d v="2023-08-15T00:00:00"/>
    <s v="Aug-2023"/>
    <s v="Q3-2023"/>
    <m/>
    <d v="2023-09-07T00:00:00"/>
    <d v="2023-08-15T00:00:00"/>
    <n v="23"/>
    <s v="Americas"/>
    <s v="USA"/>
    <s v="New York"/>
    <m/>
    <s v="Enterprise"/>
    <s v="Online"/>
    <x v="10"/>
    <x v="2"/>
    <m/>
    <x v="201"/>
    <n v="590.33000000000004"/>
    <n v="973.04"/>
    <n v="973.04"/>
    <n v="0"/>
    <n v="0"/>
    <x v="29"/>
    <n v="25299.040000000001"/>
    <n v="15348.580000000002"/>
    <x v="201"/>
    <n v="0.39331373838691108"/>
  </r>
  <r>
    <x v="201"/>
    <d v="2023-01-20T00:00:00"/>
    <s v="Jan-2023"/>
    <s v="Q1-2023"/>
    <m/>
    <d v="2023-02-03T00:00:00"/>
    <d v="2023-01-20T00:00:00"/>
    <n v="14"/>
    <s v="Africa"/>
    <s v="Kenya"/>
    <s v="Kisumu"/>
    <m/>
    <s v="Corporate"/>
    <s v="Retail"/>
    <x v="12"/>
    <x v="1"/>
    <m/>
    <x v="202"/>
    <n v="884.36"/>
    <n v="1545.34"/>
    <n v="1545.34"/>
    <n v="0.24299999999999999"/>
    <n v="0.24299999999999999"/>
    <x v="39"/>
    <n v="47962.717579999997"/>
    <n v="36258.76"/>
    <x v="202"/>
    <n v="0.24402198562827965"/>
  </r>
  <r>
    <x v="202"/>
    <d v="2025-02-04T00:00:00"/>
    <s v="Feb-2025"/>
    <s v="Q1-2025"/>
    <m/>
    <d v="2025-02-25T00:00:00"/>
    <d v="2025-02-04T00:00:00"/>
    <n v="21"/>
    <s v="Europe"/>
    <s v="United Kingdom"/>
    <s v="Birmingham"/>
    <m/>
    <s v="Corporate"/>
    <s v="Marketplace"/>
    <x v="14"/>
    <x v="4"/>
    <m/>
    <x v="203"/>
    <n v="1016.32"/>
    <n v="2253.42"/>
    <n v="2253.42"/>
    <n v="5.5E-2"/>
    <n v="5.5E-2"/>
    <x v="1"/>
    <n v="25553.782800000001"/>
    <n v="12195.84"/>
    <x v="203"/>
    <n v="0.52273837124419797"/>
  </r>
  <r>
    <x v="203"/>
    <d v="2023-04-19T00:00:00"/>
    <s v="Apr-2023"/>
    <s v="Q2-2023"/>
    <m/>
    <d v="2023-04-28T00:00:00"/>
    <d v="2023-04-19T00:00:00"/>
    <n v="9"/>
    <s v="Europe"/>
    <s v="Germany"/>
    <s v="Berlin"/>
    <m/>
    <s v="Education"/>
    <s v="Online"/>
    <x v="5"/>
    <x v="4"/>
    <m/>
    <x v="204"/>
    <n v="1178.42"/>
    <n v="2446.56"/>
    <n v="2446.56"/>
    <n v="2.9000000000000001E-2"/>
    <n v="2.9000000000000001E-2"/>
    <x v="21"/>
    <n v="26131.70736"/>
    <n v="12962.62"/>
    <x v="204"/>
    <n v="0.5039505141618883"/>
  </r>
  <r>
    <x v="204"/>
    <d v="2023-07-02T00:00:00"/>
    <s v="Jul-2023"/>
    <s v="Q3-2023"/>
    <m/>
    <d v="2023-08-01T00:00:00"/>
    <d v="2023-07-02T00:00:00"/>
    <n v="30"/>
    <s v="Europe"/>
    <s v="United Kingdom"/>
    <s v="Birmingham"/>
    <m/>
    <s v="Small Business"/>
    <s v="Retail"/>
    <x v="4"/>
    <x v="5"/>
    <m/>
    <x v="205"/>
    <n v="137.46"/>
    <n v="188.3"/>
    <n v="188.3"/>
    <n v="3.7999999999999999E-2"/>
    <n v="3.7999999999999999E-2"/>
    <x v="18"/>
    <n v="6702.3501999999999"/>
    <n v="5086.0200000000004"/>
    <x v="205"/>
    <n v="0.24115872071262398"/>
  </r>
  <r>
    <x v="205"/>
    <d v="2025-01-21T00:00:00"/>
    <s v="Jan-2025"/>
    <s v="Q1-2025"/>
    <m/>
    <d v="2025-02-14T00:00:00"/>
    <d v="2025-01-21T00:00:00"/>
    <n v="24"/>
    <s v="Africa"/>
    <s v="Kenya"/>
    <s v="Nairobi"/>
    <m/>
    <s v="Small Business"/>
    <s v="Retail"/>
    <x v="0"/>
    <x v="6"/>
    <m/>
    <x v="206"/>
    <n v="1030.44"/>
    <n v="2562.84"/>
    <n v="2562.84"/>
    <n v="0.14799999999999999"/>
    <n v="0.14799999999999999"/>
    <x v="20"/>
    <n v="28386.015839999996"/>
    <n v="13395.720000000001"/>
    <x v="206"/>
    <n v="0.52808734852027039"/>
  </r>
  <r>
    <x v="206"/>
    <d v="2024-09-10T00:00:00"/>
    <s v="Sep-2024"/>
    <s v="Q3-2024"/>
    <m/>
    <d v="2024-10-07T00:00:00"/>
    <d v="2024-09-10T00:00:00"/>
    <n v="27"/>
    <s v="Africa"/>
    <s v="Kenya"/>
    <s v="Kisumu"/>
    <m/>
    <s v="Consumer"/>
    <s v="Retail"/>
    <x v="3"/>
    <x v="0"/>
    <m/>
    <x v="207"/>
    <n v="1248.3900000000001"/>
    <n v="1805.11"/>
    <n v="1805.11"/>
    <n v="0.20300000000000001"/>
    <n v="0.20300000000000001"/>
    <x v="21"/>
    <n v="15825.399369999997"/>
    <n v="13732.29"/>
    <x v="207"/>
    <n v="0.13226265707820786"/>
  </r>
  <r>
    <x v="207"/>
    <d v="2025-07-21T00:00:00"/>
    <s v="Jul-2025"/>
    <s v="Q3-2025"/>
    <m/>
    <d v="2025-08-07T00:00:00"/>
    <d v="2025-07-21T00:00:00"/>
    <n v="17"/>
    <s v="Africa"/>
    <s v="Nigeria"/>
    <s v="Lagos"/>
    <m/>
    <s v="Enterprise"/>
    <s v="Direct"/>
    <x v="12"/>
    <x v="6"/>
    <m/>
    <x v="208"/>
    <n v="1204.95"/>
    <n v="2065.73"/>
    <n v="2065.73"/>
    <n v="0.13600000000000001"/>
    <n v="0.13600000000000001"/>
    <x v="10"/>
    <n v="17847.907199999998"/>
    <n v="12049.5"/>
    <x v="208"/>
    <n v="0.32487882949100039"/>
  </r>
  <r>
    <x v="208"/>
    <d v="2024-10-02T00:00:00"/>
    <s v="Oct-2024"/>
    <s v="Q4-2024"/>
    <m/>
    <d v="2024-10-23T00:00:00"/>
    <d v="2024-10-02T00:00:00"/>
    <n v="21"/>
    <s v="Africa"/>
    <s v="South Africa"/>
    <s v="Durban"/>
    <m/>
    <s v="Corporate"/>
    <s v="Marketplace"/>
    <x v="7"/>
    <x v="5"/>
    <m/>
    <x v="209"/>
    <n v="1095.6099999999999"/>
    <n v="2366.5100000000002"/>
    <n v="2366.5100000000002"/>
    <n v="0.152"/>
    <n v="0.152"/>
    <x v="11"/>
    <n v="18061.204320000004"/>
    <n v="9860.49"/>
    <x v="209"/>
    <n v="0.4540513564158607"/>
  </r>
  <r>
    <x v="209"/>
    <d v="2025-07-14T00:00:00"/>
    <s v="Jul-2025"/>
    <s v="Q3-2025"/>
    <m/>
    <d v="2025-08-04T00:00:00"/>
    <d v="2025-07-14T00:00:00"/>
    <n v="21"/>
    <s v="Americas"/>
    <s v="Canada"/>
    <s v="Montreal"/>
    <m/>
    <s v="Consumer"/>
    <s v="Online"/>
    <x v="9"/>
    <x v="4"/>
    <m/>
    <x v="210"/>
    <n v="90.3"/>
    <n v="131.76"/>
    <n v="131.76"/>
    <n v="0.10199999999999999"/>
    <n v="0.10199999999999999"/>
    <x v="3"/>
    <n v="1774.8072"/>
    <n v="1354.5"/>
    <x v="210"/>
    <n v="0.23681851189244668"/>
  </r>
  <r>
    <x v="210"/>
    <d v="2024-09-09T00:00:00"/>
    <s v="Sep-2024"/>
    <s v="Q3-2024"/>
    <m/>
    <d v="2024-10-01T00:00:00"/>
    <d v="2024-09-09T00:00:00"/>
    <n v="22"/>
    <s v="Asia"/>
    <s v="China"/>
    <s v="Shenzhen"/>
    <m/>
    <s v="Consumer"/>
    <s v="Direct"/>
    <x v="3"/>
    <x v="0"/>
    <m/>
    <x v="211"/>
    <n v="1166.18"/>
    <n v="1335.02"/>
    <n v="1335.02"/>
    <n v="0.128"/>
    <n v="0.128"/>
    <x v="7"/>
    <n v="6984.8246399999998"/>
    <n v="6997.08"/>
    <x v="211"/>
    <n v="-1.7545694604582242E-3"/>
  </r>
  <r>
    <x v="211"/>
    <d v="2025-01-29T00:00:00"/>
    <s v="Jan-2025"/>
    <s v="Q1-2025"/>
    <m/>
    <d v="2025-02-06T00:00:00"/>
    <d v="2025-01-29T00:00:00"/>
    <n v="8"/>
    <s v="Africa"/>
    <s v="Kenya"/>
    <s v="Kisumu"/>
    <m/>
    <s v="Education"/>
    <s v="Retail"/>
    <x v="4"/>
    <x v="2"/>
    <m/>
    <x v="212"/>
    <n v="1445.27"/>
    <n v="2691.45"/>
    <n v="2691.45"/>
    <n v="0"/>
    <n v="0"/>
    <x v="11"/>
    <n v="24223.05"/>
    <n v="13007.43"/>
    <x v="212"/>
    <n v="0.46301436028906351"/>
  </r>
  <r>
    <x v="212"/>
    <d v="2023-11-10T00:00:00"/>
    <s v="Nov-2023"/>
    <s v="Q4-2023"/>
    <m/>
    <d v="2023-11-28T00:00:00"/>
    <d v="2023-11-10T00:00:00"/>
    <n v="18"/>
    <s v="Americas"/>
    <s v="Brazil"/>
    <s v="Brasília"/>
    <m/>
    <s v="Education"/>
    <s v="Marketplace"/>
    <x v="3"/>
    <x v="6"/>
    <m/>
    <x v="213"/>
    <n v="388.51"/>
    <n v="776.46"/>
    <n v="776.46"/>
    <n v="0.157"/>
    <n v="0.157"/>
    <x v="1"/>
    <n v="7854.6693599999999"/>
    <n v="4662.12"/>
    <x v="213"/>
    <n v="0.40645241876864946"/>
  </r>
  <r>
    <x v="213"/>
    <d v="2024-02-29T00:00:00"/>
    <s v="Feb-2024"/>
    <s v="Q1-2024"/>
    <m/>
    <d v="2024-03-30T00:00:00"/>
    <d v="2024-02-29T00:00:00"/>
    <n v="30"/>
    <s v="Asia"/>
    <s v="Japan"/>
    <s v="Nagoya"/>
    <m/>
    <s v="Small Business"/>
    <s v="Direct"/>
    <x v="1"/>
    <x v="1"/>
    <m/>
    <x v="214"/>
    <n v="231.11"/>
    <n v="318.17"/>
    <n v="318.17"/>
    <n v="0.20100000000000001"/>
    <n v="0.20100000000000001"/>
    <x v="40"/>
    <n v="15253.069799999999"/>
    <n v="13866.6"/>
    <x v="214"/>
    <n v="9.0897754889969692E-2"/>
  </r>
  <r>
    <x v="214"/>
    <d v="2023-12-20T00:00:00"/>
    <s v="Dec-2023"/>
    <s v="Q4-2023"/>
    <m/>
    <d v="2024-01-14T00:00:00"/>
    <d v="2023-12-20T00:00:00"/>
    <n v="25"/>
    <s v="Asia"/>
    <s v="India"/>
    <s v="Mumbai"/>
    <m/>
    <s v="Non-Profit"/>
    <s v="Marketplace"/>
    <x v="3"/>
    <x v="4"/>
    <m/>
    <x v="215"/>
    <n v="1085.6099999999999"/>
    <n v="1246.4100000000001"/>
    <n v="1246.4100000000001"/>
    <n v="0.113"/>
    <n v="0.113"/>
    <x v="4"/>
    <n v="7738.9596900000006"/>
    <n v="7599.2699999999995"/>
    <x v="215"/>
    <n v="1.8050189637310417E-2"/>
  </r>
  <r>
    <x v="215"/>
    <d v="2023-01-22T00:00:00"/>
    <s v="Jan-2023"/>
    <s v="Q1-2023"/>
    <m/>
    <d v="2023-01-21T00:00:00"/>
    <d v="2023-01-29T00:00:00"/>
    <n v="-8"/>
    <s v="Europe"/>
    <s v="Germany"/>
    <s v="Munich"/>
    <m/>
    <s v="Corporate"/>
    <s v="Direct"/>
    <x v="8"/>
    <x v="4"/>
    <m/>
    <x v="216"/>
    <n v="150.86000000000001"/>
    <n v="346.96"/>
    <n v="346.96"/>
    <n v="0.19600000000000001"/>
    <n v="0.19600000000000001"/>
    <x v="15"/>
    <n v="2231.6467200000002"/>
    <n v="1206.8800000000001"/>
    <x v="216"/>
    <n v="0.45919755614365343"/>
  </r>
  <r>
    <x v="216"/>
    <d v="2024-10-11T00:00:00"/>
    <s v="Oct-2024"/>
    <s v="Q4-2024"/>
    <m/>
    <d v="2024-11-09T00:00:00"/>
    <d v="2024-10-11T00:00:00"/>
    <n v="29"/>
    <s v="Asia"/>
    <s v="China"/>
    <s v="Shanghai"/>
    <m/>
    <s v="Non-Profit"/>
    <s v="Online"/>
    <x v="8"/>
    <x v="0"/>
    <m/>
    <x v="217"/>
    <n v="391.64"/>
    <n v="504.76"/>
    <n v="504.76"/>
    <n v="4.0000000000000001E-3"/>
    <n v="4.0000000000000001E-3"/>
    <x v="20"/>
    <n v="6535.6324800000002"/>
    <n v="5091.32"/>
    <x v="217"/>
    <n v="0.22099046793402319"/>
  </r>
  <r>
    <x v="217"/>
    <d v="2024-09-19T00:00:00"/>
    <s v="Sep-2024"/>
    <s v="Q3-2024"/>
    <m/>
    <d v="2024-10-14T00:00:00"/>
    <d v="2024-09-19T00:00:00"/>
    <n v="25"/>
    <s v="Americas"/>
    <s v="Brazil"/>
    <s v="Rio de Janeiro"/>
    <m/>
    <s v="Small Business"/>
    <s v="Retail"/>
    <x v="10"/>
    <x v="0"/>
    <m/>
    <x v="218"/>
    <n v="386.96"/>
    <n v="937.46"/>
    <n v="937.46"/>
    <n v="0.26600000000000001"/>
    <n v="0.26600000000000001"/>
    <x v="39"/>
    <n v="28211.92124"/>
    <n v="15865.359999999999"/>
    <x v="218"/>
    <n v="0.43763631462626335"/>
  </r>
  <r>
    <x v="218"/>
    <d v="2025-08-25T00:00:00"/>
    <s v="Aug-2025"/>
    <s v="Q3-2025"/>
    <m/>
    <d v="2025-09-24T00:00:00"/>
    <d v="2025-08-25T00:00:00"/>
    <n v="30"/>
    <s v="Africa"/>
    <s v="Kenya"/>
    <s v="Nairobi"/>
    <m/>
    <s v="Consumer"/>
    <s v="Direct"/>
    <x v="4"/>
    <x v="5"/>
    <m/>
    <x v="219"/>
    <n v="589.14"/>
    <n v="1300.58"/>
    <n v="1300.58"/>
    <n v="5.5E-2"/>
    <n v="5.5E-2"/>
    <x v="21"/>
    <n v="13519.529099999998"/>
    <n v="6480.54"/>
    <x v="219"/>
    <n v="0.52065342275863724"/>
  </r>
  <r>
    <x v="219"/>
    <d v="2023-09-25T00:00:00"/>
    <s v="Sep-2023"/>
    <s v="Q3-2023"/>
    <m/>
    <d v="2023-10-02T00:00:00"/>
    <d v="2023-09-25T00:00:00"/>
    <n v="7"/>
    <s v="Americas"/>
    <s v="USA"/>
    <s v="New York"/>
    <m/>
    <s v="Education"/>
    <s v="Marketplace"/>
    <x v="1"/>
    <x v="6"/>
    <m/>
    <x v="220"/>
    <n v="145.58000000000001"/>
    <n v="228.15"/>
    <n v="228.15"/>
    <n v="0.20399999999999999"/>
    <n v="0.20399999999999999"/>
    <x v="27"/>
    <n v="908.03700000000003"/>
    <n v="727.90000000000009"/>
    <x v="220"/>
    <n v="0.19838068272548359"/>
  </r>
  <r>
    <x v="220"/>
    <d v="2023-08-26T00:00:00"/>
    <s v="Aug-2023"/>
    <s v="Q3-2023"/>
    <m/>
    <d v="2023-09-10T00:00:00"/>
    <d v="2023-08-26T00:00:00"/>
    <n v="15"/>
    <s v="Africa"/>
    <s v="South Africa"/>
    <s v="Cape Town"/>
    <m/>
    <s v="Non-Profit"/>
    <s v="Direct"/>
    <x v="13"/>
    <x v="5"/>
    <m/>
    <x v="221"/>
    <n v="241.14"/>
    <n v="496.52"/>
    <n v="496.52"/>
    <n v="9.2999999999999999E-2"/>
    <n v="9.2999999999999999E-2"/>
    <x v="10"/>
    <n v="4503.4363999999996"/>
    <n v="2411.3999999999996"/>
    <x v="221"/>
    <n v="0.46454223268257994"/>
  </r>
  <r>
    <x v="221"/>
    <d v="2025-07-16T00:00:00"/>
    <s v="Jul-2025"/>
    <s v="Q3-2025"/>
    <m/>
    <d v="2025-07-17T00:00:00"/>
    <d v="2025-07-16T00:00:00"/>
    <n v="1"/>
    <s v="Africa"/>
    <s v="South Africa"/>
    <s v="Durban"/>
    <m/>
    <s v="Small Business"/>
    <s v="Distributor"/>
    <x v="4"/>
    <x v="1"/>
    <m/>
    <x v="222"/>
    <n v="1198.9000000000001"/>
    <n v="2941.2"/>
    <n v="2941.2"/>
    <n v="5.0999999999999997E-2"/>
    <n v="5.0999999999999997E-2"/>
    <x v="22"/>
    <n v="66988.771199999988"/>
    <n v="28773.600000000002"/>
    <x v="222"/>
    <n v="0.57047129713583977"/>
  </r>
  <r>
    <x v="222"/>
    <d v="2023-04-19T00:00:00"/>
    <s v="Apr-2023"/>
    <s v="Q2-2023"/>
    <m/>
    <d v="2023-05-07T00:00:00"/>
    <d v="2023-04-19T00:00:00"/>
    <n v="18"/>
    <s v="Europe"/>
    <s v="United Kingdom"/>
    <s v="Birmingham"/>
    <m/>
    <s v="Enterprise"/>
    <s v="Retail"/>
    <x v="13"/>
    <x v="3"/>
    <m/>
    <x v="223"/>
    <n v="1089.1500000000001"/>
    <n v="1088.2"/>
    <n v="1088.2"/>
    <n v="5.0999999999999997E-2"/>
    <n v="5.0999999999999997E-2"/>
    <x v="3"/>
    <n v="15490.527"/>
    <n v="16337.250000000002"/>
    <x v="223"/>
    <n v="-5.4660696824582002E-2"/>
  </r>
  <r>
    <x v="223"/>
    <d v="2023-12-19T00:00:00"/>
    <s v="Dec-2023"/>
    <s v="Q4-2023"/>
    <m/>
    <d v="2023-12-20T00:00:00"/>
    <d v="2023-12-19T00:00:00"/>
    <n v="1"/>
    <s v="Americas"/>
    <s v="Brazil"/>
    <s v="Rio de Janeiro"/>
    <m/>
    <s v="Consumer"/>
    <s v="Distributor"/>
    <x v="0"/>
    <x v="2"/>
    <m/>
    <x v="224"/>
    <n v="1080.43"/>
    <n v="2529.15"/>
    <n v="2529.15"/>
    <n v="0.14699999999999999"/>
    <n v="0.14699999999999999"/>
    <x v="10"/>
    <n v="21573.6495"/>
    <n v="10804.300000000001"/>
    <x v="224"/>
    <n v="0.49918997247081437"/>
  </r>
  <r>
    <x v="224"/>
    <d v="2023-07-30T00:00:00"/>
    <s v="Jul-2023"/>
    <s v="Q3-2023"/>
    <m/>
    <d v="2023-08-07T00:00:00"/>
    <d v="2023-07-30T00:00:00"/>
    <n v="8"/>
    <s v="Asia"/>
    <s v="Japan"/>
    <s v="Nagoya"/>
    <m/>
    <s v="Education"/>
    <s v="Marketplace"/>
    <x v="7"/>
    <x v="1"/>
    <m/>
    <x v="225"/>
    <n v="1352.44"/>
    <n v="2698.01"/>
    <n v="2698.01"/>
    <n v="0.13100000000000001"/>
    <n v="0.13100000000000001"/>
    <x v="20"/>
    <n v="30479.418970000002"/>
    <n v="17581.72"/>
    <x v="225"/>
    <n v="0.42316091992090887"/>
  </r>
  <r>
    <x v="225"/>
    <d v="2023-10-04T00:00:00"/>
    <s v="Oct-2023"/>
    <s v="Q4-2023"/>
    <m/>
    <d v="2023-10-29T00:00:00"/>
    <d v="2023-10-04T00:00:00"/>
    <n v="25"/>
    <s v="Americas"/>
    <s v="USA"/>
    <s v="San Francisco"/>
    <m/>
    <s v="Small Business"/>
    <s v="Distributor"/>
    <x v="6"/>
    <x v="6"/>
    <m/>
    <x v="226"/>
    <n v="1239.8399999999999"/>
    <n v="1482.75"/>
    <n v="1482.75"/>
    <n v="6.7000000000000004E-2"/>
    <n v="6.7000000000000004E-2"/>
    <x v="5"/>
    <n v="5533.6230000000005"/>
    <n v="4959.3599999999997"/>
    <x v="226"/>
    <n v="0.10377703721413634"/>
  </r>
  <r>
    <x v="226"/>
    <d v="2025-08-10T00:00:00"/>
    <s v="Aug-2025"/>
    <s v="Q3-2025"/>
    <m/>
    <d v="2025-08-30T00:00:00"/>
    <d v="2025-08-10T00:00:00"/>
    <n v="20"/>
    <s v="Americas"/>
    <s v="USA"/>
    <s v="San Francisco"/>
    <m/>
    <s v="Corporate"/>
    <s v="Marketplace"/>
    <x v="10"/>
    <x v="0"/>
    <m/>
    <x v="227"/>
    <n v="933.29"/>
    <n v="1456.81"/>
    <n v="1456.81"/>
    <n v="0.123"/>
    <n v="0.123"/>
    <x v="20"/>
    <n v="16609.090809999998"/>
    <n v="12132.77"/>
    <x v="227"/>
    <n v="0.26951028573489977"/>
  </r>
  <r>
    <x v="227"/>
    <d v="2023-03-07T00:00:00"/>
    <s v="Mar-2023"/>
    <s v="Q1-2023"/>
    <m/>
    <d v="2023-04-01T00:00:00"/>
    <d v="2023-03-07T00:00:00"/>
    <n v="25"/>
    <s v="Africa"/>
    <s v="Kenya"/>
    <s v="Nairobi"/>
    <m/>
    <s v="Consumer"/>
    <s v="Marketplace"/>
    <x v="14"/>
    <x v="0"/>
    <m/>
    <x v="228"/>
    <n v="1024.0999999999999"/>
    <n v="918.19"/>
    <n v="918.19"/>
    <n v="0.189"/>
    <n v="0.189"/>
    <x v="10"/>
    <n v="7446.5209000000004"/>
    <n v="10241"/>
    <x v="228"/>
    <n v="-0.37527311579827827"/>
  </r>
  <r>
    <x v="228"/>
    <d v="2023-05-23T00:00:00"/>
    <s v="May-2023"/>
    <s v="Q2-2023"/>
    <m/>
    <d v="2023-06-10T00:00:00"/>
    <d v="2023-05-23T00:00:00"/>
    <n v="18"/>
    <s v="Asia"/>
    <s v="China"/>
    <s v="Shanghai"/>
    <m/>
    <s v="Corporate"/>
    <s v="Distributor"/>
    <x v="5"/>
    <x v="5"/>
    <m/>
    <x v="229"/>
    <n v="54.62"/>
    <n v="48.94"/>
    <n v="48.94"/>
    <n v="0.14799999999999999"/>
    <n v="0.14799999999999999"/>
    <x v="13"/>
    <n v="667.15008"/>
    <n v="873.92"/>
    <x v="229"/>
    <n v="-0.3099301434543783"/>
  </r>
  <r>
    <x v="229"/>
    <d v="2025-04-24T00:00:00"/>
    <s v="Apr-2025"/>
    <s v="Q2-2025"/>
    <m/>
    <d v="2025-05-06T00:00:00"/>
    <d v="2025-04-24T00:00:00"/>
    <n v="12"/>
    <s v="Americas"/>
    <s v="Brazil"/>
    <s v="Brasília"/>
    <m/>
    <s v="Consumer"/>
    <s v="Online"/>
    <x v="11"/>
    <x v="2"/>
    <m/>
    <x v="230"/>
    <n v="394.13"/>
    <n v="932.29"/>
    <n v="932.29"/>
    <n v="0.109"/>
    <n v="0.109"/>
    <x v="4"/>
    <n v="5814.6927299999998"/>
    <n v="2758.91"/>
    <x v="230"/>
    <n v="0.5255278089303268"/>
  </r>
  <r>
    <x v="230"/>
    <d v="2024-09-03T00:00:00"/>
    <s v="Sep-2024"/>
    <s v="Q3-2024"/>
    <m/>
    <d v="2024-09-08T00:00:00"/>
    <d v="2024-09-03T00:00:00"/>
    <n v="5"/>
    <s v="Africa"/>
    <s v="Nigeria"/>
    <s v="Lagos"/>
    <m/>
    <s v="Small Business"/>
    <s v="Direct"/>
    <x v="10"/>
    <x v="0"/>
    <m/>
    <x v="231"/>
    <n v="197.63"/>
    <n v="325.79000000000002"/>
    <n v="325.79000000000002"/>
    <n v="0.11600000000000001"/>
    <n v="0.11600000000000001"/>
    <x v="10"/>
    <n v="2879.9836"/>
    <n v="1976.3"/>
    <x v="231"/>
    <n v="0.31378081458519419"/>
  </r>
  <r>
    <x v="231"/>
    <d v="2024-09-05T00:00:00"/>
    <s v="Sep-2024"/>
    <s v="Q3-2024"/>
    <m/>
    <d v="2024-09-25T00:00:00"/>
    <d v="2024-09-05T00:00:00"/>
    <n v="20"/>
    <s v="Asia"/>
    <s v="Japan"/>
    <s v="Osaka"/>
    <m/>
    <s v="Enterprise"/>
    <s v="Distributor"/>
    <x v="14"/>
    <x v="4"/>
    <m/>
    <x v="232"/>
    <n v="195.54"/>
    <n v="405.97"/>
    <n v="405.97"/>
    <n v="0.187"/>
    <n v="0.187"/>
    <x v="13"/>
    <n v="5280.8577599999999"/>
    <n v="3128.64"/>
    <x v="232"/>
    <n v="0.40755079152141377"/>
  </r>
  <r>
    <x v="232"/>
    <d v="2023-03-14T00:00:00"/>
    <s v="Mar-2023"/>
    <s v="Q1-2023"/>
    <m/>
    <d v="2023-03-30T00:00:00"/>
    <d v="2023-03-14T00:00:00"/>
    <n v="16"/>
    <s v="Africa"/>
    <s v="South Africa"/>
    <s v="Cape Town"/>
    <m/>
    <s v="Consumer"/>
    <s v="Distributor"/>
    <x v="10"/>
    <x v="5"/>
    <m/>
    <x v="233"/>
    <n v="1309.77"/>
    <n v="1589.07"/>
    <n v="1589.07"/>
    <n v="0.10199999999999999"/>
    <n v="0.10199999999999999"/>
    <x v="10"/>
    <n v="14269.848599999999"/>
    <n v="13097.7"/>
    <x v="233"/>
    <n v="8.2141628328137886E-2"/>
  </r>
  <r>
    <x v="233"/>
    <d v="2024-01-11T00:00:00"/>
    <s v="Jan-2024"/>
    <s v="Q1-2024"/>
    <m/>
    <d v="2024-02-02T00:00:00"/>
    <d v="2024-01-11T00:00:00"/>
    <n v="22"/>
    <s v="Asia"/>
    <s v="Japan"/>
    <s v="Nagoya"/>
    <m/>
    <s v="Small Business"/>
    <s v="Online"/>
    <x v="15"/>
    <x v="0"/>
    <m/>
    <x v="234"/>
    <n v="1237.68"/>
    <n v="1432.8"/>
    <n v="1432.8"/>
    <n v="6.8000000000000005E-2"/>
    <n v="6.8000000000000005E-2"/>
    <x v="20"/>
    <n v="17359.804799999998"/>
    <n v="16089.84"/>
    <x v="234"/>
    <n v="7.315547695559331E-2"/>
  </r>
  <r>
    <x v="234"/>
    <d v="2024-09-13T00:00:00"/>
    <s v="Sep-2024"/>
    <s v="Q3-2024"/>
    <m/>
    <d v="2024-10-02T00:00:00"/>
    <d v="2024-09-13T00:00:00"/>
    <n v="19"/>
    <s v="Africa"/>
    <s v="Kenya"/>
    <s v="Mombasa"/>
    <m/>
    <s v="Small Business"/>
    <s v="Retail"/>
    <x v="12"/>
    <x v="2"/>
    <m/>
    <x v="235"/>
    <n v="1338.99"/>
    <n v="1765.76"/>
    <n v="1765.76"/>
    <n v="0.126"/>
    <n v="0.126"/>
    <x v="22"/>
    <n v="37038.581760000001"/>
    <n v="32135.760000000002"/>
    <x v="235"/>
    <n v="0.1323706666677725"/>
  </r>
  <r>
    <x v="235"/>
    <d v="2025-07-17T00:00:00"/>
    <s v="Jul-2025"/>
    <s v="Q3-2025"/>
    <m/>
    <d v="2025-07-23T00:00:00"/>
    <d v="2025-07-17T00:00:00"/>
    <n v="6"/>
    <s v="Americas"/>
    <s v="Canada"/>
    <s v="Vancouver"/>
    <m/>
    <s v="Consumer"/>
    <s v="Online"/>
    <x v="9"/>
    <x v="5"/>
    <m/>
    <x v="236"/>
    <n v="1364.89"/>
    <n v="2757.54"/>
    <n v="2757.54"/>
    <n v="0.17199999999999999"/>
    <n v="0.17199999999999999"/>
    <x v="41"/>
    <n v="139277.83032000001"/>
    <n v="83258.290000000008"/>
    <x v="236"/>
    <n v="0.4022143379983118"/>
  </r>
  <r>
    <x v="236"/>
    <d v="2023-11-28T00:00:00"/>
    <s v="Nov-2023"/>
    <s v="Q4-2023"/>
    <m/>
    <d v="2023-12-07T00:00:00"/>
    <d v="2023-11-28T00:00:00"/>
    <n v="9"/>
    <s v="Asia"/>
    <s v="India"/>
    <s v="Delhi"/>
    <m/>
    <s v="Enterprise"/>
    <s v="Marketplace"/>
    <x v="3"/>
    <x v="2"/>
    <m/>
    <x v="237"/>
    <n v="699.33"/>
    <n v="873.75"/>
    <n v="873.75"/>
    <n v="0.23499999999999999"/>
    <n v="0.23499999999999999"/>
    <x v="10"/>
    <n v="6684.1875"/>
    <n v="6993.3"/>
    <x v="237"/>
    <n v="-4.6245336475076469E-2"/>
  </r>
  <r>
    <x v="237"/>
    <d v="2024-03-30T00:00:00"/>
    <s v="Mar-2024"/>
    <s v="Q1-2024"/>
    <m/>
    <d v="2024-04-24T00:00:00"/>
    <d v="2024-03-30T00:00:00"/>
    <n v="25"/>
    <s v="Americas"/>
    <s v="USA"/>
    <s v="Austin"/>
    <m/>
    <s v="Non-Profit"/>
    <s v="Online"/>
    <x v="2"/>
    <x v="3"/>
    <m/>
    <x v="238"/>
    <n v="160.82"/>
    <n v="258.52"/>
    <n v="258.52"/>
    <n v="0.13"/>
    <n v="0.13"/>
    <x v="17"/>
    <n v="3823.5108"/>
    <n v="2733.94"/>
    <x v="238"/>
    <n v="0.28496605789631874"/>
  </r>
  <r>
    <x v="238"/>
    <d v="2023-09-19T00:00:00"/>
    <s v="Sep-2023"/>
    <s v="Q3-2023"/>
    <m/>
    <d v="2023-10-08T00:00:00"/>
    <d v="2023-09-19T00:00:00"/>
    <n v="19"/>
    <s v="Asia"/>
    <s v="India"/>
    <s v="Bengaluru"/>
    <m/>
    <s v="Education"/>
    <s v="Direct"/>
    <x v="0"/>
    <x v="0"/>
    <m/>
    <x v="239"/>
    <n v="385.32"/>
    <n v="606.76"/>
    <n v="606.76"/>
    <n v="8.5999999999999993E-2"/>
    <n v="8.5999999999999993E-2"/>
    <x v="15"/>
    <n v="4436.6291200000005"/>
    <n v="3082.56"/>
    <x v="239"/>
    <n v="0.30520223425842735"/>
  </r>
  <r>
    <x v="239"/>
    <d v="2025-05-16T00:00:00"/>
    <s v="May-2025"/>
    <s v="Q2-2025"/>
    <m/>
    <d v="2025-05-27T00:00:00"/>
    <d v="2025-05-16T00:00:00"/>
    <n v="11"/>
    <s v="Asia"/>
    <s v="China"/>
    <s v="Beijing"/>
    <m/>
    <s v="Enterprise"/>
    <s v="Online"/>
    <x v="8"/>
    <x v="2"/>
    <m/>
    <x v="240"/>
    <n v="918.12"/>
    <n v="1337.69"/>
    <n v="1337.69"/>
    <n v="9.5000000000000001E-2"/>
    <n v="9.5000000000000001E-2"/>
    <x v="15"/>
    <n v="9684.8756000000012"/>
    <n v="7344.96"/>
    <x v="240"/>
    <n v="0.24160512707050164"/>
  </r>
  <r>
    <x v="240"/>
    <d v="2025-08-02T00:00:00"/>
    <s v="Aug-2025"/>
    <s v="Q3-2025"/>
    <m/>
    <d v="2025-08-08T00:00:00"/>
    <d v="2025-08-02T00:00:00"/>
    <n v="6"/>
    <s v="Asia"/>
    <s v="Japan"/>
    <s v="Osaka"/>
    <m/>
    <s v="Consumer"/>
    <s v="Direct"/>
    <x v="13"/>
    <x v="3"/>
    <m/>
    <x v="241"/>
    <n v="1225.94"/>
    <n v="1793.08"/>
    <n v="1793.08"/>
    <n v="0.13600000000000001"/>
    <n v="0.13600000000000001"/>
    <x v="2"/>
    <n v="34082.864639999993"/>
    <n v="26970.68"/>
    <x v="241"/>
    <n v="0.20867332353434462"/>
  </r>
  <r>
    <x v="241"/>
    <d v="2024-12-04T00:00:00"/>
    <s v="Dec-2024"/>
    <s v="Q4-2024"/>
    <m/>
    <d v="2024-12-12T00:00:00"/>
    <d v="2024-12-04T00:00:00"/>
    <n v="8"/>
    <s v="Europe"/>
    <s v="Germany"/>
    <s v="Frankfurt"/>
    <m/>
    <s v="Enterprise"/>
    <s v="Marketplace"/>
    <x v="4"/>
    <x v="0"/>
    <m/>
    <x v="242"/>
    <n v="72.06"/>
    <n v="122.74"/>
    <n v="122.74"/>
    <n v="0.23799999999999999"/>
    <n v="0.23799999999999999"/>
    <x v="15"/>
    <n v="748.22303999999997"/>
    <n v="576.48"/>
    <x v="242"/>
    <n v="0.22953455162246802"/>
  </r>
  <r>
    <x v="242"/>
    <d v="2023-04-19T00:00:00"/>
    <s v="Apr-2023"/>
    <s v="Q2-2023"/>
    <m/>
    <d v="2023-04-28T00:00:00"/>
    <d v="2023-04-19T00:00:00"/>
    <n v="9"/>
    <s v="Americas"/>
    <s v="Brazil"/>
    <s v="Rio de Janeiro"/>
    <m/>
    <s v="Corporate"/>
    <s v="Distributor"/>
    <x v="12"/>
    <x v="2"/>
    <m/>
    <x v="243"/>
    <n v="1013.54"/>
    <n v="927.93"/>
    <n v="927.93"/>
    <n v="0.17499999999999999"/>
    <n v="0.17499999999999999"/>
    <x v="13"/>
    <n v="12248.675999999999"/>
    <n v="16216.64"/>
    <x v="243"/>
    <n v="-0.32395044166406234"/>
  </r>
  <r>
    <x v="243"/>
    <d v="2024-03-06T00:00:00"/>
    <s v="Mar-2024"/>
    <s v="Q1-2024"/>
    <m/>
    <d v="2024-03-26T00:00:00"/>
    <d v="2024-03-06T00:00:00"/>
    <n v="20"/>
    <s v="Africa"/>
    <s v="Nigeria"/>
    <s v="Port Harcourt"/>
    <m/>
    <s v="Consumer"/>
    <s v="Marketplace"/>
    <x v="1"/>
    <x v="2"/>
    <m/>
    <x v="244"/>
    <n v="65.64"/>
    <n v="151.88"/>
    <n v="151.88"/>
    <n v="0.16700000000000001"/>
    <n v="0.16700000000000001"/>
    <x v="8"/>
    <n v="2909.8689199999999"/>
    <n v="1509.72"/>
    <x v="244"/>
    <n v="0.48117250587356353"/>
  </r>
  <r>
    <x v="244"/>
    <d v="2024-02-16T00:00:00"/>
    <s v="Feb-2024"/>
    <s v="Q1-2024"/>
    <m/>
    <d v="2024-03-04T00:00:00"/>
    <d v="2024-02-16T00:00:00"/>
    <n v="17"/>
    <s v="Americas"/>
    <s v="Canada"/>
    <s v="Montreal"/>
    <m/>
    <s v="Non-Profit"/>
    <s v="Retail"/>
    <x v="14"/>
    <x v="3"/>
    <m/>
    <x v="245"/>
    <n v="1350.98"/>
    <n v="2210.4"/>
    <n v="2210.4"/>
    <n v="0.26300000000000001"/>
    <n v="0.26300000000000001"/>
    <x v="7"/>
    <n v="9774.3888000000006"/>
    <n v="8105.88"/>
    <x v="245"/>
    <n v="0.17070211080615091"/>
  </r>
  <r>
    <x v="245"/>
    <d v="2025-04-22T00:00:00"/>
    <s v="Apr-2025"/>
    <s v="Q2-2025"/>
    <m/>
    <d v="2025-05-02T00:00:00"/>
    <d v="2025-04-22T00:00:00"/>
    <n v="10"/>
    <s v="Europe"/>
    <s v="Germany"/>
    <s v="Berlin"/>
    <m/>
    <s v="Corporate"/>
    <s v="Marketplace"/>
    <x v="11"/>
    <x v="4"/>
    <m/>
    <x v="246"/>
    <n v="20.149999999999999"/>
    <n v="39.74"/>
    <n v="39.74"/>
    <n v="0.151"/>
    <n v="0.151"/>
    <x v="6"/>
    <n v="607.30668000000003"/>
    <n v="362.7"/>
    <x v="246"/>
    <n v="0.4027729120318585"/>
  </r>
  <r>
    <x v="246"/>
    <d v="2024-11-08T00:00:00"/>
    <s v="Nov-2024"/>
    <s v="Q4-2024"/>
    <m/>
    <d v="2024-11-08T00:00:00"/>
    <d v="2024-11-08T00:00:00"/>
    <n v="0"/>
    <s v="Africa"/>
    <s v="Kenya"/>
    <s v="Nakuru"/>
    <m/>
    <s v="Enterprise"/>
    <s v="Marketplace"/>
    <x v="12"/>
    <x v="1"/>
    <m/>
    <x v="247"/>
    <n v="803.28"/>
    <n v="1009"/>
    <n v="1009"/>
    <n v="0.11"/>
    <n v="0.11"/>
    <x v="5"/>
    <n v="3592.04"/>
    <n v="3213.12"/>
    <x v="247"/>
    <n v="0.10548880302001093"/>
  </r>
  <r>
    <x v="247"/>
    <d v="2025-09-12T00:00:00"/>
    <s v="Sep-2025"/>
    <s v="Q3-2025"/>
    <m/>
    <d v="2025-09-30T00:00:00"/>
    <d v="2025-09-12T00:00:00"/>
    <n v="18"/>
    <s v="Asia"/>
    <s v="Japan"/>
    <s v="Nagoya"/>
    <m/>
    <s v="Non-Profit"/>
    <s v="Marketplace"/>
    <x v="8"/>
    <x v="4"/>
    <m/>
    <x v="248"/>
    <n v="1212.99"/>
    <n v="1653.64"/>
    <n v="1653.64"/>
    <n v="0.107"/>
    <n v="0.107"/>
    <x v="15"/>
    <n v="11813.604160000001"/>
    <n v="9703.92"/>
    <x v="248"/>
    <n v="0.17858090819931455"/>
  </r>
  <r>
    <x v="248"/>
    <d v="2024-09-02T00:00:00"/>
    <s v="Sep-2024"/>
    <s v="Q3-2024"/>
    <m/>
    <d v="2024-09-08T00:00:00"/>
    <d v="2024-09-02T00:00:00"/>
    <n v="6"/>
    <s v="Americas"/>
    <s v="USA"/>
    <s v="Austin"/>
    <m/>
    <s v="Consumer"/>
    <s v="Direct"/>
    <x v="9"/>
    <x v="5"/>
    <m/>
    <x v="249"/>
    <n v="462.94"/>
    <n v="1015.7"/>
    <n v="1015.7"/>
    <n v="0.14299999999999999"/>
    <n v="0.14299999999999999"/>
    <x v="16"/>
    <n v="12186.368600000002"/>
    <n v="6481.16"/>
    <x v="249"/>
    <n v="0.46816314090483041"/>
  </r>
  <r>
    <x v="249"/>
    <d v="2023-03-04T00:00:00"/>
    <s v="Mar-2023"/>
    <s v="Q1-2023"/>
    <m/>
    <d v="2023-03-24T00:00:00"/>
    <d v="2023-03-04T00:00:00"/>
    <n v="20"/>
    <s v="Americas"/>
    <s v="Canada"/>
    <s v="Montreal"/>
    <m/>
    <s v="Consumer"/>
    <s v="Distributor"/>
    <x v="1"/>
    <x v="3"/>
    <m/>
    <x v="250"/>
    <n v="481.71"/>
    <n v="912.45"/>
    <n v="912.45"/>
    <n v="0.20300000000000001"/>
    <n v="0.20300000000000001"/>
    <x v="22"/>
    <n v="17453.3436"/>
    <n v="11561.039999999999"/>
    <x v="250"/>
    <n v="0.33760313983619739"/>
  </r>
  <r>
    <x v="250"/>
    <d v="2024-03-15T00:00:00"/>
    <s v="Mar-2024"/>
    <s v="Q1-2024"/>
    <m/>
    <d v="2024-04-09T00:00:00"/>
    <d v="2024-03-15T00:00:00"/>
    <n v="25"/>
    <s v="Americas"/>
    <s v="Canada"/>
    <s v="Vancouver"/>
    <m/>
    <s v="Consumer"/>
    <s v="Online"/>
    <x v="8"/>
    <x v="4"/>
    <m/>
    <x v="251"/>
    <n v="648.64"/>
    <n v="815.19"/>
    <n v="815.19"/>
    <n v="0.22500000000000001"/>
    <n v="0.22500000000000001"/>
    <x v="12"/>
    <n v="17689.623"/>
    <n v="18161.919999999998"/>
    <x v="251"/>
    <n v="-2.6699099240272032E-2"/>
  </r>
  <r>
    <x v="251"/>
    <d v="2024-07-29T00:00:00"/>
    <s v="Jul-2024"/>
    <s v="Q3-2024"/>
    <m/>
    <d v="2024-07-31T00:00:00"/>
    <d v="2024-07-29T00:00:00"/>
    <n v="2"/>
    <s v="Americas"/>
    <s v="USA"/>
    <s v="New York"/>
    <m/>
    <s v="Education"/>
    <s v="Marketplace"/>
    <x v="1"/>
    <x v="0"/>
    <m/>
    <x v="252"/>
    <n v="798.97"/>
    <n v="1814.06"/>
    <n v="1814.06"/>
    <n v="0.122"/>
    <n v="0.122"/>
    <x v="13"/>
    <n v="25483.91488"/>
    <n v="12783.52"/>
    <x v="252"/>
    <n v="0.49836906691159061"/>
  </r>
  <r>
    <x v="252"/>
    <d v="2024-10-27T00:00:00"/>
    <s v="Oct-2024"/>
    <s v="Q4-2024"/>
    <m/>
    <d v="2024-11-20T00:00:00"/>
    <d v="2024-10-27T00:00:00"/>
    <n v="24"/>
    <s v="Asia"/>
    <s v="Japan"/>
    <s v="Nagoya"/>
    <m/>
    <s v="Non-Profit"/>
    <s v="Online"/>
    <x v="9"/>
    <x v="4"/>
    <m/>
    <x v="253"/>
    <n v="317.25"/>
    <n v="758.92"/>
    <n v="758.92"/>
    <n v="5.2999999999999999E-2"/>
    <n v="5.2999999999999999E-2"/>
    <x v="11"/>
    <n v="6468.2751599999992"/>
    <n v="2855.25"/>
    <x v="253"/>
    <n v="0.5585762928489888"/>
  </r>
  <r>
    <x v="253"/>
    <d v="2024-04-29T00:00:00"/>
    <s v="Apr-2024"/>
    <s v="Q2-2024"/>
    <m/>
    <d v="2024-05-19T00:00:00"/>
    <d v="2024-04-29T00:00:00"/>
    <n v="20"/>
    <s v="Europe"/>
    <s v="Germany"/>
    <s v="Frankfurt"/>
    <m/>
    <s v="Enterprise"/>
    <s v="Marketplace"/>
    <x v="11"/>
    <x v="3"/>
    <m/>
    <x v="254"/>
    <n v="668.97"/>
    <n v="1667.44"/>
    <n v="1667.44"/>
    <n v="3.4000000000000002E-2"/>
    <n v="3.4000000000000002E-2"/>
    <x v="3"/>
    <n v="24161.205600000001"/>
    <n v="10034.550000000001"/>
    <x v="254"/>
    <n v="0.58468339013679016"/>
  </r>
  <r>
    <x v="254"/>
    <d v="2023-10-05T00:00:00"/>
    <s v="Oct-2023"/>
    <s v="Q4-2023"/>
    <m/>
    <d v="2023-10-06T00:00:00"/>
    <d v="2023-10-05T00:00:00"/>
    <n v="1"/>
    <s v="Asia"/>
    <s v="India"/>
    <s v="Bengaluru"/>
    <m/>
    <s v="Non-Profit"/>
    <s v="Online"/>
    <x v="1"/>
    <x v="5"/>
    <m/>
    <x v="255"/>
    <n v="1470.26"/>
    <n v="2562.5500000000002"/>
    <n v="2562.5500000000002"/>
    <n v="0.17299999999999999"/>
    <n v="0.17299999999999999"/>
    <x v="11"/>
    <n v="19073.059649999999"/>
    <n v="13232.34"/>
    <x v="255"/>
    <n v="0.30622877279157462"/>
  </r>
  <r>
    <x v="255"/>
    <d v="2023-04-19T00:00:00"/>
    <s v="Apr-2023"/>
    <s v="Q2-2023"/>
    <m/>
    <d v="2023-05-07T00:00:00"/>
    <d v="2023-04-19T00:00:00"/>
    <n v="18"/>
    <s v="Europe"/>
    <s v="United Kingdom"/>
    <s v="London"/>
    <m/>
    <s v="Non-Profit"/>
    <s v="Direct"/>
    <x v="9"/>
    <x v="1"/>
    <m/>
    <x v="256"/>
    <n v="516.96"/>
    <n v="745.38"/>
    <n v="745.38"/>
    <n v="0.19700000000000001"/>
    <n v="0.19700000000000001"/>
    <x v="5"/>
    <n v="2394.1605599999998"/>
    <n v="2067.84"/>
    <x v="256"/>
    <n v="0.13629852794835101"/>
  </r>
  <r>
    <x v="256"/>
    <d v="2025-06-27T00:00:00"/>
    <s v="Jun-2025"/>
    <s v="Q2-2025"/>
    <m/>
    <d v="2025-07-05T00:00:00"/>
    <d v="2025-06-27T00:00:00"/>
    <n v="8"/>
    <s v="Europe"/>
    <s v="Germany"/>
    <s v="Munich"/>
    <m/>
    <s v="Small Business"/>
    <s v="Direct"/>
    <x v="2"/>
    <x v="4"/>
    <m/>
    <x v="257"/>
    <n v="314.93"/>
    <n v="687.95"/>
    <n v="687.95"/>
    <n v="0.20499999999999999"/>
    <n v="0.20499999999999999"/>
    <x v="15"/>
    <n v="4375.3620000000001"/>
    <n v="2519.44"/>
    <x v="257"/>
    <n v="0.424175645352316"/>
  </r>
  <r>
    <x v="257"/>
    <d v="2023-10-11T00:00:00"/>
    <s v="Oct-2023"/>
    <s v="Q4-2023"/>
    <m/>
    <d v="2023-10-13T00:00:00"/>
    <d v="2023-10-11T00:00:00"/>
    <n v="2"/>
    <s v="Americas"/>
    <s v="Brazil"/>
    <s v="Brasília"/>
    <m/>
    <s v="Consumer"/>
    <s v="Distributor"/>
    <x v="15"/>
    <x v="6"/>
    <m/>
    <x v="258"/>
    <n v="715.94"/>
    <n v="550.07000000000005"/>
    <n v="550.07000000000005"/>
    <n v="0.14000000000000001"/>
    <n v="0.14000000000000001"/>
    <x v="13"/>
    <n v="7568.9632000000001"/>
    <n v="11455.04"/>
    <x v="258"/>
    <n v="-0.51342260456491595"/>
  </r>
  <r>
    <x v="258"/>
    <d v="2023-05-20T00:00:00"/>
    <s v="May-2023"/>
    <s v="Q2-2023"/>
    <m/>
    <d v="2023-06-07T00:00:00"/>
    <d v="2023-05-20T00:00:00"/>
    <n v="18"/>
    <s v="Africa"/>
    <s v="Nigeria"/>
    <s v="Port Harcourt"/>
    <m/>
    <s v="Enterprise"/>
    <s v="Distributor"/>
    <x v="5"/>
    <x v="5"/>
    <m/>
    <x v="259"/>
    <n v="1120.06"/>
    <n v="2068.21"/>
    <n v="2068.21"/>
    <n v="7.8E-2"/>
    <n v="7.8E-2"/>
    <x v="1"/>
    <n v="22882.675440000003"/>
    <n v="13440.72"/>
    <x v="259"/>
    <n v="0.41262462795303284"/>
  </r>
  <r>
    <x v="259"/>
    <d v="2023-05-27T00:00:00"/>
    <s v="May-2023"/>
    <s v="Q2-2023"/>
    <m/>
    <d v="2023-06-19T00:00:00"/>
    <d v="2023-05-27T00:00:00"/>
    <n v="23"/>
    <s v="Europe"/>
    <s v="Germany"/>
    <s v="Berlin"/>
    <m/>
    <s v="Education"/>
    <s v="Retail"/>
    <x v="6"/>
    <x v="6"/>
    <m/>
    <x v="260"/>
    <n v="1471.58"/>
    <n v="2576.65"/>
    <n v="2576.65"/>
    <n v="4.0000000000000001E-3"/>
    <n v="4.0000000000000001E-3"/>
    <x v="4"/>
    <n v="17964.4038"/>
    <n v="10301.06"/>
    <x v="260"/>
    <n v="0.4265849223451546"/>
  </r>
  <r>
    <x v="260"/>
    <d v="2023-08-04T00:00:00"/>
    <s v="Aug-2023"/>
    <s v="Q3-2023"/>
    <m/>
    <d v="2023-08-24T00:00:00"/>
    <d v="2023-08-04T00:00:00"/>
    <n v="20"/>
    <s v="Americas"/>
    <s v="Brazil"/>
    <s v="Brasília"/>
    <m/>
    <s v="Non-Profit"/>
    <s v="Direct"/>
    <x v="15"/>
    <x v="1"/>
    <m/>
    <x v="261"/>
    <n v="582.88"/>
    <n v="1044.1400000000001"/>
    <n v="1044.1400000000001"/>
    <n v="0.216"/>
    <n v="0.216"/>
    <x v="10"/>
    <n v="8186.057600000001"/>
    <n v="5828.8"/>
    <x v="261"/>
    <n v="0.28796005539956138"/>
  </r>
  <r>
    <x v="261"/>
    <d v="2025-06-21T00:00:00"/>
    <s v="Jun-2025"/>
    <s v="Q2-2025"/>
    <m/>
    <d v="2025-06-27T00:00:00"/>
    <d v="2025-06-21T00:00:00"/>
    <n v="6"/>
    <s v="Africa"/>
    <s v="South Africa"/>
    <s v="Durban"/>
    <m/>
    <s v="Enterprise"/>
    <s v="Distributor"/>
    <x v="13"/>
    <x v="2"/>
    <m/>
    <x v="262"/>
    <n v="93.91"/>
    <n v="99.04"/>
    <n v="99.04"/>
    <n v="5.7000000000000002E-2"/>
    <n v="5.7000000000000002E-2"/>
    <x v="7"/>
    <n v="560.36831999999993"/>
    <n v="563.46"/>
    <x v="262"/>
    <n v="-5.5172283829323376E-3"/>
  </r>
  <r>
    <x v="262"/>
    <d v="2025-04-16T00:00:00"/>
    <s v="Apr-2025"/>
    <s v="Q2-2025"/>
    <m/>
    <d v="2025-04-26T00:00:00"/>
    <d v="2025-04-16T00:00:00"/>
    <n v="10"/>
    <s v="Africa"/>
    <s v="Nigeria"/>
    <s v="Port Harcourt"/>
    <m/>
    <s v="Enterprise"/>
    <s v="Marketplace"/>
    <x v="8"/>
    <x v="3"/>
    <m/>
    <x v="263"/>
    <n v="1457.44"/>
    <n v="1996.81"/>
    <n v="1996.81"/>
    <n v="0.126"/>
    <n v="0.126"/>
    <x v="8"/>
    <n v="40139.874619999995"/>
    <n v="33521.120000000003"/>
    <x v="263"/>
    <n v="0.16489225944672353"/>
  </r>
  <r>
    <x v="263"/>
    <d v="2025-09-02T00:00:00"/>
    <s v="Sep-2025"/>
    <s v="Q3-2025"/>
    <m/>
    <d v="2025-09-11T00:00:00"/>
    <d v="2025-09-02T00:00:00"/>
    <n v="9"/>
    <s v="Americas"/>
    <s v="Canada"/>
    <s v="Toronto"/>
    <m/>
    <s v="Corporate"/>
    <s v="Distributor"/>
    <x v="12"/>
    <x v="0"/>
    <m/>
    <x v="264"/>
    <n v="1207.6300000000001"/>
    <n v="921.68"/>
    <n v="921.68"/>
    <n v="0.19600000000000001"/>
    <n v="0.19600000000000001"/>
    <x v="17"/>
    <n v="12597.52224"/>
    <n v="20529.710000000003"/>
    <x v="264"/>
    <n v="-0.62966253274897988"/>
  </r>
  <r>
    <x v="264"/>
    <d v="2024-10-08T00:00:00"/>
    <s v="Oct-2024"/>
    <s v="Q4-2024"/>
    <m/>
    <d v="2024-10-08T00:00:00"/>
    <d v="2024-10-08T00:00:00"/>
    <n v="0"/>
    <s v="Europe"/>
    <s v="United Kingdom"/>
    <s v="London"/>
    <m/>
    <s v="Corporate"/>
    <s v="Online"/>
    <x v="5"/>
    <x v="4"/>
    <m/>
    <x v="265"/>
    <n v="1108.1099999999999"/>
    <n v="2503.79"/>
    <n v="2503.79"/>
    <n v="0.184"/>
    <n v="0.184"/>
    <x v="14"/>
    <n v="38818.760160000005"/>
    <n v="21054.089999999997"/>
    <x v="265"/>
    <n v="0.45763105485025896"/>
  </r>
  <r>
    <x v="265"/>
    <d v="2023-05-07T00:00:00"/>
    <s v="May-2023"/>
    <s v="Q2-2023"/>
    <m/>
    <d v="2023-05-05T00:00:00"/>
    <d v="2023-05-14T00:00:00"/>
    <n v="-9"/>
    <s v="Africa"/>
    <s v="Nigeria"/>
    <s v="Port Harcourt"/>
    <m/>
    <s v="Non-Profit"/>
    <s v="Marketplace"/>
    <x v="7"/>
    <x v="5"/>
    <m/>
    <x v="266"/>
    <n v="1269.6500000000001"/>
    <n v="2462.77"/>
    <n v="2462.77"/>
    <n v="0.107"/>
    <n v="0.107"/>
    <x v="15"/>
    <n v="17594.028880000002"/>
    <n v="10157.200000000001"/>
    <x v="266"/>
    <n v="0.42269050089225502"/>
  </r>
  <r>
    <x v="266"/>
    <d v="2023-12-24T00:00:00"/>
    <s v="Dec-2023"/>
    <s v="Q4-2023"/>
    <m/>
    <d v="2024-01-01T00:00:00"/>
    <d v="2023-12-24T00:00:00"/>
    <n v="8"/>
    <s v="Americas"/>
    <s v="Brazil"/>
    <s v="São Paulo"/>
    <m/>
    <s v="Education"/>
    <s v="Direct"/>
    <x v="11"/>
    <x v="2"/>
    <m/>
    <x v="267"/>
    <n v="526.49"/>
    <n v="496.2"/>
    <n v="496.2"/>
    <n v="0"/>
    <n v="0"/>
    <x v="16"/>
    <n v="6946.8"/>
    <n v="7370.8600000000006"/>
    <x v="267"/>
    <n v="-6.1043933897621985E-2"/>
  </r>
  <r>
    <x v="267"/>
    <d v="2024-01-10T00:00:00"/>
    <s v="Jan-2024"/>
    <s v="Q1-2024"/>
    <m/>
    <d v="2024-01-23T00:00:00"/>
    <d v="2024-01-10T00:00:00"/>
    <n v="13"/>
    <s v="Europe"/>
    <s v="France"/>
    <s v="Marseille"/>
    <m/>
    <s v="Corporate"/>
    <s v="Direct"/>
    <x v="7"/>
    <x v="0"/>
    <m/>
    <x v="268"/>
    <n v="720"/>
    <n v="907.59"/>
    <n v="907.59"/>
    <n v="0.154"/>
    <n v="0.154"/>
    <x v="10"/>
    <n v="7678.2113999999992"/>
    <n v="7200"/>
    <x v="268"/>
    <n v="6.2281614179052078E-2"/>
  </r>
  <r>
    <x v="268"/>
    <d v="2023-08-03T00:00:00"/>
    <s v="Aug-2023"/>
    <s v="Q3-2023"/>
    <m/>
    <d v="2023-08-14T00:00:00"/>
    <d v="2023-08-03T00:00:00"/>
    <n v="11"/>
    <s v="Americas"/>
    <s v="Brazil"/>
    <s v="Brasília"/>
    <m/>
    <s v="Corporate"/>
    <s v="Direct"/>
    <x v="0"/>
    <x v="6"/>
    <m/>
    <x v="269"/>
    <n v="232.73"/>
    <n v="334.19"/>
    <n v="334.19"/>
    <n v="0.13400000000000001"/>
    <n v="0.13400000000000001"/>
    <x v="30"/>
    <n v="7235.2134999999998"/>
    <n v="5818.25"/>
    <x v="269"/>
    <n v="0.1958426658729559"/>
  </r>
  <r>
    <x v="269"/>
    <d v="2025-02-19T00:00:00"/>
    <s v="Feb-2025"/>
    <s v="Q1-2025"/>
    <m/>
    <d v="2025-03-09T00:00:00"/>
    <d v="2025-02-19T00:00:00"/>
    <n v="18"/>
    <s v="Asia"/>
    <s v="India"/>
    <s v="Delhi"/>
    <m/>
    <s v="Small Business"/>
    <s v="Direct"/>
    <x v="6"/>
    <x v="4"/>
    <m/>
    <x v="270"/>
    <n v="325.87"/>
    <n v="538.79"/>
    <n v="538.79"/>
    <n v="0.17399999999999999"/>
    <n v="0.17399999999999999"/>
    <x v="13"/>
    <n v="7120.6486400000003"/>
    <n v="5213.92"/>
    <x v="270"/>
    <n v="0.26777457172778013"/>
  </r>
  <r>
    <x v="270"/>
    <d v="2024-03-31T00:00:00"/>
    <s v="Mar-2024"/>
    <s v="Q1-2024"/>
    <m/>
    <d v="2024-04-17T00:00:00"/>
    <d v="2024-03-31T00:00:00"/>
    <n v="17"/>
    <s v="Europe"/>
    <s v="Germany"/>
    <s v="Frankfurt"/>
    <m/>
    <s v="Education"/>
    <s v="Direct"/>
    <x v="9"/>
    <x v="4"/>
    <m/>
    <x v="271"/>
    <n v="1025.51"/>
    <n v="1436.54"/>
    <n v="1436.54"/>
    <n v="0.13900000000000001"/>
    <n v="0.13900000000000001"/>
    <x v="12"/>
    <n v="34632.106319999999"/>
    <n v="28714.28"/>
    <x v="271"/>
    <n v="0.17087688127656453"/>
  </r>
  <r>
    <x v="271"/>
    <d v="2023-07-24T00:00:00"/>
    <s v="Jul-2023"/>
    <s v="Q3-2023"/>
    <m/>
    <d v="2023-08-13T00:00:00"/>
    <d v="2023-07-24T00:00:00"/>
    <n v="20"/>
    <s v="Americas"/>
    <s v="Canada"/>
    <s v="Montreal"/>
    <m/>
    <s v="Education"/>
    <s v="Direct"/>
    <x v="11"/>
    <x v="4"/>
    <m/>
    <x v="272"/>
    <n v="1082.3800000000001"/>
    <n v="1766.55"/>
    <n v="1766.55"/>
    <n v="0.16400000000000001"/>
    <n v="0.16400000000000001"/>
    <x v="9"/>
    <n v="29536.716"/>
    <n v="21647.600000000002"/>
    <x v="272"/>
    <n v="0.26709523157550752"/>
  </r>
  <r>
    <x v="272"/>
    <d v="2024-03-16T00:00:00"/>
    <s v="Mar-2024"/>
    <s v="Q1-2024"/>
    <m/>
    <d v="2024-04-13T00:00:00"/>
    <d v="2024-03-16T00:00:00"/>
    <n v="28"/>
    <s v="Europe"/>
    <s v="France"/>
    <s v="Paris"/>
    <m/>
    <s v="Small Business"/>
    <s v="Online"/>
    <x v="10"/>
    <x v="0"/>
    <m/>
    <x v="273"/>
    <n v="287.61"/>
    <n v="628.54"/>
    <n v="628.54"/>
    <n v="0.13500000000000001"/>
    <n v="0.13500000000000001"/>
    <x v="42"/>
    <n v="11417.429099999999"/>
    <n v="6039.81"/>
    <x v="273"/>
    <n v="0.47100087531964613"/>
  </r>
  <r>
    <x v="273"/>
    <d v="2024-01-25T00:00:00"/>
    <s v="Jan-2024"/>
    <s v="Q1-2024"/>
    <m/>
    <d v="2024-01-27T00:00:00"/>
    <d v="2024-01-25T00:00:00"/>
    <n v="2"/>
    <s v="Americas"/>
    <s v="Brazil"/>
    <s v="São Paulo"/>
    <m/>
    <s v="Non-Profit"/>
    <s v="Marketplace"/>
    <x v="13"/>
    <x v="3"/>
    <m/>
    <x v="274"/>
    <n v="1410.97"/>
    <n v="1650.75"/>
    <n v="1650.75"/>
    <n v="0.13500000000000001"/>
    <n v="0.13500000000000001"/>
    <x v="7"/>
    <n v="8567.3924999999999"/>
    <n v="8465.82"/>
    <x v="274"/>
    <n v="1.1855707556295596E-2"/>
  </r>
  <r>
    <x v="274"/>
    <d v="2024-03-27T00:00:00"/>
    <s v="Mar-2024"/>
    <s v="Q1-2024"/>
    <m/>
    <d v="2024-04-11T00:00:00"/>
    <d v="2024-03-27T00:00:00"/>
    <n v="15"/>
    <s v="Americas"/>
    <s v="USA"/>
    <s v="San Francisco"/>
    <m/>
    <s v="Small Business"/>
    <s v="Direct"/>
    <x v="6"/>
    <x v="1"/>
    <m/>
    <x v="275"/>
    <n v="1338.35"/>
    <n v="2247.14"/>
    <n v="2247.14"/>
    <n v="0.115"/>
    <n v="0.115"/>
    <x v="26"/>
    <n v="79548.755999999994"/>
    <n v="53534"/>
    <x v="275"/>
    <n v="0.32702907384246205"/>
  </r>
  <r>
    <x v="275"/>
    <d v="2025-06-24T00:00:00"/>
    <s v="Jun-2025"/>
    <s v="Q2-2025"/>
    <m/>
    <d v="2025-07-14T00:00:00"/>
    <d v="2025-06-24T00:00:00"/>
    <n v="20"/>
    <s v="Europe"/>
    <s v="Germany"/>
    <s v="Berlin"/>
    <m/>
    <s v="Corporate"/>
    <s v="Direct"/>
    <x v="6"/>
    <x v="6"/>
    <m/>
    <x v="276"/>
    <n v="385.08"/>
    <n v="893.19"/>
    <n v="893.19"/>
    <n v="0.151"/>
    <n v="0.151"/>
    <x v="15"/>
    <n v="6066.54648"/>
    <n v="3080.64"/>
    <x v="276"/>
    <n v="0.49219213762621666"/>
  </r>
  <r>
    <x v="276"/>
    <d v="2024-06-16T00:00:00"/>
    <s v="Jun-2024"/>
    <s v="Q2-2024"/>
    <m/>
    <d v="2024-07-03T00:00:00"/>
    <d v="2024-06-16T00:00:00"/>
    <n v="17"/>
    <s v="Africa"/>
    <s v="South Africa"/>
    <s v="Johannesburg"/>
    <m/>
    <s v="Enterprise"/>
    <s v="Marketplace"/>
    <x v="8"/>
    <x v="2"/>
    <m/>
    <x v="277"/>
    <n v="1173.83"/>
    <n v="2328.9"/>
    <n v="2328.9"/>
    <n v="0.12"/>
    <n v="0.12"/>
    <x v="17"/>
    <n v="34840.344000000005"/>
    <n v="19955.11"/>
    <x v="277"/>
    <n v="0.42724130393201637"/>
  </r>
  <r>
    <x v="277"/>
    <d v="2023-10-30T00:00:00"/>
    <s v="Oct-2023"/>
    <s v="Q4-2023"/>
    <m/>
    <d v="2023-11-14T00:00:00"/>
    <d v="2023-10-30T00:00:00"/>
    <n v="15"/>
    <s v="Asia"/>
    <s v="India"/>
    <s v="Bengaluru"/>
    <m/>
    <s v="Corporate"/>
    <s v="Online"/>
    <x v="8"/>
    <x v="3"/>
    <m/>
    <x v="278"/>
    <n v="953.46"/>
    <n v="2066.75"/>
    <n v="2066.75"/>
    <n v="0.13800000000000001"/>
    <n v="0.13800000000000001"/>
    <x v="27"/>
    <n v="8907.6924999999992"/>
    <n v="4767.3"/>
    <x v="278"/>
    <n v="0.46481089238318446"/>
  </r>
  <r>
    <x v="278"/>
    <d v="2023-06-15T00:00:00"/>
    <s v="Jun-2023"/>
    <s v="Q2-2023"/>
    <m/>
    <d v="2023-06-23T00:00:00"/>
    <d v="2023-06-15T00:00:00"/>
    <n v="8"/>
    <s v="Americas"/>
    <s v="USA"/>
    <s v="San Francisco"/>
    <m/>
    <s v="Consumer"/>
    <s v="Distributor"/>
    <x v="6"/>
    <x v="4"/>
    <m/>
    <x v="279"/>
    <n v="1097.0899999999999"/>
    <n v="2182.31"/>
    <n v="2182.31"/>
    <n v="0.112"/>
    <n v="0.112"/>
    <x v="11"/>
    <n v="17441.021520000002"/>
    <n v="9873.81"/>
    <x v="279"/>
    <n v="0.43387432962699546"/>
  </r>
  <r>
    <x v="279"/>
    <d v="2025-03-14T00:00:00"/>
    <s v="Mar-2025"/>
    <s v="Q1-2025"/>
    <m/>
    <d v="2025-03-29T00:00:00"/>
    <d v="2025-03-14T00:00:00"/>
    <n v="15"/>
    <s v="Asia"/>
    <s v="Japan"/>
    <s v="Tokyo"/>
    <m/>
    <s v="Non-Profit"/>
    <s v="Direct"/>
    <x v="9"/>
    <x v="1"/>
    <m/>
    <x v="280"/>
    <n v="1106.96"/>
    <n v="2726.62"/>
    <n v="2726.62"/>
    <n v="0.317"/>
    <n v="0.317"/>
    <x v="4"/>
    <n v="13035.970220000001"/>
    <n v="7748.72"/>
    <x v="280"/>
    <n v="0.40558931408789306"/>
  </r>
  <r>
    <x v="280"/>
    <d v="2023-08-15T00:00:00"/>
    <s v="Aug-2023"/>
    <s v="Q3-2023"/>
    <m/>
    <d v="2023-08-25T00:00:00"/>
    <d v="2023-08-15T00:00:00"/>
    <n v="10"/>
    <s v="Africa"/>
    <s v="Kenya"/>
    <s v="Nairobi"/>
    <m/>
    <s v="Small Business"/>
    <s v="Retail"/>
    <x v="13"/>
    <x v="2"/>
    <m/>
    <x v="281"/>
    <n v="91.85"/>
    <n v="111.29"/>
    <n v="111.29"/>
    <n v="0"/>
    <n v="0"/>
    <x v="7"/>
    <n v="667.74"/>
    <n v="551.09999999999991"/>
    <x v="281"/>
    <n v="0.17467876718483258"/>
  </r>
  <r>
    <x v="281"/>
    <d v="2025-05-17T00:00:00"/>
    <s v="May-2025"/>
    <s v="Q2-2025"/>
    <m/>
    <d v="2025-05-28T00:00:00"/>
    <d v="2025-05-17T00:00:00"/>
    <n v="11"/>
    <s v="Asia"/>
    <s v="India"/>
    <s v="Bengaluru"/>
    <m/>
    <s v="Corporate"/>
    <s v="Distributor"/>
    <x v="4"/>
    <x v="3"/>
    <m/>
    <x v="282"/>
    <n v="623.4"/>
    <n v="1100.0899999999999"/>
    <n v="1100.0899999999999"/>
    <n v="0.114"/>
    <n v="0.114"/>
    <x v="1"/>
    <n v="11696.156879999999"/>
    <n v="7480.7999999999993"/>
    <x v="282"/>
    <n v="0.36040529579490388"/>
  </r>
  <r>
    <x v="282"/>
    <d v="2024-01-13T00:00:00"/>
    <s v="Jan-2024"/>
    <s v="Q1-2024"/>
    <m/>
    <d v="2024-02-05T00:00:00"/>
    <d v="2024-01-13T00:00:00"/>
    <n v="23"/>
    <s v="Europe"/>
    <s v="Germany"/>
    <s v="Frankfurt"/>
    <m/>
    <s v="Education"/>
    <s v="Direct"/>
    <x v="4"/>
    <x v="3"/>
    <m/>
    <x v="283"/>
    <n v="1017.93"/>
    <n v="1529.14"/>
    <n v="1529.14"/>
    <n v="0.155"/>
    <n v="0.155"/>
    <x v="1"/>
    <n v="15505.479600000001"/>
    <n v="12215.16"/>
    <x v="283"/>
    <n v="0.21220366508366503"/>
  </r>
  <r>
    <x v="283"/>
    <d v="2023-06-24T00:00:00"/>
    <s v="Jun-2023"/>
    <s v="Q2-2023"/>
    <m/>
    <d v="2023-07-21T00:00:00"/>
    <d v="2023-06-24T00:00:00"/>
    <n v="27"/>
    <s v="Asia"/>
    <s v="Japan"/>
    <s v="Nagoya"/>
    <m/>
    <s v="Consumer"/>
    <s v="Marketplace"/>
    <x v="0"/>
    <x v="2"/>
    <m/>
    <x v="284"/>
    <n v="554.76"/>
    <n v="728.69"/>
    <n v="728.69"/>
    <n v="0.22"/>
    <n v="0.22"/>
    <x v="4"/>
    <n v="3978.6474000000003"/>
    <n v="3883.3199999999997"/>
    <x v="284"/>
    <n v="2.395975074343119E-2"/>
  </r>
  <r>
    <x v="284"/>
    <d v="2025-04-04T00:00:00"/>
    <s v="Apr-2025"/>
    <s v="Q2-2025"/>
    <m/>
    <d v="2025-04-13T00:00:00"/>
    <d v="2025-04-04T00:00:00"/>
    <n v="9"/>
    <s v="Europe"/>
    <s v="Germany"/>
    <s v="Munich"/>
    <m/>
    <s v="Consumer"/>
    <s v="Marketplace"/>
    <x v="8"/>
    <x v="2"/>
    <m/>
    <x v="285"/>
    <n v="7.02"/>
    <n v="6.28"/>
    <n v="6.28"/>
    <n v="0.13400000000000001"/>
    <n v="0.13400000000000001"/>
    <x v="16"/>
    <n v="76.138720000000006"/>
    <n v="98.28"/>
    <x v="285"/>
    <n v="-0.29080184169106066"/>
  </r>
  <r>
    <x v="285"/>
    <d v="2024-09-07T00:00:00"/>
    <s v="Sep-2024"/>
    <s v="Q3-2024"/>
    <m/>
    <d v="2024-09-07T00:00:00"/>
    <d v="2024-09-07T00:00:00"/>
    <n v="0"/>
    <s v="Asia"/>
    <s v="India"/>
    <s v="Mumbai"/>
    <m/>
    <s v="Education"/>
    <s v="Distributor"/>
    <x v="4"/>
    <x v="1"/>
    <m/>
    <x v="286"/>
    <n v="1066.6500000000001"/>
    <n v="2569.77"/>
    <n v="2569.77"/>
    <n v="0.13400000000000001"/>
    <n v="0.13400000000000001"/>
    <x v="11"/>
    <n v="20028.787380000002"/>
    <n v="9599.85"/>
    <x v="286"/>
    <n v="0.52069739331368348"/>
  </r>
  <r>
    <x v="286"/>
    <d v="2024-01-28T00:00:00"/>
    <s v="Jan-2024"/>
    <s v="Q1-2024"/>
    <m/>
    <d v="2024-01-30T00:00:00"/>
    <d v="2024-01-28T00:00:00"/>
    <n v="2"/>
    <s v="Africa"/>
    <s v="South Africa"/>
    <s v="Cape Town"/>
    <m/>
    <s v="Consumer"/>
    <s v="Direct"/>
    <x v="8"/>
    <x v="6"/>
    <m/>
    <x v="287"/>
    <n v="798.45"/>
    <n v="1592.02"/>
    <n v="1592.02"/>
    <n v="6.6000000000000003E-2"/>
    <n v="6.6000000000000003E-2"/>
    <x v="6"/>
    <n v="26765.040239999998"/>
    <n v="14372.1"/>
    <x v="287"/>
    <n v="0.46302714768494585"/>
  </r>
  <r>
    <x v="287"/>
    <d v="2023-07-18T00:00:00"/>
    <s v="Jul-2023"/>
    <s v="Q3-2023"/>
    <m/>
    <d v="2023-08-10T00:00:00"/>
    <d v="2023-07-18T00:00:00"/>
    <n v="23"/>
    <s v="Africa"/>
    <s v="South Africa"/>
    <s v="Johannesburg"/>
    <m/>
    <s v="Small Business"/>
    <s v="Retail"/>
    <x v="3"/>
    <x v="5"/>
    <m/>
    <x v="288"/>
    <n v="1271.56"/>
    <n v="995.47"/>
    <n v="995.47"/>
    <n v="0.192"/>
    <n v="0.192"/>
    <x v="20"/>
    <n v="10456.416880000001"/>
    <n v="16530.28"/>
    <x v="288"/>
    <n v="-0.58087423155607754"/>
  </r>
  <r>
    <x v="288"/>
    <d v="2025-08-28T00:00:00"/>
    <s v="Aug-2025"/>
    <s v="Q3-2025"/>
    <m/>
    <d v="2025-08-26T00:00:00"/>
    <d v="2025-09-04T00:00:00"/>
    <n v="-9"/>
    <s v="Africa"/>
    <s v="Nigeria"/>
    <s v="Port Harcourt"/>
    <m/>
    <s v="Small Business"/>
    <s v="Retail"/>
    <x v="7"/>
    <x v="6"/>
    <m/>
    <x v="289"/>
    <n v="521.05999999999995"/>
    <n v="1240.31"/>
    <n v="1240.31"/>
    <n v="0.14599999999999999"/>
    <n v="0.14599999999999999"/>
    <x v="6"/>
    <n v="19066.045319999997"/>
    <n v="9379.0799999999981"/>
    <x v="289"/>
    <n v="0.50807417885650974"/>
  </r>
  <r>
    <x v="289"/>
    <d v="2025-03-30T00:00:00"/>
    <s v="Mar-2025"/>
    <s v="Q1-2025"/>
    <m/>
    <d v="2025-04-07T00:00:00"/>
    <d v="2025-03-30T00:00:00"/>
    <n v="8"/>
    <s v="Americas"/>
    <s v="Brazil"/>
    <s v="São Paulo"/>
    <m/>
    <s v="Non-Profit"/>
    <s v="Direct"/>
    <x v="3"/>
    <x v="0"/>
    <m/>
    <x v="290"/>
    <n v="71.62"/>
    <n v="118.37"/>
    <n v="118.37"/>
    <n v="0.156"/>
    <n v="0.156"/>
    <x v="21"/>
    <n v="1098.9470800000001"/>
    <n v="787.82"/>
    <x v="290"/>
    <n v="0.28311379652603474"/>
  </r>
  <r>
    <x v="290"/>
    <d v="2023-10-21T00:00:00"/>
    <s v="Oct-2023"/>
    <s v="Q4-2023"/>
    <m/>
    <d v="2023-11-09T00:00:00"/>
    <d v="2023-10-21T00:00:00"/>
    <n v="19"/>
    <s v="Europe"/>
    <s v="United Kingdom"/>
    <s v="London"/>
    <m/>
    <s v="Non-Profit"/>
    <s v="Direct"/>
    <x v="7"/>
    <x v="6"/>
    <m/>
    <x v="291"/>
    <n v="1142.48"/>
    <n v="2105.5300000000002"/>
    <n v="2105.5300000000002"/>
    <n v="0.20699999999999999"/>
    <n v="0.20699999999999999"/>
    <x v="16"/>
    <n v="23375.594060000003"/>
    <n v="15994.720000000001"/>
    <x v="291"/>
    <n v="0.31575129346680658"/>
  </r>
  <r>
    <x v="291"/>
    <d v="2023-08-23T00:00:00"/>
    <s v="Aug-2023"/>
    <s v="Q3-2023"/>
    <m/>
    <d v="2023-09-22T00:00:00"/>
    <d v="2023-08-23T00:00:00"/>
    <n v="30"/>
    <s v="Europe"/>
    <s v="United Kingdom"/>
    <s v="London"/>
    <m/>
    <s v="Consumer"/>
    <s v="Distributor"/>
    <x v="6"/>
    <x v="6"/>
    <m/>
    <x v="292"/>
    <n v="209.81"/>
    <n v="523"/>
    <n v="523"/>
    <n v="5.8999999999999997E-2"/>
    <n v="5.8999999999999997E-2"/>
    <x v="3"/>
    <n v="7382.1450000000004"/>
    <n v="3147.15"/>
    <x v="292"/>
    <n v="0.57368082041195356"/>
  </r>
  <r>
    <x v="292"/>
    <d v="2025-04-11T00:00:00"/>
    <s v="Apr-2025"/>
    <s v="Q2-2025"/>
    <m/>
    <d v="2025-05-04T00:00:00"/>
    <d v="2025-04-11T00:00:00"/>
    <n v="23"/>
    <s v="Asia"/>
    <s v="Japan"/>
    <s v="Osaka"/>
    <m/>
    <s v="Small Business"/>
    <s v="Online"/>
    <x v="12"/>
    <x v="5"/>
    <m/>
    <x v="293"/>
    <n v="786.2"/>
    <n v="1075.3"/>
    <n v="1075.3"/>
    <n v="0.08"/>
    <n v="0.08"/>
    <x v="11"/>
    <n v="8903.4839999999986"/>
    <n v="7075.8"/>
    <x v="293"/>
    <n v="0.20527739478163815"/>
  </r>
  <r>
    <x v="293"/>
    <d v="2025-06-01T00:00:00"/>
    <s v="Jun-2025"/>
    <s v="Q2-2025"/>
    <m/>
    <d v="2025-06-27T00:00:00"/>
    <d v="2025-06-01T00:00:00"/>
    <n v="26"/>
    <s v="Europe"/>
    <s v="Germany"/>
    <s v="Munich"/>
    <m/>
    <s v="Consumer"/>
    <s v="Distributor"/>
    <x v="5"/>
    <x v="3"/>
    <m/>
    <x v="294"/>
    <n v="1362.31"/>
    <n v="3294.57"/>
    <n v="3294.57"/>
    <n v="0.113"/>
    <n v="0.113"/>
    <x v="4"/>
    <n v="20455.985130000001"/>
    <n v="9536.17"/>
    <x v="294"/>
    <n v="0.5338200561157721"/>
  </r>
  <r>
    <x v="294"/>
    <d v="2024-03-02T00:00:00"/>
    <s v="Mar-2024"/>
    <s v="Q1-2024"/>
    <m/>
    <d v="2024-03-16T00:00:00"/>
    <d v="2024-03-02T00:00:00"/>
    <n v="14"/>
    <s v="Americas"/>
    <s v="Canada"/>
    <s v="Vancouver"/>
    <m/>
    <s v="Non-Profit"/>
    <s v="Direct"/>
    <x v="6"/>
    <x v="0"/>
    <m/>
    <x v="295"/>
    <n v="248.24"/>
    <n v="464.05"/>
    <n v="464.05"/>
    <n v="0.16900000000000001"/>
    <n v="0.16900000000000001"/>
    <x v="21"/>
    <n v="4241.88105"/>
    <n v="2730.6400000000003"/>
    <x v="295"/>
    <n v="0.3562667203975462"/>
  </r>
  <r>
    <x v="295"/>
    <d v="2023-06-20T00:00:00"/>
    <s v="Jun-2023"/>
    <s v="Q2-2023"/>
    <m/>
    <d v="2023-07-08T00:00:00"/>
    <d v="2023-06-20T00:00:00"/>
    <n v="18"/>
    <s v="Americas"/>
    <s v="USA"/>
    <s v="Austin"/>
    <m/>
    <s v="Non-Profit"/>
    <s v="Direct"/>
    <x v="8"/>
    <x v="4"/>
    <m/>
    <x v="296"/>
    <n v="337"/>
    <n v="511.03"/>
    <n v="511.03"/>
    <n v="0.108"/>
    <n v="0.108"/>
    <x v="4"/>
    <n v="3190.8713200000002"/>
    <n v="2359"/>
    <x v="296"/>
    <n v="0.26070349963219458"/>
  </r>
  <r>
    <x v="296"/>
    <d v="2024-03-26T00:00:00"/>
    <s v="Mar-2024"/>
    <s v="Q1-2024"/>
    <m/>
    <d v="2024-04-05T00:00:00"/>
    <d v="2024-03-26T00:00:00"/>
    <n v="10"/>
    <s v="Americas"/>
    <s v="USA"/>
    <s v="Austin"/>
    <m/>
    <s v="Consumer"/>
    <s v="Direct"/>
    <x v="0"/>
    <x v="4"/>
    <m/>
    <x v="297"/>
    <n v="5.66"/>
    <n v="4.22"/>
    <n v="4.22"/>
    <n v="0.11899999999999999"/>
    <n v="0.11899999999999999"/>
    <x v="6"/>
    <n v="66.920760000000001"/>
    <n v="101.88"/>
    <x v="297"/>
    <n v="-0.52239753403876454"/>
  </r>
  <r>
    <x v="297"/>
    <d v="2025-01-22T00:00:00"/>
    <s v="Jan-2025"/>
    <s v="Q1-2025"/>
    <m/>
    <d v="2025-01-22T00:00:00"/>
    <d v="2025-01-22T00:00:00"/>
    <n v="0"/>
    <s v="Europe"/>
    <s v="France"/>
    <s v="Lyon"/>
    <m/>
    <s v="Small Business"/>
    <s v="Online"/>
    <x v="4"/>
    <x v="6"/>
    <m/>
    <x v="298"/>
    <n v="591.72"/>
    <n v="577.24"/>
    <n v="577.24"/>
    <n v="0"/>
    <n v="0"/>
    <x v="2"/>
    <n v="12699.28"/>
    <n v="13017.84"/>
    <x v="298"/>
    <n v="-2.5084886702238195E-2"/>
  </r>
  <r>
    <x v="298"/>
    <d v="2025-05-10T00:00:00"/>
    <s v="May-2025"/>
    <s v="Q2-2025"/>
    <m/>
    <d v="2025-05-27T00:00:00"/>
    <d v="2025-05-10T00:00:00"/>
    <n v="17"/>
    <s v="Americas"/>
    <s v="Canada"/>
    <s v="Vancouver"/>
    <m/>
    <s v="Education"/>
    <s v="Direct"/>
    <x v="11"/>
    <x v="5"/>
    <m/>
    <x v="299"/>
    <n v="862.89"/>
    <n v="1426.03"/>
    <n v="1426.03"/>
    <n v="5.6000000000000001E-2"/>
    <n v="5.6000000000000001E-2"/>
    <x v="14"/>
    <n v="25577.274079999999"/>
    <n v="16394.91"/>
    <x v="299"/>
    <n v="0.35900479665188778"/>
  </r>
  <r>
    <x v="299"/>
    <d v="2023-10-05T00:00:00"/>
    <s v="Oct-2023"/>
    <s v="Q4-2023"/>
    <m/>
    <d v="2023-10-31T00:00:00"/>
    <d v="2023-10-05T00:00:00"/>
    <n v="26"/>
    <s v="Asia"/>
    <s v="China"/>
    <s v="Shanghai"/>
    <m/>
    <s v="Consumer"/>
    <s v="NOT ASSIGNED"/>
    <x v="0"/>
    <x v="0"/>
    <m/>
    <x v="300"/>
    <n v="649.91"/>
    <n v="1360.12"/>
    <n v="1360.12"/>
    <n v="0.19400000000000001"/>
    <n v="0.19400000000000001"/>
    <x v="11"/>
    <n v="9866.3104799999983"/>
    <n v="5849.19"/>
    <x v="300"/>
    <n v="0.40715528749506769"/>
  </r>
  <r>
    <x v="300"/>
    <d v="2023-07-18T00:00:00"/>
    <s v="Jul-2023"/>
    <s v="Q3-2023"/>
    <m/>
    <d v="2023-07-22T00:00:00"/>
    <d v="2023-07-18T00:00:00"/>
    <n v="4"/>
    <s v="Americas"/>
    <s v="Brazil"/>
    <s v="São Paulo"/>
    <m/>
    <s v="Consumer"/>
    <s v="Direct"/>
    <x v="8"/>
    <x v="1"/>
    <m/>
    <x v="301"/>
    <n v="1269.55"/>
    <n v="2071.1"/>
    <n v="2071.1"/>
    <n v="0.129"/>
    <n v="0.129"/>
    <x v="2"/>
    <n v="39686.4182"/>
    <n v="27930.1"/>
    <x v="301"/>
    <n v="0.29623026549672354"/>
  </r>
  <r>
    <x v="301"/>
    <d v="2025-06-22T00:00:00"/>
    <s v="Jun-2025"/>
    <s v="Q2-2025"/>
    <m/>
    <d v="2025-07-08T00:00:00"/>
    <d v="2025-06-22T00:00:00"/>
    <n v="16"/>
    <s v="Europe"/>
    <s v="United Kingdom"/>
    <s v="London"/>
    <m/>
    <s v="Education"/>
    <s v="Direct"/>
    <x v="7"/>
    <x v="2"/>
    <m/>
    <x v="302"/>
    <n v="892.73"/>
    <n v="979.84"/>
    <n v="979.84"/>
    <n v="0.17399999999999999"/>
    <n v="0.17399999999999999"/>
    <x v="10"/>
    <n v="8093.4784"/>
    <n v="8927.2999999999993"/>
    <x v="302"/>
    <n v="-0.10302388649112838"/>
  </r>
  <r>
    <x v="302"/>
    <d v="2024-06-19T00:00:00"/>
    <s v="Jun-2024"/>
    <s v="Q2-2024"/>
    <m/>
    <d v="2024-06-20T00:00:00"/>
    <d v="2024-06-19T00:00:00"/>
    <n v="1"/>
    <s v="Africa"/>
    <s v="Kenya"/>
    <s v="Kisumu"/>
    <m/>
    <s v="Small Business"/>
    <s v="Direct"/>
    <x v="0"/>
    <x v="3"/>
    <m/>
    <x v="303"/>
    <n v="231.63"/>
    <n v="537.39"/>
    <n v="537.39"/>
    <n v="0.08"/>
    <n v="0.08"/>
    <x v="1"/>
    <n v="5932.7856000000002"/>
    <n v="2779.56"/>
    <x v="303"/>
    <n v="0.53149158129024587"/>
  </r>
  <r>
    <x v="303"/>
    <d v="2025-04-09T00:00:00"/>
    <s v="Apr-2025"/>
    <s v="Q2-2025"/>
    <m/>
    <d v="2025-04-12T00:00:00"/>
    <d v="2025-04-09T00:00:00"/>
    <n v="3"/>
    <s v="Europe"/>
    <s v="France"/>
    <s v="Lyon"/>
    <m/>
    <s v="Small Business"/>
    <s v="Distributor"/>
    <x v="9"/>
    <x v="4"/>
    <m/>
    <x v="304"/>
    <n v="86.68"/>
    <n v="213.32"/>
    <n v="213.32"/>
    <n v="3.7999999999999999E-2"/>
    <n v="3.7999999999999999E-2"/>
    <x v="15"/>
    <n v="1641.7107199999998"/>
    <n v="693.44"/>
    <x v="304"/>
    <n v="0.57761133459614611"/>
  </r>
  <r>
    <x v="304"/>
    <d v="2025-03-25T00:00:00"/>
    <s v="Mar-2025"/>
    <s v="Q1-2025"/>
    <m/>
    <d v="2025-03-26T00:00:00"/>
    <d v="2025-03-25T00:00:00"/>
    <n v="1"/>
    <s v="Africa"/>
    <s v="Nigeria"/>
    <s v="Lagos"/>
    <m/>
    <s v="Education"/>
    <s v="Distributor"/>
    <x v="2"/>
    <x v="6"/>
    <m/>
    <x v="305"/>
    <n v="1450.43"/>
    <n v="1994.67"/>
    <n v="1994.67"/>
    <n v="0.1"/>
    <n v="0.1"/>
    <x v="22"/>
    <n v="43084.872000000003"/>
    <n v="34810.32"/>
    <x v="305"/>
    <n v="0.19205237513529116"/>
  </r>
  <r>
    <x v="305"/>
    <d v="2025-05-18T00:00:00"/>
    <s v="May-2025"/>
    <s v="Q2-2025"/>
    <m/>
    <d v="2025-06-09T00:00:00"/>
    <d v="2025-05-18T00:00:00"/>
    <n v="22"/>
    <s v="Americas"/>
    <s v="USA"/>
    <s v="New York"/>
    <m/>
    <s v="Consumer"/>
    <s v="Retail"/>
    <x v="9"/>
    <x v="1"/>
    <m/>
    <x v="306"/>
    <n v="382.96"/>
    <n v="552.84"/>
    <n v="552.84"/>
    <n v="0.17599999999999999"/>
    <n v="0.17599999999999999"/>
    <x v="15"/>
    <n v="3644.3212800000006"/>
    <n v="3063.68"/>
    <x v="306"/>
    <n v="0.15932768693763483"/>
  </r>
  <r>
    <x v="306"/>
    <d v="2025-01-22T00:00:00"/>
    <s v="Jan-2025"/>
    <s v="Q1-2025"/>
    <m/>
    <d v="2025-02-04T00:00:00"/>
    <d v="2025-01-22T00:00:00"/>
    <n v="13"/>
    <s v="Asia"/>
    <s v="Japan"/>
    <s v="Tokyo"/>
    <m/>
    <s v="Small Business"/>
    <s v="Distributor"/>
    <x v="3"/>
    <x v="0"/>
    <m/>
    <x v="307"/>
    <n v="122.29"/>
    <n v="224.95"/>
    <n v="224.95"/>
    <n v="0.153"/>
    <n v="0.153"/>
    <x v="12"/>
    <n v="5334.9141999999993"/>
    <n v="3424.1200000000003"/>
    <x v="307"/>
    <n v="0.3581677471026618"/>
  </r>
  <r>
    <x v="307"/>
    <d v="2023-01-10T00:00:00"/>
    <s v="Jan-2023"/>
    <s v="Q1-2023"/>
    <m/>
    <d v="2023-01-29T00:00:00"/>
    <d v="2023-01-10T00:00:00"/>
    <n v="19"/>
    <s v="Europe"/>
    <s v="France"/>
    <s v="Lyon"/>
    <m/>
    <s v="Non-Profit"/>
    <s v="Direct"/>
    <x v="14"/>
    <x v="3"/>
    <m/>
    <x v="308"/>
    <n v="401.66"/>
    <n v="772.09"/>
    <n v="772.09"/>
    <n v="8.8999999999999996E-2"/>
    <n v="8.8999999999999996E-2"/>
    <x v="16"/>
    <n v="9847.2358600000007"/>
    <n v="5623.2400000000007"/>
    <x v="308"/>
    <n v="0.42895244107619046"/>
  </r>
  <r>
    <x v="308"/>
    <d v="2024-12-29T00:00:00"/>
    <s v="Dec-2024"/>
    <s v="Q4-2024"/>
    <m/>
    <d v="2025-01-12T00:00:00"/>
    <d v="2024-12-29T00:00:00"/>
    <n v="14"/>
    <s v="Europe"/>
    <s v="United Kingdom"/>
    <s v="Manchester"/>
    <m/>
    <s v="Corporate"/>
    <s v="Direct"/>
    <x v="4"/>
    <x v="4"/>
    <m/>
    <x v="309"/>
    <n v="1399.72"/>
    <n v="3149.21"/>
    <n v="3149.21"/>
    <n v="0.185"/>
    <n v="0.185"/>
    <x v="1"/>
    <n v="30799.273800000003"/>
    <n v="16796.64"/>
    <x v="309"/>
    <n v="0.45464168703873797"/>
  </r>
  <r>
    <x v="309"/>
    <d v="2024-05-23T00:00:00"/>
    <s v="May-2024"/>
    <s v="Q2-2024"/>
    <m/>
    <d v="2024-06-06T00:00:00"/>
    <d v="2024-05-23T00:00:00"/>
    <n v="14"/>
    <s v="Americas"/>
    <s v="Brazil"/>
    <s v="Rio de Janeiro"/>
    <m/>
    <s v="Non-Profit"/>
    <s v="Online"/>
    <x v="1"/>
    <x v="1"/>
    <m/>
    <x v="310"/>
    <n v="51.13"/>
    <n v="57.53"/>
    <n v="57.53"/>
    <n v="4.4999999999999998E-2"/>
    <n v="4.4999999999999998E-2"/>
    <x v="13"/>
    <n v="879.05840000000001"/>
    <n v="818.08"/>
    <x v="310"/>
    <n v="6.9367859973808302E-2"/>
  </r>
  <r>
    <x v="310"/>
    <d v="2023-06-24T00:00:00"/>
    <s v="Jun-2023"/>
    <s v="Q2-2023"/>
    <m/>
    <d v="2023-06-22T00:00:00"/>
    <d v="2023-07-01T00:00:00"/>
    <n v="-9"/>
    <s v="Americas"/>
    <s v="Canada"/>
    <s v="Toronto"/>
    <m/>
    <s v="Non-Profit"/>
    <s v="Retail"/>
    <x v="12"/>
    <x v="6"/>
    <m/>
    <x v="311"/>
    <n v="471.42"/>
    <n v="824.81"/>
    <n v="824.81"/>
    <n v="8.7999999999999995E-2"/>
    <n v="8.7999999999999995E-2"/>
    <x v="3"/>
    <n v="11283.400799999999"/>
    <n v="7071.3"/>
    <x v="311"/>
    <n v="0.37330064531608231"/>
  </r>
  <r>
    <x v="311"/>
    <d v="2024-11-04T00:00:00"/>
    <s v="Nov-2024"/>
    <s v="Q4-2024"/>
    <m/>
    <d v="2024-11-05T00:00:00"/>
    <d v="2024-11-04T00:00:00"/>
    <n v="1"/>
    <s v="Europe"/>
    <s v="United Kingdom"/>
    <s v="London"/>
    <m/>
    <s v="Corporate"/>
    <s v="Retail"/>
    <x v="12"/>
    <x v="0"/>
    <m/>
    <x v="312"/>
    <n v="840.68"/>
    <n v="1493.53"/>
    <n v="1493.53"/>
    <n v="0"/>
    <n v="0"/>
    <x v="19"/>
    <n v="40325.31"/>
    <n v="22698.359999999997"/>
    <x v="312"/>
    <n v="0.43711877230454027"/>
  </r>
  <r>
    <x v="312"/>
    <d v="2024-06-08T00:00:00"/>
    <s v="Jun-2024"/>
    <s v="Q2-2024"/>
    <m/>
    <d v="2024-06-24T00:00:00"/>
    <d v="2024-06-08T00:00:00"/>
    <n v="16"/>
    <s v="Africa"/>
    <s v="South Africa"/>
    <s v="Durban"/>
    <m/>
    <s v="Education"/>
    <s v="Distributor"/>
    <x v="9"/>
    <x v="4"/>
    <m/>
    <x v="313"/>
    <n v="597.85"/>
    <n v="741.92"/>
    <n v="741.92"/>
    <n v="3.1E-2"/>
    <n v="3.1E-2"/>
    <x v="4"/>
    <n v="5032.4433599999993"/>
    <n v="4184.95"/>
    <x v="313"/>
    <n v="0.16840594108544515"/>
  </r>
  <r>
    <x v="313"/>
    <d v="2025-06-01T00:00:00"/>
    <s v="Jun-2025"/>
    <s v="Q2-2025"/>
    <m/>
    <d v="2025-06-06T00:00:00"/>
    <d v="2025-06-01T00:00:00"/>
    <n v="5"/>
    <s v="Europe"/>
    <s v="France"/>
    <s v="Paris"/>
    <m/>
    <s v="Consumer"/>
    <s v="Distributor"/>
    <x v="2"/>
    <x v="5"/>
    <m/>
    <x v="314"/>
    <n v="379.45"/>
    <n v="742.23"/>
    <n v="742.23"/>
    <n v="0.09"/>
    <n v="0.09"/>
    <x v="20"/>
    <n v="8780.5809000000008"/>
    <n v="4932.8499999999995"/>
    <x v="314"/>
    <n v="0.43820915083192286"/>
  </r>
  <r>
    <x v="314"/>
    <d v="2023-05-06T00:00:00"/>
    <s v="May-2023"/>
    <s v="Q2-2023"/>
    <m/>
    <d v="2023-05-14T00:00:00"/>
    <d v="2023-05-06T00:00:00"/>
    <n v="8"/>
    <s v="Asia"/>
    <s v="Japan"/>
    <s v="Osaka"/>
    <m/>
    <s v="Enterprise"/>
    <s v="Marketplace"/>
    <x v="4"/>
    <x v="2"/>
    <m/>
    <x v="315"/>
    <n v="291.18"/>
    <n v="479.54"/>
    <n v="479.54"/>
    <n v="0.14099999999999999"/>
    <n v="0.14099999999999999"/>
    <x v="2"/>
    <n v="9062.34692"/>
    <n v="6405.96"/>
    <x v="315"/>
    <n v="0.29312350801066001"/>
  </r>
  <r>
    <x v="315"/>
    <d v="2023-11-14T00:00:00"/>
    <s v="Nov-2023"/>
    <s v="Q4-2023"/>
    <m/>
    <d v="2023-11-30T00:00:00"/>
    <d v="2023-11-14T00:00:00"/>
    <n v="16"/>
    <s v="Americas"/>
    <s v="Brazil"/>
    <s v="São Paulo"/>
    <m/>
    <s v="Enterprise"/>
    <s v="Direct"/>
    <x v="10"/>
    <x v="1"/>
    <m/>
    <x v="316"/>
    <n v="1017.92"/>
    <n v="1175.25"/>
    <n v="1175.25"/>
    <n v="7.4999999999999997E-2"/>
    <n v="7.4999999999999997E-2"/>
    <x v="3"/>
    <n v="16306.59375"/>
    <n v="15268.8"/>
    <x v="316"/>
    <n v="6.3642583234159542E-2"/>
  </r>
  <r>
    <x v="316"/>
    <d v="2025-04-01T00:00:00"/>
    <s v="Apr-2025"/>
    <s v="Q2-2025"/>
    <m/>
    <d v="2025-04-27T00:00:00"/>
    <d v="2025-04-01T00:00:00"/>
    <n v="26"/>
    <s v="Americas"/>
    <s v="USA"/>
    <s v="San Francisco"/>
    <m/>
    <s v="Corporate"/>
    <s v="Direct"/>
    <x v="1"/>
    <x v="4"/>
    <m/>
    <x v="317"/>
    <n v="156.55000000000001"/>
    <n v="227.45"/>
    <n v="227.45"/>
    <n v="1.4E-2"/>
    <n v="1.4E-2"/>
    <x v="20"/>
    <n v="2915.4540999999999"/>
    <n v="2035.15"/>
    <x v="317"/>
    <n v="0.3019440779396938"/>
  </r>
  <r>
    <x v="317"/>
    <d v="2023-03-23T00:00:00"/>
    <s v="Mar-2023"/>
    <s v="Q1-2023"/>
    <m/>
    <d v="2023-04-15T00:00:00"/>
    <d v="2023-03-23T00:00:00"/>
    <n v="23"/>
    <s v="Africa"/>
    <s v="Kenya"/>
    <s v="Mombasa"/>
    <m/>
    <s v="Small Business"/>
    <s v="Retail"/>
    <x v="11"/>
    <x v="6"/>
    <m/>
    <x v="318"/>
    <n v="875.36"/>
    <n v="1178.6199999999999"/>
    <n v="1178.6199999999999"/>
    <n v="0.151"/>
    <n v="0.151"/>
    <x v="43"/>
    <n v="53034.364139999991"/>
    <n v="46394.080000000002"/>
    <x v="318"/>
    <n v="0.12520719815685888"/>
  </r>
  <r>
    <x v="318"/>
    <d v="2024-05-28T00:00:00"/>
    <s v="May-2024"/>
    <s v="Q2-2024"/>
    <m/>
    <d v="2024-06-18T00:00:00"/>
    <d v="2024-05-28T00:00:00"/>
    <n v="21"/>
    <s v="Europe"/>
    <s v="Germany"/>
    <s v="Frankfurt"/>
    <m/>
    <s v="Small Business"/>
    <s v="Online"/>
    <x v="5"/>
    <x v="2"/>
    <m/>
    <x v="319"/>
    <n v="986.85"/>
    <n v="2422.1"/>
    <n v="2422.1"/>
    <n v="7.5999999999999998E-2"/>
    <n v="7.5999999999999998E-2"/>
    <x v="10"/>
    <n v="22380.204000000002"/>
    <n v="9868.5"/>
    <x v="319"/>
    <n v="0.55905227673527913"/>
  </r>
  <r>
    <x v="319"/>
    <d v="2024-01-02T00:00:00"/>
    <s v="Jan-2024"/>
    <s v="Q1-2024"/>
    <m/>
    <d v="2024-01-01T00:00:00"/>
    <d v="2024-01-09T00:00:00"/>
    <n v="-8"/>
    <s v="Americas"/>
    <s v="USA"/>
    <s v="Chicago"/>
    <m/>
    <s v="Education"/>
    <s v="Marketplace"/>
    <x v="4"/>
    <x v="1"/>
    <m/>
    <x v="320"/>
    <n v="404.77"/>
    <n v="433.88"/>
    <n v="433.88"/>
    <n v="0.215"/>
    <n v="0.215"/>
    <x v="2"/>
    <n v="7493.1076000000012"/>
    <n v="8904.9399999999987"/>
    <x v="320"/>
    <n v="-0.18841747314558746"/>
  </r>
  <r>
    <x v="320"/>
    <d v="2023-02-28T00:00:00"/>
    <s v="Feb-2023"/>
    <s v="Q1-2023"/>
    <m/>
    <d v="2023-02-27T00:00:00"/>
    <d v="2023-03-07T00:00:00"/>
    <n v="-8"/>
    <s v="Europe"/>
    <s v="France"/>
    <s v="Marseille"/>
    <m/>
    <s v="Corporate"/>
    <s v="Retail"/>
    <x v="10"/>
    <x v="1"/>
    <m/>
    <x v="321"/>
    <n v="1299.81"/>
    <n v="3149.13"/>
    <n v="3149.13"/>
    <n v="0.10299999999999999"/>
    <n v="0.10299999999999999"/>
    <x v="16"/>
    <n v="39546.774539999999"/>
    <n v="18197.34"/>
    <x v="321"/>
    <n v="0.53985273864511729"/>
  </r>
  <r>
    <x v="321"/>
    <d v="2024-02-18T00:00:00"/>
    <s v="Feb-2024"/>
    <s v="Q1-2024"/>
    <m/>
    <d v="2024-03-11T00:00:00"/>
    <d v="2024-02-18T00:00:00"/>
    <n v="22"/>
    <s v="Americas"/>
    <s v="Brazil"/>
    <s v="São Paulo"/>
    <m/>
    <s v="Consumer"/>
    <s v="Online"/>
    <x v="7"/>
    <x v="5"/>
    <m/>
    <x v="322"/>
    <n v="80.48"/>
    <n v="65.650000000000006"/>
    <n v="65.650000000000006"/>
    <n v="0.17599999999999999"/>
    <n v="0.17599999999999999"/>
    <x v="20"/>
    <n v="703.2428000000001"/>
    <n v="1046.24"/>
    <x v="322"/>
    <n v="-0.48773652570634191"/>
  </r>
  <r>
    <x v="322"/>
    <d v="2024-09-09T00:00:00"/>
    <s v="Sep-2024"/>
    <s v="Q3-2024"/>
    <m/>
    <d v="2024-10-08T00:00:00"/>
    <d v="2024-09-09T00:00:00"/>
    <n v="29"/>
    <s v="Americas"/>
    <s v="Brazil"/>
    <s v="São Paulo"/>
    <m/>
    <s v="Education"/>
    <s v="Direct"/>
    <x v="0"/>
    <x v="5"/>
    <m/>
    <x v="323"/>
    <n v="1010.33"/>
    <n v="2492.14"/>
    <n v="2492.14"/>
    <n v="5.0999999999999997E-2"/>
    <n v="5.0999999999999997E-2"/>
    <x v="21"/>
    <n v="26015.449459999996"/>
    <n v="11113.630000000001"/>
    <x v="323"/>
    <n v="0.57280653493656752"/>
  </r>
  <r>
    <x v="323"/>
    <d v="2023-05-07T00:00:00"/>
    <s v="May-2023"/>
    <s v="Q2-2023"/>
    <m/>
    <d v="2023-05-29T00:00:00"/>
    <d v="2023-05-07T00:00:00"/>
    <n v="22"/>
    <s v="Africa"/>
    <s v="South Africa"/>
    <s v="Durban"/>
    <m/>
    <s v="Education"/>
    <s v="Distributor"/>
    <x v="10"/>
    <x v="6"/>
    <m/>
    <x v="324"/>
    <n v="653.86"/>
    <n v="931.84"/>
    <n v="931.84"/>
    <n v="0.121"/>
    <n v="0.121"/>
    <x v="1"/>
    <n v="9829.0483199999999"/>
    <n v="7846.32"/>
    <x v="324"/>
    <n v="0.20172129136506273"/>
  </r>
  <r>
    <x v="324"/>
    <d v="2024-01-12T00:00:00"/>
    <s v="Jan-2024"/>
    <s v="Q1-2024"/>
    <m/>
    <d v="2024-01-29T00:00:00"/>
    <d v="2024-01-12T00:00:00"/>
    <n v="17"/>
    <s v="Asia"/>
    <s v="India"/>
    <s v="Hyderabad"/>
    <m/>
    <s v="Small Business"/>
    <s v="Direct"/>
    <x v="4"/>
    <x v="5"/>
    <m/>
    <x v="325"/>
    <n v="310.02"/>
    <n v="619.51"/>
    <n v="619.51"/>
    <n v="4.2000000000000003E-2"/>
    <n v="4.2000000000000003E-2"/>
    <x v="5"/>
    <n v="2373.9623200000001"/>
    <n v="1240.08"/>
    <x v="325"/>
    <n v="0.47763282106347843"/>
  </r>
  <r>
    <x v="325"/>
    <d v="2023-06-10T00:00:00"/>
    <s v="Jun-2023"/>
    <s v="Q2-2023"/>
    <m/>
    <d v="2023-06-18T00:00:00"/>
    <d v="2023-06-10T00:00:00"/>
    <n v="8"/>
    <s v="Africa"/>
    <s v="Kenya"/>
    <s v="Nakuru"/>
    <m/>
    <s v="Enterprise"/>
    <s v="Direct"/>
    <x v="9"/>
    <x v="2"/>
    <m/>
    <x v="326"/>
    <n v="894.23"/>
    <n v="1421.55"/>
    <n v="1421.55"/>
    <n v="0.109"/>
    <n v="0.109"/>
    <x v="28"/>
    <n v="3799.8031499999997"/>
    <n v="2682.69"/>
    <x v="326"/>
    <n v="0.29399237431549574"/>
  </r>
  <r>
    <x v="326"/>
    <d v="2025-05-19T00:00:00"/>
    <s v="May-2025"/>
    <s v="Q2-2025"/>
    <m/>
    <d v="2025-05-17T00:00:00"/>
    <d v="2025-05-26T00:00:00"/>
    <n v="-9"/>
    <s v="Americas"/>
    <s v="Brazil"/>
    <s v="São Paulo"/>
    <m/>
    <s v="Small Business"/>
    <s v="Distributor"/>
    <x v="3"/>
    <x v="4"/>
    <m/>
    <x v="327"/>
    <n v="383.77"/>
    <n v="952.56"/>
    <n v="952.56"/>
    <n v="0.34599999999999997"/>
    <n v="0.34599999999999997"/>
    <x v="10"/>
    <n v="6229.7423999999992"/>
    <n v="3837.7"/>
    <x v="327"/>
    <n v="0.38397131797937578"/>
  </r>
  <r>
    <x v="327"/>
    <d v="2023-10-22T00:00:00"/>
    <s v="Oct-2023"/>
    <s v="Q4-2023"/>
    <m/>
    <d v="2023-11-16T00:00:00"/>
    <d v="2023-10-22T00:00:00"/>
    <n v="25"/>
    <s v="Americas"/>
    <s v="Canada"/>
    <s v="Toronto"/>
    <m/>
    <s v="Small Business"/>
    <s v="Marketplace"/>
    <x v="1"/>
    <x v="3"/>
    <m/>
    <x v="328"/>
    <n v="1373.31"/>
    <n v="3154.14"/>
    <n v="3154.14"/>
    <n v="0.2"/>
    <n v="0.2"/>
    <x v="21"/>
    <n v="27756.432000000001"/>
    <n v="15106.41"/>
    <x v="328"/>
    <n v="0.45575101295440279"/>
  </r>
  <r>
    <x v="328"/>
    <d v="2025-01-11T00:00:00"/>
    <s v="Jan-2025"/>
    <s v="Q1-2025"/>
    <m/>
    <d v="2025-01-23T00:00:00"/>
    <d v="2025-01-11T00:00:00"/>
    <n v="12"/>
    <s v="Americas"/>
    <s v="USA"/>
    <s v="Austin"/>
    <m/>
    <s v="Consumer"/>
    <s v="Distributor"/>
    <x v="9"/>
    <x v="2"/>
    <m/>
    <x v="329"/>
    <n v="100.69"/>
    <n v="226.14"/>
    <n v="226.14"/>
    <n v="6.5000000000000002E-2"/>
    <n v="6.5000000000000002E-2"/>
    <x v="1"/>
    <n v="2537.2908000000002"/>
    <n v="1208.28"/>
    <x v="329"/>
    <n v="0.52379128162999689"/>
  </r>
  <r>
    <x v="329"/>
    <d v="2025-09-14T00:00:00"/>
    <s v="Sep-2025"/>
    <s v="Q3-2025"/>
    <m/>
    <d v="2025-09-26T00:00:00"/>
    <d v="2025-09-14T00:00:00"/>
    <n v="12"/>
    <s v="Europe"/>
    <s v="United Kingdom"/>
    <s v="London"/>
    <m/>
    <s v="Small Business"/>
    <s v="Direct"/>
    <x v="13"/>
    <x v="1"/>
    <m/>
    <x v="330"/>
    <n v="425.15"/>
    <n v="885.92"/>
    <n v="885.92"/>
    <n v="0.23899999999999999"/>
    <n v="0.23899999999999999"/>
    <x v="20"/>
    <n v="8764.4065599999994"/>
    <n v="5526.95"/>
    <x v="330"/>
    <n v="0.3693868532725848"/>
  </r>
  <r>
    <x v="330"/>
    <d v="2023-08-30T00:00:00"/>
    <s v="Aug-2023"/>
    <s v="Q3-2023"/>
    <m/>
    <d v="2023-09-03T00:00:00"/>
    <d v="2023-08-30T00:00:00"/>
    <n v="4"/>
    <s v="Asia"/>
    <s v="India"/>
    <s v="Delhi"/>
    <m/>
    <s v="Small Business"/>
    <s v="Marketplace"/>
    <x v="3"/>
    <x v="6"/>
    <m/>
    <x v="331"/>
    <n v="1082.25"/>
    <n v="2433.34"/>
    <n v="2433.34"/>
    <n v="0.27"/>
    <n v="0.27"/>
    <x v="5"/>
    <n v="7105.3528000000006"/>
    <n v="4329"/>
    <x v="331"/>
    <n v="0.3907410199251472"/>
  </r>
  <r>
    <x v="331"/>
    <d v="2023-11-15T00:00:00"/>
    <s v="Nov-2023"/>
    <s v="Q4-2023"/>
    <m/>
    <d v="2023-12-06T00:00:00"/>
    <d v="2023-11-15T00:00:00"/>
    <n v="21"/>
    <s v="Europe"/>
    <s v="United Kingdom"/>
    <s v="Manchester"/>
    <m/>
    <s v="Education"/>
    <s v="Direct"/>
    <x v="9"/>
    <x v="6"/>
    <m/>
    <x v="332"/>
    <n v="1184.99"/>
    <n v="1154.3399999999999"/>
    <n v="1154.3399999999999"/>
    <n v="2.8000000000000001E-2"/>
    <n v="2.8000000000000001E-2"/>
    <x v="27"/>
    <n v="5610.0923999999995"/>
    <n v="5924.95"/>
    <x v="332"/>
    <n v="-5.6123424990290764E-2"/>
  </r>
  <r>
    <x v="332"/>
    <d v="2025-04-27T00:00:00"/>
    <s v="Apr-2025"/>
    <s v="Q2-2025"/>
    <m/>
    <d v="2025-05-27T00:00:00"/>
    <d v="2025-04-27T00:00:00"/>
    <n v="30"/>
    <s v="Asia"/>
    <s v="India"/>
    <s v="NOT ASSIGNED"/>
    <m/>
    <s v="Enterprise"/>
    <s v="Marketplace"/>
    <x v="9"/>
    <x v="2"/>
    <m/>
    <x v="333"/>
    <n v="481.32"/>
    <n v="1135.99"/>
    <n v="1135.99"/>
    <n v="0.14499999999999999"/>
    <n v="0.14499999999999999"/>
    <x v="27"/>
    <n v="4856.35725"/>
    <n v="2406.6"/>
    <x v="333"/>
    <n v="0.50444337677175621"/>
  </r>
  <r>
    <x v="333"/>
    <d v="2024-04-09T00:00:00"/>
    <s v="Apr-2024"/>
    <s v="Q2-2024"/>
    <m/>
    <d v="2024-04-18T00:00:00"/>
    <d v="2024-04-09T00:00:00"/>
    <n v="9"/>
    <s v="Europe"/>
    <s v="France"/>
    <s v="Lyon"/>
    <m/>
    <s v="Consumer"/>
    <s v="Online"/>
    <x v="5"/>
    <x v="0"/>
    <m/>
    <x v="334"/>
    <n v="1288.8499999999999"/>
    <n v="2751.84"/>
    <n v="2751.84"/>
    <n v="0.158"/>
    <n v="0.158"/>
    <x v="4"/>
    <n v="16219.34496"/>
    <n v="9021.9499999999989"/>
    <x v="334"/>
    <n v="0.44375373837538756"/>
  </r>
  <r>
    <x v="334"/>
    <d v="2024-07-11T00:00:00"/>
    <s v="Jul-2024"/>
    <s v="Q3-2024"/>
    <m/>
    <d v="2024-07-31T00:00:00"/>
    <d v="2024-07-11T00:00:00"/>
    <n v="20"/>
    <s v="Asia"/>
    <s v="China"/>
    <s v="Shenzhen"/>
    <m/>
    <s v="Consumer"/>
    <s v="Online"/>
    <x v="2"/>
    <x v="2"/>
    <m/>
    <x v="335"/>
    <n v="647.26"/>
    <n v="1374.72"/>
    <n v="1374.72"/>
    <n v="6.6000000000000003E-2"/>
    <n v="6.6000000000000003E-2"/>
    <x v="2"/>
    <n v="28247.74656"/>
    <n v="14239.72"/>
    <x v="335"/>
    <n v="0.49589890401508901"/>
  </r>
  <r>
    <x v="335"/>
    <d v="2024-02-18T00:00:00"/>
    <s v="Feb-2024"/>
    <s v="Q1-2024"/>
    <m/>
    <d v="2024-03-03T00:00:00"/>
    <d v="2024-02-18T00:00:00"/>
    <n v="14"/>
    <s v="Americas"/>
    <s v="Brazil"/>
    <s v="NOT ASSIGNED"/>
    <m/>
    <s v="Enterprise"/>
    <s v="Distributor"/>
    <x v="7"/>
    <x v="0"/>
    <m/>
    <x v="336"/>
    <n v="624.23"/>
    <n v="1318.37"/>
    <n v="1318.37"/>
    <n v="0.21"/>
    <n v="0.21"/>
    <x v="18"/>
    <n v="38535.955099999999"/>
    <n v="23096.510000000002"/>
    <x v="336"/>
    <n v="0.40065038118128793"/>
  </r>
  <r>
    <x v="336"/>
    <d v="2023-07-25T00:00:00"/>
    <s v="Jul-2023"/>
    <s v="Q3-2023"/>
    <m/>
    <d v="2023-08-10T00:00:00"/>
    <d v="2023-07-25T00:00:00"/>
    <n v="16"/>
    <s v="Africa"/>
    <s v="Nigeria"/>
    <s v="Port Harcourt"/>
    <m/>
    <s v="Corporate"/>
    <s v="Distributor"/>
    <x v="1"/>
    <x v="6"/>
    <m/>
    <x v="337"/>
    <n v="506.83"/>
    <n v="441.74"/>
    <n v="441.74"/>
    <n v="0.24"/>
    <n v="0.24"/>
    <x v="11"/>
    <n v="3021.5016000000001"/>
    <n v="4561.47"/>
    <x v="337"/>
    <n v="-0.50966989393618067"/>
  </r>
  <r>
    <x v="337"/>
    <d v="2023-07-14T00:00:00"/>
    <s v="Jul-2023"/>
    <s v="Q3-2023"/>
    <m/>
    <d v="2023-07-21T00:00:00"/>
    <d v="2023-07-14T00:00:00"/>
    <n v="7"/>
    <s v="Africa"/>
    <s v="South Africa"/>
    <s v="Durban"/>
    <m/>
    <s v="Enterprise"/>
    <s v="Marketplace"/>
    <x v="15"/>
    <x v="4"/>
    <m/>
    <x v="338"/>
    <n v="620.74"/>
    <n v="1330.07"/>
    <n v="1330.07"/>
    <n v="0.29899999999999999"/>
    <n v="0.29899999999999999"/>
    <x v="12"/>
    <n v="26106.613960000002"/>
    <n v="17380.72"/>
    <x v="338"/>
    <n v="0.33424073965967516"/>
  </r>
  <r>
    <x v="338"/>
    <d v="2023-07-24T00:00:00"/>
    <s v="Jul-2023"/>
    <s v="Q3-2023"/>
    <m/>
    <d v="2023-08-19T00:00:00"/>
    <d v="2023-07-24T00:00:00"/>
    <n v="26"/>
    <s v="Africa"/>
    <s v="Kenya"/>
    <s v="Nairobi"/>
    <m/>
    <s v="Enterprise"/>
    <s v="Distributor"/>
    <x v="12"/>
    <x v="6"/>
    <m/>
    <x v="339"/>
    <n v="661.45"/>
    <n v="1634.86"/>
    <n v="1634.86"/>
    <n v="0.56499999999999995"/>
    <n v="0.56499999999999995"/>
    <x v="22"/>
    <n v="17067.938400000003"/>
    <n v="15874.800000000001"/>
    <x v="339"/>
    <n v="6.9905244092045793E-2"/>
  </r>
  <r>
    <x v="339"/>
    <d v="2023-04-13T00:00:00"/>
    <s v="Apr-2023"/>
    <s v="Q2-2023"/>
    <m/>
    <d v="2023-04-11T00:00:00"/>
    <d v="2023-04-20T00:00:00"/>
    <n v="-9"/>
    <s v="Americas"/>
    <s v="USA"/>
    <s v="San Francisco"/>
    <m/>
    <s v="Education"/>
    <s v="Marketplace"/>
    <x v="2"/>
    <x v="1"/>
    <m/>
    <x v="340"/>
    <n v="32.1"/>
    <n v="70.599999999999994"/>
    <n v="70.599999999999994"/>
    <n v="0.28199999999999997"/>
    <n v="0.28199999999999997"/>
    <x v="2"/>
    <n v="1115.1975999999997"/>
    <n v="706.2"/>
    <x v="340"/>
    <n v="0.36674899587301818"/>
  </r>
  <r>
    <x v="340"/>
    <d v="2024-10-29T00:00:00"/>
    <s v="Oct-2024"/>
    <s v="Q4-2024"/>
    <m/>
    <d v="2024-11-04T00:00:00"/>
    <d v="2024-10-29T00:00:00"/>
    <n v="6"/>
    <s v="Africa"/>
    <s v="Kenya"/>
    <s v="Nairobi"/>
    <m/>
    <s v="Corporate"/>
    <s v="Distributor"/>
    <x v="12"/>
    <x v="0"/>
    <m/>
    <x v="341"/>
    <n v="805.81"/>
    <n v="1823.04"/>
    <n v="1823.04"/>
    <n v="0"/>
    <n v="0"/>
    <x v="21"/>
    <n v="20053.439999999999"/>
    <n v="8863.91"/>
    <x v="341"/>
    <n v="0.55798556257679477"/>
  </r>
  <r>
    <x v="341"/>
    <d v="2024-02-17T00:00:00"/>
    <s v="Feb-2024"/>
    <s v="Q1-2024"/>
    <m/>
    <d v="2024-03-04T00:00:00"/>
    <d v="2024-02-17T00:00:00"/>
    <n v="16"/>
    <s v="Asia"/>
    <s v="India"/>
    <s v="Delhi"/>
    <m/>
    <s v="Small Business"/>
    <s v="Marketplace"/>
    <x v="8"/>
    <x v="2"/>
    <m/>
    <x v="342"/>
    <n v="1231.8"/>
    <n v="2015.99"/>
    <n v="2015.99"/>
    <n v="0.26100000000000001"/>
    <n v="0.26100000000000001"/>
    <x v="7"/>
    <n v="8938.8996600000009"/>
    <n v="7390.7999999999993"/>
    <x v="342"/>
    <n v="0.17318682599464391"/>
  </r>
  <r>
    <x v="342"/>
    <d v="2024-07-13T00:00:00"/>
    <s v="Jul-2024"/>
    <s v="Q3-2024"/>
    <m/>
    <d v="2024-07-12T00:00:00"/>
    <d v="2024-07-20T00:00:00"/>
    <n v="-8"/>
    <s v="Asia"/>
    <s v="Japan"/>
    <s v="Nagoya"/>
    <m/>
    <s v="Small Business"/>
    <s v="Marketplace"/>
    <x v="8"/>
    <x v="1"/>
    <m/>
    <x v="343"/>
    <n v="105.13"/>
    <n v="244.13"/>
    <n v="244.13"/>
    <n v="7.0999999999999994E-2"/>
    <n v="7.0999999999999994E-2"/>
    <x v="16"/>
    <n v="3175.1547799999998"/>
    <n v="1471.82"/>
    <x v="343"/>
    <n v="0.53645724319618837"/>
  </r>
  <r>
    <x v="343"/>
    <d v="2023-12-01T00:00:00"/>
    <s v="Dec-2023"/>
    <s v="Q4-2023"/>
    <m/>
    <d v="2023-12-18T00:00:00"/>
    <d v="2023-12-01T00:00:00"/>
    <n v="17"/>
    <s v="Asia"/>
    <s v="Japan"/>
    <s v="Nagoya"/>
    <m/>
    <s v="Small Business"/>
    <s v="Direct"/>
    <x v="13"/>
    <x v="3"/>
    <m/>
    <x v="344"/>
    <n v="1495.79"/>
    <n v="2783.12"/>
    <n v="2783.12"/>
    <n v="0.02"/>
    <n v="0.02"/>
    <x v="27"/>
    <n v="13637.287999999999"/>
    <n v="7478.95"/>
    <x v="344"/>
    <n v="0.45158084217331185"/>
  </r>
  <r>
    <x v="344"/>
    <d v="2024-07-25T00:00:00"/>
    <s v="Jul-2024"/>
    <s v="Q3-2024"/>
    <m/>
    <d v="2024-08-02T00:00:00"/>
    <d v="2024-07-25T00:00:00"/>
    <n v="8"/>
    <s v="Americas"/>
    <s v="Canada"/>
    <s v="Montreal"/>
    <m/>
    <s v="Consumer"/>
    <s v="Direct"/>
    <x v="0"/>
    <x v="6"/>
    <m/>
    <x v="345"/>
    <n v="986.81"/>
    <n v="2050.31"/>
    <n v="2050.31"/>
    <n v="0.10299999999999999"/>
    <n v="0.10299999999999999"/>
    <x v="44"/>
    <n v="79082.507010000001"/>
    <n v="42432.829999999994"/>
    <x v="345"/>
    <n v="0.46343595310358138"/>
  </r>
  <r>
    <x v="345"/>
    <d v="2023-05-04T00:00:00"/>
    <s v="May-2023"/>
    <s v="Q2-2023"/>
    <m/>
    <d v="2023-05-16T00:00:00"/>
    <d v="2023-05-04T00:00:00"/>
    <n v="12"/>
    <s v="Africa"/>
    <s v="Nigeria"/>
    <s v="Abuja"/>
    <m/>
    <s v="Small Business"/>
    <s v="Marketplace"/>
    <x v="0"/>
    <x v="2"/>
    <m/>
    <x v="346"/>
    <n v="77.739999999999995"/>
    <n v="147.12"/>
    <n v="147.12"/>
    <n v="0"/>
    <n v="0"/>
    <x v="3"/>
    <n v="2206.8000000000002"/>
    <n v="1166.0999999999999"/>
    <x v="346"/>
    <n v="0.47158781946710177"/>
  </r>
  <r>
    <x v="346"/>
    <d v="2023-12-21T00:00:00"/>
    <s v="Dec-2023"/>
    <s v="Q4-2023"/>
    <m/>
    <d v="2024-01-06T00:00:00"/>
    <d v="2023-12-21T00:00:00"/>
    <n v="16"/>
    <s v="Africa"/>
    <s v="Nigeria"/>
    <s v="NOT ASSIGNED"/>
    <m/>
    <s v="Corporate"/>
    <s v="Marketplace"/>
    <x v="10"/>
    <x v="5"/>
    <m/>
    <x v="347"/>
    <n v="932.61"/>
    <n v="1982.98"/>
    <n v="1982.98"/>
    <n v="0.14399999999999999"/>
    <n v="0.14399999999999999"/>
    <x v="13"/>
    <n v="27158.894079999998"/>
    <n v="14921.76"/>
    <x v="347"/>
    <n v="0.45057556629345635"/>
  </r>
  <r>
    <x v="347"/>
    <d v="2025-06-17T00:00:00"/>
    <s v="Jun-2025"/>
    <s v="Q2-2025"/>
    <m/>
    <d v="2025-07-05T00:00:00"/>
    <d v="2025-06-17T00:00:00"/>
    <n v="18"/>
    <s v="Asia"/>
    <s v="India"/>
    <s v="Delhi"/>
    <m/>
    <s v="Consumer"/>
    <s v="Marketplace"/>
    <x v="3"/>
    <x v="3"/>
    <m/>
    <x v="348"/>
    <n v="982.93"/>
    <n v="2299.3000000000002"/>
    <n v="2299.3000000000002"/>
    <n v="0.113"/>
    <n v="0.113"/>
    <x v="7"/>
    <n v="12236.874600000001"/>
    <n v="5897.58"/>
    <x v="348"/>
    <n v="0.51804850562087157"/>
  </r>
  <r>
    <x v="348"/>
    <d v="2023-02-23T00:00:00"/>
    <s v="Feb-2023"/>
    <s v="Q1-2023"/>
    <m/>
    <d v="2023-03-08T00:00:00"/>
    <d v="2023-02-23T00:00:00"/>
    <n v="13"/>
    <s v="Europe"/>
    <s v="United Kingdom"/>
    <s v="Manchester"/>
    <m/>
    <s v="Small Business"/>
    <s v="Direct"/>
    <x v="11"/>
    <x v="0"/>
    <m/>
    <x v="349"/>
    <n v="307.37"/>
    <n v="462.61"/>
    <n v="462.61"/>
    <n v="0.188"/>
    <n v="0.188"/>
    <x v="21"/>
    <n v="4132.0325200000007"/>
    <n v="3381.07"/>
    <x v="349"/>
    <n v="0.18174167709599739"/>
  </r>
  <r>
    <x v="349"/>
    <d v="2023-12-02T00:00:00"/>
    <s v="Dec-2023"/>
    <s v="Q4-2023"/>
    <m/>
    <d v="2023-12-16T00:00:00"/>
    <d v="2023-12-02T00:00:00"/>
    <n v="14"/>
    <s v="Europe"/>
    <s v="Germany"/>
    <s v="Frankfurt"/>
    <m/>
    <s v="Education"/>
    <s v="Direct"/>
    <x v="13"/>
    <x v="4"/>
    <m/>
    <x v="350"/>
    <n v="879.08"/>
    <n v="1093.3900000000001"/>
    <n v="1093.3900000000001"/>
    <n v="0.113"/>
    <n v="0.113"/>
    <x v="17"/>
    <n v="16487.22781"/>
    <n v="14944.36"/>
    <x v="350"/>
    <n v="9.3579577341935186E-2"/>
  </r>
  <r>
    <x v="350"/>
    <d v="2023-07-14T00:00:00"/>
    <s v="Jul-2023"/>
    <s v="Q3-2023"/>
    <m/>
    <d v="2023-07-14T00:00:00"/>
    <d v="2023-07-14T00:00:00"/>
    <n v="0"/>
    <s v="Africa"/>
    <s v="Nigeria"/>
    <s v="Lagos"/>
    <m/>
    <s v="Education"/>
    <s v="Retail"/>
    <x v="1"/>
    <x v="6"/>
    <m/>
    <x v="351"/>
    <n v="956.38"/>
    <n v="1454.22"/>
    <n v="1454.22"/>
    <n v="3.9E-2"/>
    <n v="3.9E-2"/>
    <x v="14"/>
    <n v="26552.60298"/>
    <n v="18171.22"/>
    <x v="351"/>
    <n v="0.31565202802576603"/>
  </r>
  <r>
    <x v="351"/>
    <d v="2024-08-08T00:00:00"/>
    <s v="Aug-2024"/>
    <s v="Q3-2024"/>
    <m/>
    <d v="2024-08-20T00:00:00"/>
    <d v="2024-08-08T00:00:00"/>
    <n v="12"/>
    <s v="Asia"/>
    <s v="Japan"/>
    <s v="Osaka"/>
    <m/>
    <s v="Small Business"/>
    <s v="Retail"/>
    <x v="9"/>
    <x v="1"/>
    <m/>
    <x v="352"/>
    <n v="1233.3599999999999"/>
    <n v="2120.4"/>
    <n v="2120.4"/>
    <n v="0.17899999999999999"/>
    <n v="0.17899999999999999"/>
    <x v="9"/>
    <n v="34816.968000000001"/>
    <n v="24667.199999999997"/>
    <x v="352"/>
    <n v="0.29151785991244278"/>
  </r>
  <r>
    <x v="352"/>
    <d v="2024-11-07T00:00:00"/>
    <s v="Nov-2024"/>
    <s v="Q4-2024"/>
    <m/>
    <d v="2024-11-26T00:00:00"/>
    <d v="2024-11-07T00:00:00"/>
    <n v="19"/>
    <s v="Americas"/>
    <s v="Brazil"/>
    <s v="Rio de Janeiro"/>
    <m/>
    <s v="Non-Profit"/>
    <s v="Distributor"/>
    <x v="0"/>
    <x v="0"/>
    <m/>
    <x v="353"/>
    <n v="55.35"/>
    <n v="128.68"/>
    <n v="128.68"/>
    <n v="0.128"/>
    <n v="0.128"/>
    <x v="10"/>
    <n v="1122.0896000000002"/>
    <n v="553.5"/>
    <x v="353"/>
    <n v="0.50672388372550647"/>
  </r>
  <r>
    <x v="353"/>
    <d v="2024-01-01T00:00:00"/>
    <s v="Jan-2024"/>
    <s v="Q1-2024"/>
    <m/>
    <d v="2024-01-27T00:00:00"/>
    <d v="2024-01-01T00:00:00"/>
    <n v="26"/>
    <s v="Europe"/>
    <s v="United Kingdom"/>
    <s v="Manchester"/>
    <m/>
    <s v="Education"/>
    <s v="Distributor"/>
    <x v="14"/>
    <x v="6"/>
    <m/>
    <x v="354"/>
    <n v="657.45"/>
    <n v="1325.96"/>
    <n v="1325.96"/>
    <n v="0.16700000000000001"/>
    <n v="0.16700000000000001"/>
    <x v="42"/>
    <n v="23195.01828"/>
    <n v="13806.45"/>
    <x v="354"/>
    <n v="0.40476658249048808"/>
  </r>
  <r>
    <x v="354"/>
    <d v="2025-08-14T00:00:00"/>
    <s v="Aug-2025"/>
    <s v="Q3-2025"/>
    <m/>
    <d v="2025-09-11T00:00:00"/>
    <d v="2025-08-14T00:00:00"/>
    <n v="28"/>
    <s v="Americas"/>
    <s v="Brazil"/>
    <s v="São Paulo"/>
    <m/>
    <s v="Non-Profit"/>
    <s v="Direct"/>
    <x v="8"/>
    <x v="0"/>
    <m/>
    <x v="355"/>
    <n v="1203.02"/>
    <n v="2439.33"/>
    <n v="2439.33"/>
    <n v="0"/>
    <n v="0"/>
    <x v="6"/>
    <n v="43907.94"/>
    <n v="21654.36"/>
    <x v="355"/>
    <n v="0.50682359500354612"/>
  </r>
  <r>
    <x v="355"/>
    <d v="2024-04-03T00:00:00"/>
    <s v="Apr-2024"/>
    <s v="Q2-2024"/>
    <m/>
    <d v="2024-04-21T00:00:00"/>
    <d v="2024-04-03T00:00:00"/>
    <n v="18"/>
    <s v="Americas"/>
    <s v="Brazil"/>
    <s v="Brasília"/>
    <m/>
    <s v="Small Business"/>
    <s v="Distributor"/>
    <x v="4"/>
    <x v="1"/>
    <m/>
    <x v="356"/>
    <n v="1176.69"/>
    <n v="2201.54"/>
    <n v="2201.54"/>
    <n v="0.17"/>
    <n v="0.17"/>
    <x v="19"/>
    <n v="49336.511399999996"/>
    <n v="31770.63"/>
    <x v="356"/>
    <n v="0.35604222717701106"/>
  </r>
  <r>
    <x v="356"/>
    <d v="2024-11-25T00:00:00"/>
    <s v="Nov-2024"/>
    <s v="Q4-2024"/>
    <m/>
    <d v="2024-12-07T00:00:00"/>
    <d v="2024-11-25T00:00:00"/>
    <n v="12"/>
    <s v="Asia"/>
    <s v="China"/>
    <s v="Shanghai"/>
    <m/>
    <s v="Corporate"/>
    <s v="Distributor"/>
    <x v="7"/>
    <x v="6"/>
    <m/>
    <x v="357"/>
    <n v="769.9"/>
    <n v="814.36"/>
    <n v="814.36"/>
    <n v="0"/>
    <n v="0"/>
    <x v="27"/>
    <n v="4071.8"/>
    <n v="3849.5"/>
    <x v="357"/>
    <n v="5.4595019401738831E-2"/>
  </r>
  <r>
    <x v="357"/>
    <d v="2024-01-18T00:00:00"/>
    <s v="Jan-2024"/>
    <s v="Q1-2024"/>
    <m/>
    <d v="2024-02-03T00:00:00"/>
    <d v="2024-01-18T00:00:00"/>
    <n v="16"/>
    <s v="Africa"/>
    <s v="South Africa"/>
    <s v="Cape Town"/>
    <m/>
    <s v="Non-Profit"/>
    <s v="Distributor"/>
    <x v="3"/>
    <x v="0"/>
    <m/>
    <x v="358"/>
    <n v="666.23"/>
    <n v="1382.91"/>
    <n v="1382.91"/>
    <n v="0.17599999999999999"/>
    <n v="0.17599999999999999"/>
    <x v="20"/>
    <n v="14813.731920000002"/>
    <n v="8660.99"/>
    <x v="358"/>
    <n v="0.41534043907553048"/>
  </r>
  <r>
    <x v="358"/>
    <d v="2024-06-23T00:00:00"/>
    <s v="Jun-2024"/>
    <s v="Q2-2024"/>
    <m/>
    <d v="2024-06-25T00:00:00"/>
    <d v="2024-06-23T00:00:00"/>
    <n v="2"/>
    <s v="Europe"/>
    <s v="United Kingdom"/>
    <s v="Birmingham"/>
    <m/>
    <s v="Small Business"/>
    <s v="Marketplace"/>
    <x v="3"/>
    <x v="6"/>
    <m/>
    <x v="359"/>
    <n v="951.44"/>
    <n v="1646.43"/>
    <n v="1646.43"/>
    <n v="0.11"/>
    <n v="0.11"/>
    <x v="22"/>
    <n v="35167.7448"/>
    <n v="22834.560000000001"/>
    <x v="359"/>
    <n v="0.35069592520473475"/>
  </r>
  <r>
    <x v="359"/>
    <d v="2025-06-25T00:00:00"/>
    <s v="Jun-2025"/>
    <s v="Q2-2025"/>
    <m/>
    <d v="2025-07-10T00:00:00"/>
    <d v="2025-06-25T00:00:00"/>
    <n v="15"/>
    <s v="Europe"/>
    <s v="United Kingdom"/>
    <s v="Birmingham"/>
    <m/>
    <s v="Non-Profit"/>
    <s v="Marketplace"/>
    <x v="14"/>
    <x v="2"/>
    <m/>
    <x v="360"/>
    <n v="546.83000000000004"/>
    <n v="400.84"/>
    <n v="400.84"/>
    <n v="7.8E-2"/>
    <n v="7.8E-2"/>
    <x v="20"/>
    <n v="4804.4682400000002"/>
    <n v="7108.7900000000009"/>
    <x v="360"/>
    <n v="-0.47962056254533608"/>
  </r>
  <r>
    <x v="360"/>
    <d v="2023-07-01T00:00:00"/>
    <s v="Jul-2023"/>
    <s v="Q3-2023"/>
    <m/>
    <d v="2023-07-08T00:00:00"/>
    <d v="2023-07-01T00:00:00"/>
    <n v="7"/>
    <s v="Africa"/>
    <s v="Nigeria"/>
    <s v="Port Harcourt"/>
    <m/>
    <s v="Corporate"/>
    <s v="Retail"/>
    <x v="7"/>
    <x v="3"/>
    <m/>
    <x v="361"/>
    <n v="834.26"/>
    <n v="1780.56"/>
    <n v="1780.56"/>
    <n v="1.4E-2"/>
    <n v="1.4E-2"/>
    <x v="36"/>
    <n v="82514.711519999997"/>
    <n v="39210.22"/>
    <x v="361"/>
    <n v="0.5248093427497933"/>
  </r>
  <r>
    <x v="361"/>
    <d v="2024-03-09T00:00:00"/>
    <s v="Mar-2024"/>
    <s v="Q1-2024"/>
    <m/>
    <d v="2024-03-26T00:00:00"/>
    <d v="2024-03-09T00:00:00"/>
    <n v="17"/>
    <s v="Asia"/>
    <s v="China"/>
    <s v="Shenzhen"/>
    <m/>
    <s v="Enterprise"/>
    <s v="Online"/>
    <x v="10"/>
    <x v="4"/>
    <m/>
    <x v="362"/>
    <n v="1029.67"/>
    <n v="1118.43"/>
    <n v="1118.43"/>
    <n v="0.27200000000000002"/>
    <n v="0.27200000000000002"/>
    <x v="11"/>
    <n v="7327.9533600000004"/>
    <n v="9267.0300000000007"/>
    <x v="362"/>
    <n v="-0.26461367106736061"/>
  </r>
  <r>
    <x v="362"/>
    <d v="2023-06-05T00:00:00"/>
    <s v="Jun-2023"/>
    <s v="Q2-2023"/>
    <m/>
    <d v="2023-06-28T00:00:00"/>
    <d v="2023-06-05T00:00:00"/>
    <n v="23"/>
    <s v="Europe"/>
    <s v="United Kingdom"/>
    <s v="Birmingham"/>
    <m/>
    <s v="Corporate"/>
    <s v="Direct"/>
    <x v="10"/>
    <x v="0"/>
    <m/>
    <x v="363"/>
    <n v="605.82000000000005"/>
    <n v="771.12"/>
    <n v="771.12"/>
    <n v="0.13200000000000001"/>
    <n v="0.13200000000000001"/>
    <x v="14"/>
    <n v="12717.311040000001"/>
    <n v="11510.580000000002"/>
    <x v="363"/>
    <n v="9.4888851597986767E-2"/>
  </r>
  <r>
    <x v="363"/>
    <d v="2025-03-21T00:00:00"/>
    <s v="Mar-2025"/>
    <s v="Q1-2025"/>
    <m/>
    <d v="2025-04-09T00:00:00"/>
    <d v="2025-03-21T00:00:00"/>
    <n v="19"/>
    <s v="Asia"/>
    <s v="Japan"/>
    <s v="Tokyo"/>
    <m/>
    <s v="Small Business"/>
    <s v="Distributor"/>
    <x v="5"/>
    <x v="5"/>
    <m/>
    <x v="364"/>
    <n v="1055.45"/>
    <n v="1210.04"/>
    <n v="1210.04"/>
    <n v="8.9999999999999993E-3"/>
    <n v="8.9999999999999993E-3"/>
    <x v="6"/>
    <n v="21584.693520000001"/>
    <n v="18998.100000000002"/>
    <x v="364"/>
    <n v="0.1198346188053727"/>
  </r>
  <r>
    <x v="364"/>
    <d v="2024-06-02T00:00:00"/>
    <s v="Jun-2024"/>
    <s v="Q2-2024"/>
    <m/>
    <d v="2024-06-15T00:00:00"/>
    <d v="2024-06-02T00:00:00"/>
    <n v="13"/>
    <s v="Africa"/>
    <s v="Kenya"/>
    <s v="Mombasa"/>
    <m/>
    <s v="Education"/>
    <s v="Online"/>
    <x v="6"/>
    <x v="2"/>
    <m/>
    <x v="365"/>
    <n v="1295.18"/>
    <n v="3024.03"/>
    <n v="3024.03"/>
    <n v="0.192"/>
    <n v="0.192"/>
    <x v="15"/>
    <n v="19547.329920000004"/>
    <n v="10361.44"/>
    <x v="365"/>
    <n v="0.46993067378483178"/>
  </r>
  <r>
    <x v="365"/>
    <d v="2025-03-15T00:00:00"/>
    <s v="Mar-2025"/>
    <s v="Q1-2025"/>
    <m/>
    <d v="2025-03-29T00:00:00"/>
    <d v="2025-03-15T00:00:00"/>
    <n v="14"/>
    <s v="Asia"/>
    <s v="India"/>
    <s v="Mumbai"/>
    <m/>
    <s v="Enterprise"/>
    <s v="Direct"/>
    <x v="11"/>
    <x v="5"/>
    <m/>
    <x v="366"/>
    <n v="935.83"/>
    <n v="2303.46"/>
    <n v="2303.46"/>
    <n v="0.105"/>
    <n v="0.105"/>
    <x v="11"/>
    <n v="18554.370299999999"/>
    <n v="8422.4700000000012"/>
    <x v="366"/>
    <n v="0.54606543559174292"/>
  </r>
  <r>
    <x v="366"/>
    <d v="2023-09-25T00:00:00"/>
    <s v="Sep-2023"/>
    <s v="Q3-2023"/>
    <m/>
    <d v="2023-10-09T00:00:00"/>
    <d v="2023-09-25T00:00:00"/>
    <n v="14"/>
    <s v="Americas"/>
    <s v="USA"/>
    <s v="New York"/>
    <m/>
    <s v="Small Business"/>
    <s v="Marketplace"/>
    <x v="0"/>
    <x v="3"/>
    <m/>
    <x v="367"/>
    <n v="1279.56"/>
    <n v="3083.8"/>
    <n v="3083.8"/>
    <n v="0.106"/>
    <n v="0.106"/>
    <x v="27"/>
    <n v="13784.586000000001"/>
    <n v="6397.7999999999993"/>
    <x v="367"/>
    <n v="0.53587289455047848"/>
  </r>
  <r>
    <x v="367"/>
    <d v="2025-06-24T00:00:00"/>
    <s v="Jun-2025"/>
    <s v="Q2-2025"/>
    <m/>
    <d v="2025-07-23T00:00:00"/>
    <d v="2025-06-24T00:00:00"/>
    <n v="29"/>
    <s v="Americas"/>
    <s v="Canada"/>
    <s v="Vancouver"/>
    <m/>
    <s v="Non-Profit"/>
    <s v="Marketplace"/>
    <x v="1"/>
    <x v="0"/>
    <m/>
    <x v="368"/>
    <n v="255.4"/>
    <n v="322.70999999999998"/>
    <n v="322.70999999999998"/>
    <n v="0.115"/>
    <n v="0.115"/>
    <x v="13"/>
    <n v="4569.5735999999997"/>
    <n v="4086.4"/>
    <x v="368"/>
    <n v="0.10573713048412212"/>
  </r>
  <r>
    <x v="368"/>
    <d v="2023-12-26T00:00:00"/>
    <s v="Dec-2023"/>
    <s v="Q4-2023"/>
    <m/>
    <d v="2024-01-03T00:00:00"/>
    <d v="2023-12-26T00:00:00"/>
    <n v="8"/>
    <s v="Europe"/>
    <s v="France"/>
    <s v="Lyon"/>
    <m/>
    <s v="Small Business"/>
    <s v="Retail"/>
    <x v="12"/>
    <x v="3"/>
    <m/>
    <x v="369"/>
    <n v="492.75"/>
    <n v="731.29"/>
    <n v="731.29"/>
    <n v="5.8000000000000003E-2"/>
    <n v="5.8000000000000003E-2"/>
    <x v="7"/>
    <n v="4133.25108"/>
    <n v="2956.5"/>
    <x v="369"/>
    <n v="0.28470350753528384"/>
  </r>
  <r>
    <x v="369"/>
    <d v="2023-02-05T00:00:00"/>
    <s v="Feb-2023"/>
    <s v="Q1-2023"/>
    <m/>
    <d v="2023-02-28T00:00:00"/>
    <d v="2023-02-05T00:00:00"/>
    <n v="23"/>
    <s v="Americas"/>
    <s v="USA"/>
    <s v="Austin"/>
    <m/>
    <s v="Non-Profit"/>
    <s v="Distributor"/>
    <x v="3"/>
    <x v="2"/>
    <m/>
    <x v="370"/>
    <n v="1214.49"/>
    <n v="1533.95"/>
    <n v="1533.95"/>
    <n v="0"/>
    <n v="0"/>
    <x v="21"/>
    <n v="16873.45"/>
    <n v="13359.39"/>
    <x v="370"/>
    <n v="0.20825972163369086"/>
  </r>
  <r>
    <x v="370"/>
    <d v="2023-04-06T00:00:00"/>
    <s v="Apr-2023"/>
    <s v="Q2-2023"/>
    <m/>
    <d v="2023-04-08T00:00:00"/>
    <d v="2023-04-06T00:00:00"/>
    <n v="2"/>
    <s v="Africa"/>
    <s v="Nigeria"/>
    <s v="Abuja"/>
    <m/>
    <s v="Small Business"/>
    <s v="Marketplace"/>
    <x v="10"/>
    <x v="4"/>
    <m/>
    <x v="371"/>
    <n v="720.35"/>
    <n v="1571.66"/>
    <n v="1571.66"/>
    <n v="0.107"/>
    <n v="0.107"/>
    <x v="8"/>
    <n v="32280.32474"/>
    <n v="16568.05"/>
    <x v="371"/>
    <n v="0.4867446305622265"/>
  </r>
  <r>
    <x v="371"/>
    <d v="2025-04-04T00:00:00"/>
    <s v="Apr-2025"/>
    <s v="Q2-2025"/>
    <m/>
    <d v="2025-04-10T00:00:00"/>
    <d v="2025-04-04T00:00:00"/>
    <n v="6"/>
    <s v="Europe"/>
    <s v="United Kingdom"/>
    <s v="Birmingham"/>
    <m/>
    <s v="Non-Profit"/>
    <s v="Direct"/>
    <x v="13"/>
    <x v="0"/>
    <m/>
    <x v="372"/>
    <n v="290.14"/>
    <n v="250.73"/>
    <n v="250.73"/>
    <n v="3.4000000000000002E-2"/>
    <n v="3.4000000000000002E-2"/>
    <x v="17"/>
    <n v="4117.4880599999997"/>
    <n v="4932.38"/>
    <x v="372"/>
    <n v="-0.19790997038131072"/>
  </r>
  <r>
    <x v="372"/>
    <d v="2024-05-17T00:00:00"/>
    <s v="May-2024"/>
    <s v="Q2-2024"/>
    <m/>
    <d v="2024-05-27T00:00:00"/>
    <d v="2024-05-17T00:00:00"/>
    <n v="10"/>
    <s v="Americas"/>
    <s v="USA"/>
    <s v="Austin"/>
    <m/>
    <s v="Non-Profit"/>
    <s v="Online"/>
    <x v="11"/>
    <x v="2"/>
    <m/>
    <x v="373"/>
    <n v="1484.23"/>
    <n v="3472.81"/>
    <n v="3472.81"/>
    <n v="0.25600000000000001"/>
    <n v="0.25600000000000001"/>
    <x v="1"/>
    <n v="31005.24768"/>
    <n v="17810.760000000002"/>
    <x v="373"/>
    <n v="0.42555659661803413"/>
  </r>
  <r>
    <x v="373"/>
    <d v="2024-03-03T00:00:00"/>
    <s v="Mar-2024"/>
    <s v="Q1-2024"/>
    <m/>
    <d v="2024-03-19T00:00:00"/>
    <d v="2024-03-03T00:00:00"/>
    <n v="16"/>
    <s v="Asia"/>
    <s v="China"/>
    <s v="Beijing"/>
    <m/>
    <s v="Consumer"/>
    <s v="Distributor"/>
    <x v="2"/>
    <x v="2"/>
    <m/>
    <x v="374"/>
    <n v="988.83"/>
    <n v="1206.04"/>
    <n v="1206.04"/>
    <n v="6.3E-2"/>
    <n v="6.3E-2"/>
    <x v="45"/>
    <n v="38422.022320000004"/>
    <n v="33620.22"/>
    <x v="374"/>
    <n v="0.12497526236406606"/>
  </r>
  <r>
    <x v="374"/>
    <d v="2025-06-27T00:00:00"/>
    <s v="Jun-2025"/>
    <s v="Q2-2025"/>
    <m/>
    <d v="2025-07-11T00:00:00"/>
    <d v="2025-06-27T00:00:00"/>
    <n v="14"/>
    <s v="Asia"/>
    <s v="China"/>
    <s v="Shanghai"/>
    <m/>
    <s v="Small Business"/>
    <s v="Marketplace"/>
    <x v="3"/>
    <x v="1"/>
    <m/>
    <x v="375"/>
    <n v="1227.7"/>
    <n v="2197.23"/>
    <n v="2197.23"/>
    <n v="9.9000000000000005E-2"/>
    <n v="9.9000000000000005E-2"/>
    <x v="2"/>
    <n v="43553.493060000001"/>
    <n v="27009.4"/>
    <x v="375"/>
    <n v="0.37985685871873898"/>
  </r>
  <r>
    <x v="375"/>
    <d v="2023-03-13T00:00:00"/>
    <s v="Mar-2023"/>
    <s v="Q1-2023"/>
    <m/>
    <d v="2023-04-04T00:00:00"/>
    <d v="2023-03-13T00:00:00"/>
    <n v="22"/>
    <s v="Africa"/>
    <s v="South Africa"/>
    <s v="Durban"/>
    <m/>
    <s v="Small Business"/>
    <s v="Retail"/>
    <x v="7"/>
    <x v="5"/>
    <m/>
    <x v="376"/>
    <n v="1113.7"/>
    <n v="1620.6"/>
    <n v="1620.6"/>
    <n v="0.13900000000000001"/>
    <n v="0.13900000000000001"/>
    <x v="21"/>
    <n v="15348.702599999999"/>
    <n v="12250.7"/>
    <x v="376"/>
    <n v="0.20184133348182787"/>
  </r>
  <r>
    <x v="376"/>
    <d v="2025-01-07T00:00:00"/>
    <s v="Jan-2025"/>
    <s v="Q1-2025"/>
    <m/>
    <d v="2025-01-20T00:00:00"/>
    <d v="2025-01-07T00:00:00"/>
    <n v="13"/>
    <s v="Africa"/>
    <s v="South Africa"/>
    <s v="Cape Town"/>
    <m/>
    <s v="Corporate"/>
    <s v="Direct"/>
    <x v="10"/>
    <x v="1"/>
    <m/>
    <x v="377"/>
    <n v="432.13"/>
    <n v="1034.6600000000001"/>
    <n v="1034.6600000000001"/>
    <n v="9.1999999999999998E-2"/>
    <n v="9.1999999999999998E-2"/>
    <x v="4"/>
    <n v="6576.298960000001"/>
    <n v="3024.91"/>
    <x v="377"/>
    <n v="0.54002851476204794"/>
  </r>
  <r>
    <x v="377"/>
    <d v="2025-02-06T00:00:00"/>
    <s v="Feb-2025"/>
    <s v="Q1-2025"/>
    <m/>
    <d v="2025-02-15T00:00:00"/>
    <d v="2025-02-06T00:00:00"/>
    <n v="9"/>
    <s v="Americas"/>
    <s v="Brazil"/>
    <s v="São Paulo"/>
    <m/>
    <s v="Non-Profit"/>
    <s v="Distributor"/>
    <x v="8"/>
    <x v="1"/>
    <m/>
    <x v="378"/>
    <n v="837.39"/>
    <n v="1905.42"/>
    <n v="1905.42"/>
    <n v="3.2000000000000001E-2"/>
    <n v="3.2000000000000001E-2"/>
    <x v="6"/>
    <n v="33200.038079999998"/>
    <n v="15073.02"/>
    <x v="378"/>
    <n v="0.54599389423350919"/>
  </r>
  <r>
    <x v="378"/>
    <d v="2025-01-31T00:00:00"/>
    <s v="Jan-2025"/>
    <s v="Q1-2025"/>
    <m/>
    <d v="2025-02-17T00:00:00"/>
    <d v="2025-01-31T00:00:00"/>
    <n v="17"/>
    <s v="Europe"/>
    <s v="United Kingdom"/>
    <s v="London"/>
    <m/>
    <s v="Enterprise"/>
    <s v="Retail"/>
    <x v="9"/>
    <x v="5"/>
    <m/>
    <x v="77"/>
    <n v="378.26"/>
    <n v="541.55999999999995"/>
    <n v="541.55999999999995"/>
    <n v="0.16300000000000001"/>
    <n v="0.16300000000000001"/>
    <x v="30"/>
    <n v="11332.142999999998"/>
    <n v="9456.5"/>
    <x v="379"/>
    <n v="0.16551529573885526"/>
  </r>
  <r>
    <x v="379"/>
    <d v="2025-08-07T00:00:00"/>
    <s v="Aug-2025"/>
    <s v="Q3-2025"/>
    <m/>
    <d v="2025-09-06T00:00:00"/>
    <d v="2025-08-07T00:00:00"/>
    <n v="30"/>
    <s v="Americas"/>
    <s v="Canada"/>
    <s v="Montreal"/>
    <m/>
    <s v="Education"/>
    <s v="Direct"/>
    <x v="12"/>
    <x v="1"/>
    <m/>
    <x v="379"/>
    <n v="833.73"/>
    <n v="1116.5999999999999"/>
    <n v="1116.5999999999999"/>
    <n v="0.17599999999999999"/>
    <n v="0.17599999999999999"/>
    <x v="16"/>
    <n v="12881.097599999999"/>
    <n v="11672.220000000001"/>
    <x v="380"/>
    <n v="9.3848958958279924E-2"/>
  </r>
  <r>
    <x v="380"/>
    <d v="2025-07-23T00:00:00"/>
    <s v="Jul-2025"/>
    <s v="Q3-2025"/>
    <m/>
    <d v="2025-08-17T00:00:00"/>
    <d v="2025-07-23T00:00:00"/>
    <n v="25"/>
    <s v="Europe"/>
    <s v="United Kingdom"/>
    <s v="Birmingham"/>
    <m/>
    <s v="Education"/>
    <s v="Online"/>
    <x v="1"/>
    <x v="0"/>
    <m/>
    <x v="380"/>
    <n v="1142.06"/>
    <n v="1455"/>
    <n v="1455"/>
    <n v="7.8E-2"/>
    <n v="7.8E-2"/>
    <x v="12"/>
    <n v="37562.28"/>
    <n v="31977.68"/>
    <x v="381"/>
    <n v="0.1486757459877302"/>
  </r>
  <r>
    <x v="381"/>
    <d v="2023-06-20T00:00:00"/>
    <s v="Jun-2023"/>
    <s v="Q2-2023"/>
    <m/>
    <d v="2023-07-08T00:00:00"/>
    <d v="2023-06-20T00:00:00"/>
    <n v="18"/>
    <s v="Americas"/>
    <s v="USA"/>
    <s v="New York"/>
    <m/>
    <s v="Consumer"/>
    <s v="Marketplace"/>
    <x v="6"/>
    <x v="1"/>
    <m/>
    <x v="381"/>
    <n v="1145.53"/>
    <n v="1278.3"/>
    <n v="1278.3"/>
    <n v="0.09"/>
    <n v="0.09"/>
    <x v="39"/>
    <n v="47693.373"/>
    <n v="46966.729999999996"/>
    <x v="382"/>
    <n v="1.5235722581416158E-2"/>
  </r>
  <r>
    <x v="382"/>
    <d v="2024-07-18T00:00:00"/>
    <s v="Jul-2024"/>
    <s v="Q3-2024"/>
    <m/>
    <d v="2024-08-07T00:00:00"/>
    <d v="2024-07-18T00:00:00"/>
    <n v="20"/>
    <s v="Europe"/>
    <s v="France"/>
    <s v="Marseille"/>
    <m/>
    <s v="Corporate"/>
    <s v="Retail"/>
    <x v="8"/>
    <x v="4"/>
    <m/>
    <x v="382"/>
    <n v="941.35"/>
    <n v="899.83"/>
    <n v="899.83"/>
    <n v="5.8000000000000003E-2"/>
    <n v="5.8000000000000003E-2"/>
    <x v="6"/>
    <n v="15257.51748"/>
    <n v="16944.3"/>
    <x v="383"/>
    <n v="-0.11055419220139073"/>
  </r>
  <r>
    <x v="383"/>
    <d v="2023-05-20T00:00:00"/>
    <s v="May-2023"/>
    <s v="Q2-2023"/>
    <m/>
    <d v="2023-06-19T00:00:00"/>
    <d v="2023-05-20T00:00:00"/>
    <n v="30"/>
    <s v="Asia"/>
    <s v="India"/>
    <s v="Delhi"/>
    <m/>
    <s v="Non-Profit"/>
    <s v="Marketplace"/>
    <x v="9"/>
    <x v="3"/>
    <m/>
    <x v="383"/>
    <n v="1161.2"/>
    <n v="878.73"/>
    <n v="878.73"/>
    <n v="0.19"/>
    <n v="0.19"/>
    <x v="0"/>
    <n v="22064.910300000003"/>
    <n v="35997.200000000004"/>
    <x v="384"/>
    <n v="-0.63142290227212028"/>
  </r>
  <r>
    <x v="384"/>
    <d v="2025-05-12T00:00:00"/>
    <s v="May-2025"/>
    <s v="Q2-2025"/>
    <m/>
    <d v="2025-05-26T00:00:00"/>
    <d v="2025-05-12T00:00:00"/>
    <n v="14"/>
    <s v="Asia"/>
    <s v="India"/>
    <s v="Hyderabad"/>
    <m/>
    <s v="Corporate"/>
    <s v="Marketplace"/>
    <x v="2"/>
    <x v="0"/>
    <m/>
    <x v="384"/>
    <n v="320.12"/>
    <n v="594.41999999999996"/>
    <n v="594.41999999999996"/>
    <n v="0.104"/>
    <n v="0.104"/>
    <x v="6"/>
    <n v="9586.8057599999993"/>
    <n v="5762.16"/>
    <x v="385"/>
    <n v="0.39894891538931104"/>
  </r>
  <r>
    <x v="385"/>
    <d v="2024-05-07T00:00:00"/>
    <s v="May-2024"/>
    <s v="Q2-2024"/>
    <m/>
    <d v="2024-05-12T00:00:00"/>
    <d v="2024-05-07T00:00:00"/>
    <n v="5"/>
    <s v="Africa"/>
    <s v="Nigeria"/>
    <s v="Abuja"/>
    <m/>
    <s v="Non-Profit"/>
    <s v="Distributor"/>
    <x v="3"/>
    <x v="3"/>
    <m/>
    <x v="385"/>
    <n v="1163.99"/>
    <n v="1617.85"/>
    <n v="1617.85"/>
    <n v="0.127"/>
    <n v="0.127"/>
    <x v="16"/>
    <n v="19773.362699999998"/>
    <n v="16295.86"/>
    <x v="386"/>
    <n v="0.17586804797749436"/>
  </r>
  <r>
    <x v="386"/>
    <d v="2023-09-30T00:00:00"/>
    <s v="Sep-2023"/>
    <s v="Q3-2023"/>
    <m/>
    <d v="2023-10-03T00:00:00"/>
    <d v="2023-09-30T00:00:00"/>
    <n v="3"/>
    <s v="Asia"/>
    <s v="China"/>
    <s v="Beijing"/>
    <m/>
    <s v="Non-Profit"/>
    <s v="Retail"/>
    <x v="0"/>
    <x v="3"/>
    <m/>
    <x v="386"/>
    <n v="1019.36"/>
    <n v="972.91"/>
    <n v="972.91"/>
    <n v="0.14699999999999999"/>
    <n v="0.14699999999999999"/>
    <x v="17"/>
    <n v="14108.16791"/>
    <n v="17329.12"/>
    <x v="387"/>
    <n v="-0.22830406545678819"/>
  </r>
  <r>
    <x v="387"/>
    <d v="2023-10-26T00:00:00"/>
    <s v="Oct-2023"/>
    <s v="Q4-2023"/>
    <m/>
    <d v="2023-11-05T00:00:00"/>
    <d v="2023-10-26T00:00:00"/>
    <n v="10"/>
    <s v="Africa"/>
    <s v="South Africa"/>
    <s v="Cape Town"/>
    <m/>
    <s v="Non-Profit"/>
    <s v="Online"/>
    <x v="1"/>
    <x v="3"/>
    <m/>
    <x v="387"/>
    <n v="20.38"/>
    <n v="42.56"/>
    <n v="42.56"/>
    <n v="7.1999999999999995E-2"/>
    <n v="7.1999999999999995E-2"/>
    <x v="21"/>
    <n v="434.45248000000004"/>
    <n v="224.17999999999998"/>
    <x v="388"/>
    <n v="0.48399419885921713"/>
  </r>
  <r>
    <x v="388"/>
    <d v="2025-06-15T00:00:00"/>
    <s v="Jun-2025"/>
    <s v="Q2-2025"/>
    <m/>
    <d v="2025-06-30T00:00:00"/>
    <d v="2025-06-15T00:00:00"/>
    <n v="15"/>
    <s v="Africa"/>
    <s v="South Africa"/>
    <s v="Johannesburg"/>
    <m/>
    <s v="Small Business"/>
    <s v="Direct"/>
    <x v="11"/>
    <x v="4"/>
    <m/>
    <x v="388"/>
    <n v="1487.59"/>
    <n v="1480.83"/>
    <n v="1480.83"/>
    <n v="8.9999999999999993E-3"/>
    <n v="8.9999999999999993E-3"/>
    <x v="21"/>
    <n v="16142.527829999999"/>
    <n v="16363.49"/>
    <x v="389"/>
    <n v="-1.3688201273492908E-2"/>
  </r>
  <r>
    <x v="389"/>
    <d v="2024-08-10T00:00:00"/>
    <s v="Aug-2024"/>
    <s v="Q3-2024"/>
    <m/>
    <d v="2024-09-07T00:00:00"/>
    <d v="2024-08-10T00:00:00"/>
    <n v="28"/>
    <s v="Europe"/>
    <s v="France"/>
    <s v="Marseille"/>
    <m/>
    <s v="Non-Profit"/>
    <s v="Direct"/>
    <x v="8"/>
    <x v="0"/>
    <m/>
    <x v="389"/>
    <n v="229.96"/>
    <n v="564.26"/>
    <n v="564.26"/>
    <n v="0.105"/>
    <n v="0.105"/>
    <x v="27"/>
    <n v="2525.0635000000002"/>
    <n v="1149.8"/>
    <x v="390"/>
    <n v="0.54464511486542821"/>
  </r>
  <r>
    <x v="390"/>
    <d v="2023-10-09T00:00:00"/>
    <s v="Oct-2023"/>
    <s v="Q4-2023"/>
    <m/>
    <d v="2023-10-26T00:00:00"/>
    <d v="2023-10-09T00:00:00"/>
    <n v="17"/>
    <s v="Asia"/>
    <s v="China"/>
    <s v="Shanghai"/>
    <m/>
    <s v="Consumer"/>
    <s v="Marketplace"/>
    <x v="11"/>
    <x v="5"/>
    <m/>
    <x v="390"/>
    <n v="1132.03"/>
    <n v="2137.21"/>
    <n v="2137.21"/>
    <n v="0.35699999999999998"/>
    <n v="0.35699999999999998"/>
    <x v="46"/>
    <n v="48097.911050000002"/>
    <n v="39621.049999999996"/>
    <x v="391"/>
    <n v="0.17624177152284051"/>
  </r>
  <r>
    <x v="391"/>
    <d v="2024-03-09T00:00:00"/>
    <s v="Mar-2024"/>
    <s v="Q1-2024"/>
    <m/>
    <d v="2024-03-26T00:00:00"/>
    <d v="2024-03-09T00:00:00"/>
    <n v="17"/>
    <s v="Americas"/>
    <s v="USA"/>
    <s v="San Francisco"/>
    <m/>
    <s v="Education"/>
    <s v="Direct"/>
    <x v="1"/>
    <x v="2"/>
    <m/>
    <x v="391"/>
    <n v="1137.4100000000001"/>
    <n v="1680.93"/>
    <n v="1680.93"/>
    <n v="0.254"/>
    <n v="0.254"/>
    <x v="11"/>
    <n v="11285.764020000001"/>
    <n v="10236.69"/>
    <x v="392"/>
    <n v="9.2955516183121464E-2"/>
  </r>
  <r>
    <x v="392"/>
    <d v="2023-05-29T00:00:00"/>
    <s v="May-2023"/>
    <s v="Q2-2023"/>
    <m/>
    <d v="2023-06-20T00:00:00"/>
    <d v="2023-05-29T00:00:00"/>
    <n v="22"/>
    <s v="Europe"/>
    <s v="United Kingdom"/>
    <s v="London"/>
    <m/>
    <s v="Small Business"/>
    <s v="Direct"/>
    <x v="10"/>
    <x v="5"/>
    <m/>
    <x v="392"/>
    <n v="1295.3900000000001"/>
    <n v="2905.06"/>
    <n v="2905.06"/>
    <n v="0.14799999999999999"/>
    <n v="0.14799999999999999"/>
    <x v="15"/>
    <n v="19800.88896"/>
    <n v="10363.120000000001"/>
    <x v="393"/>
    <n v="0.47663359857556614"/>
  </r>
  <r>
    <x v="393"/>
    <d v="2025-05-27T00:00:00"/>
    <s v="May-2025"/>
    <s v="Q2-2025"/>
    <m/>
    <d v="2025-06-08T00:00:00"/>
    <d v="2025-05-27T00:00:00"/>
    <n v="12"/>
    <s v="Asia"/>
    <s v="Japan"/>
    <s v="Osaka"/>
    <m/>
    <s v="Corporate"/>
    <s v="Retail"/>
    <x v="9"/>
    <x v="6"/>
    <m/>
    <x v="393"/>
    <n v="653.6"/>
    <n v="842.09"/>
    <n v="842.09"/>
    <n v="9.8000000000000004E-2"/>
    <n v="9.8000000000000004E-2"/>
    <x v="14"/>
    <n v="14431.738420000001"/>
    <n v="12418.4"/>
    <x v="394"/>
    <n v="0.13950768517324622"/>
  </r>
  <r>
    <x v="394"/>
    <d v="2025-08-21T00:00:00"/>
    <s v="Aug-2025"/>
    <s v="Q3-2025"/>
    <m/>
    <d v="2025-09-14T00:00:00"/>
    <d v="2025-08-21T00:00:00"/>
    <n v="24"/>
    <s v="Europe"/>
    <s v="Germany"/>
    <s v="Berlin"/>
    <m/>
    <s v="Non-Profit"/>
    <s v="Online"/>
    <x v="7"/>
    <x v="4"/>
    <m/>
    <x v="394"/>
    <n v="1397.67"/>
    <n v="3131.37"/>
    <n v="3131.37"/>
    <n v="0.10299999999999999"/>
    <n v="0.10299999999999999"/>
    <x v="9"/>
    <n v="56176.777799999996"/>
    <n v="27953.4"/>
    <x v="395"/>
    <n v="0.50240293062874808"/>
  </r>
  <r>
    <x v="395"/>
    <d v="2024-12-12T00:00:00"/>
    <s v="Dec-2024"/>
    <s v="Q4-2024"/>
    <m/>
    <d v="2024-12-20T00:00:00"/>
    <d v="2024-12-12T00:00:00"/>
    <n v="8"/>
    <s v="Asia"/>
    <s v="Japan"/>
    <s v="Tokyo"/>
    <m/>
    <s v="Corporate"/>
    <s v="Retail"/>
    <x v="4"/>
    <x v="3"/>
    <m/>
    <x v="395"/>
    <n v="1202.47"/>
    <n v="1444.72"/>
    <n v="1444.72"/>
    <n v="0.24099999999999999"/>
    <n v="0.24099999999999999"/>
    <x v="17"/>
    <n v="18641.222160000001"/>
    <n v="20441.990000000002"/>
    <x v="396"/>
    <n v="-9.6601382921343834E-2"/>
  </r>
  <r>
    <x v="396"/>
    <d v="2025-09-14T00:00:00"/>
    <s v="Sep-2025"/>
    <s v="Q3-2025"/>
    <m/>
    <d v="2025-09-23T00:00:00"/>
    <d v="2025-09-14T00:00:00"/>
    <n v="9"/>
    <s v="Africa"/>
    <s v="South Africa"/>
    <s v="Durban"/>
    <m/>
    <s v="Non-Profit"/>
    <s v="Online"/>
    <x v="14"/>
    <x v="5"/>
    <m/>
    <x v="396"/>
    <n v="1310.3"/>
    <n v="2875.8"/>
    <n v="2875.8"/>
    <n v="8.3000000000000004E-2"/>
    <n v="8.3000000000000004E-2"/>
    <x v="27"/>
    <n v="13185.543"/>
    <n v="6551.5"/>
    <x v="397"/>
    <n v="0.50313005691157353"/>
  </r>
  <r>
    <x v="397"/>
    <d v="2024-09-06T00:00:00"/>
    <s v="Sep-2024"/>
    <s v="Q3-2024"/>
    <m/>
    <d v="2024-10-04T00:00:00"/>
    <d v="2024-09-06T00:00:00"/>
    <n v="28"/>
    <s v="Africa"/>
    <s v="South Africa"/>
    <s v="Cape Town"/>
    <m/>
    <s v="Corporate"/>
    <s v="Marketplace"/>
    <x v="14"/>
    <x v="4"/>
    <m/>
    <x v="397"/>
    <n v="1174.17"/>
    <n v="1641.61"/>
    <n v="1641.61"/>
    <n v="0.122"/>
    <n v="0.122"/>
    <x v="11"/>
    <n v="12972.00222"/>
    <n v="10567.53"/>
    <x v="398"/>
    <n v="0.18535860380079394"/>
  </r>
  <r>
    <x v="398"/>
    <d v="2025-04-12T00:00:00"/>
    <s v="Apr-2025"/>
    <s v="Q2-2025"/>
    <m/>
    <d v="2025-04-30T00:00:00"/>
    <d v="2025-04-12T00:00:00"/>
    <n v="18"/>
    <s v="Africa"/>
    <s v="Kenya"/>
    <s v="Kisumu"/>
    <m/>
    <s v="Corporate"/>
    <s v="Marketplace"/>
    <x v="8"/>
    <x v="1"/>
    <m/>
    <x v="398"/>
    <n v="1119.04"/>
    <n v="1299.02"/>
    <n v="1299.02"/>
    <n v="2.5000000000000001E-2"/>
    <n v="2.5000000000000001E-2"/>
    <x v="16"/>
    <n v="17731.623"/>
    <n v="15666.56"/>
    <x v="399"/>
    <n v="0.11646215352085933"/>
  </r>
  <r>
    <x v="399"/>
    <d v="2024-08-12T00:00:00"/>
    <s v="Aug-2024"/>
    <s v="Q3-2024"/>
    <m/>
    <d v="2024-08-15T00:00:00"/>
    <d v="2024-08-12T00:00:00"/>
    <n v="3"/>
    <s v="Americas"/>
    <s v="USA"/>
    <s v="Chicago"/>
    <m/>
    <s v="Corporate"/>
    <s v="Marketplace"/>
    <x v="14"/>
    <x v="0"/>
    <m/>
    <x v="399"/>
    <n v="850.7"/>
    <n v="1118.56"/>
    <n v="1118.56"/>
    <n v="0.18"/>
    <n v="0.18"/>
    <x v="14"/>
    <n v="17427.164800000002"/>
    <n v="16163.300000000001"/>
    <x v="400"/>
    <n v="7.2522685962090688E-2"/>
  </r>
  <r>
    <x v="400"/>
    <d v="2024-11-05T00:00:00"/>
    <s v="Nov-2024"/>
    <s v="Q4-2024"/>
    <m/>
    <d v="2024-11-08T00:00:00"/>
    <d v="2024-11-05T00:00:00"/>
    <n v="3"/>
    <s v="Americas"/>
    <s v="Canada"/>
    <s v="Toronto"/>
    <m/>
    <s v="Education"/>
    <s v="Marketplace"/>
    <x v="6"/>
    <x v="5"/>
    <m/>
    <x v="400"/>
    <n v="1020.4"/>
    <n v="1184.71"/>
    <n v="1184.71"/>
    <n v="0.106"/>
    <n v="0.106"/>
    <x v="13"/>
    <n v="16946.091840000001"/>
    <n v="16326.4"/>
    <x v="401"/>
    <n v="3.6568422138328345E-2"/>
  </r>
  <r>
    <x v="401"/>
    <d v="2024-07-24T00:00:00"/>
    <s v="Jul-2024"/>
    <s v="Q3-2024"/>
    <m/>
    <d v="2024-08-08T00:00:00"/>
    <d v="2024-07-24T00:00:00"/>
    <n v="15"/>
    <s v="Europe"/>
    <s v="France"/>
    <s v="Marseille"/>
    <m/>
    <s v="Enterprise"/>
    <s v="Marketplace"/>
    <x v="9"/>
    <x v="3"/>
    <m/>
    <x v="401"/>
    <n v="501.5"/>
    <n v="1201.47"/>
    <n v="1201.47"/>
    <n v="0.126"/>
    <n v="0.126"/>
    <x v="27"/>
    <n v="5250.4239000000007"/>
    <n v="2507.5"/>
    <x v="402"/>
    <n v="0.52241951359394057"/>
  </r>
  <r>
    <x v="402"/>
    <d v="2025-01-20T00:00:00"/>
    <s v="Jan-2025"/>
    <s v="Q1-2025"/>
    <m/>
    <d v="2025-02-03T00:00:00"/>
    <d v="2025-01-20T00:00:00"/>
    <n v="14"/>
    <s v="Americas"/>
    <s v="Brazil"/>
    <s v="Brasília"/>
    <m/>
    <s v="Enterprise"/>
    <s v="Marketplace"/>
    <x v="8"/>
    <x v="5"/>
    <m/>
    <x v="402"/>
    <n v="974.11"/>
    <n v="880.99"/>
    <n v="880.99"/>
    <n v="0.111"/>
    <n v="0.111"/>
    <x v="10"/>
    <n v="7832.0010999999995"/>
    <n v="9741.1"/>
    <x v="403"/>
    <n v="-0.2437562093805121"/>
  </r>
  <r>
    <x v="403"/>
    <d v="2023-03-06T00:00:00"/>
    <s v="Mar-2023"/>
    <s v="Q1-2023"/>
    <m/>
    <d v="2023-04-04T00:00:00"/>
    <d v="2023-03-06T00:00:00"/>
    <n v="29"/>
    <s v="Asia"/>
    <s v="China"/>
    <s v="Beijing"/>
    <m/>
    <s v="Small Business"/>
    <s v="Direct"/>
    <x v="11"/>
    <x v="4"/>
    <m/>
    <x v="403"/>
    <n v="1126.29"/>
    <n v="2050.87"/>
    <n v="2050.87"/>
    <n v="6.4000000000000001E-2"/>
    <n v="6.4000000000000001E-2"/>
    <x v="4"/>
    <n v="13437.300239999999"/>
    <n v="7884.03"/>
    <x v="404"/>
    <n v="0.41327276616690373"/>
  </r>
  <r>
    <x v="404"/>
    <d v="2024-12-20T00:00:00"/>
    <s v="Dec-2024"/>
    <s v="Q4-2024"/>
    <m/>
    <d v="2025-01-14T00:00:00"/>
    <d v="2024-12-20T00:00:00"/>
    <n v="25"/>
    <s v="Asia"/>
    <s v="India"/>
    <s v="Delhi"/>
    <m/>
    <s v="Small Business"/>
    <s v="Retail"/>
    <x v="12"/>
    <x v="0"/>
    <m/>
    <x v="404"/>
    <n v="1361.34"/>
    <n v="1737.9"/>
    <n v="1737.9"/>
    <n v="7.6999999999999999E-2"/>
    <n v="7.6999999999999999E-2"/>
    <x v="16"/>
    <n v="22457.143800000002"/>
    <n v="19058.759999999998"/>
    <x v="405"/>
    <n v="0.15132751654731813"/>
  </r>
  <r>
    <x v="405"/>
    <d v="2025-02-21T00:00:00"/>
    <s v="Feb-2025"/>
    <s v="Q1-2025"/>
    <m/>
    <d v="2025-03-21T00:00:00"/>
    <d v="2025-02-21T00:00:00"/>
    <n v="28"/>
    <s v="Africa"/>
    <s v="Nigeria"/>
    <s v="Abuja"/>
    <m/>
    <s v="Enterprise"/>
    <s v="Marketplace"/>
    <x v="1"/>
    <x v="2"/>
    <m/>
    <x v="405"/>
    <n v="1437.39"/>
    <n v="1388.31"/>
    <n v="1388.31"/>
    <n v="0.13800000000000001"/>
    <n v="0.13800000000000001"/>
    <x v="6"/>
    <n v="21541.017959999997"/>
    <n v="25873.02"/>
    <x v="406"/>
    <n v="-0.20110479681341872"/>
  </r>
  <r>
    <x v="406"/>
    <d v="2025-03-08T00:00:00"/>
    <s v="Mar-2025"/>
    <s v="Q1-2025"/>
    <m/>
    <d v="2025-03-15T00:00:00"/>
    <d v="2025-03-08T00:00:00"/>
    <n v="7"/>
    <s v="Asia"/>
    <s v="India"/>
    <s v="Bengaluru"/>
    <m/>
    <s v="Corporate"/>
    <s v="Distributor"/>
    <x v="10"/>
    <x v="3"/>
    <m/>
    <x v="406"/>
    <n v="475.66"/>
    <n v="529.14"/>
    <n v="529.14"/>
    <n v="0.19600000000000001"/>
    <n v="0.19600000000000001"/>
    <x v="21"/>
    <n v="4679.7141600000004"/>
    <n v="5232.26"/>
    <x v="407"/>
    <n v="-0.11807256193613323"/>
  </r>
  <r>
    <x v="407"/>
    <d v="2023-12-16T00:00:00"/>
    <s v="Dec-2023"/>
    <s v="Q4-2023"/>
    <m/>
    <d v="2023-12-19T00:00:00"/>
    <d v="2023-12-16T00:00:00"/>
    <n v="3"/>
    <s v="Asia"/>
    <s v="China"/>
    <s v="Beijing"/>
    <m/>
    <s v="Education"/>
    <s v="Retail"/>
    <x v="7"/>
    <x v="6"/>
    <m/>
    <x v="407"/>
    <n v="1415.05"/>
    <n v="1972.38"/>
    <n v="1972.38"/>
    <n v="0"/>
    <n v="0"/>
    <x v="1"/>
    <n v="23668.560000000001"/>
    <n v="16980.599999999999"/>
    <x v="408"/>
    <n v="0.28256725377462771"/>
  </r>
  <r>
    <x v="408"/>
    <d v="2024-08-30T00:00:00"/>
    <s v="Aug-2024"/>
    <s v="Q3-2024"/>
    <m/>
    <d v="2024-09-05T00:00:00"/>
    <d v="2024-08-30T00:00:00"/>
    <n v="6"/>
    <s v="Asia"/>
    <s v="Japan"/>
    <s v="Nagoya"/>
    <m/>
    <s v="Education"/>
    <s v="Online"/>
    <x v="13"/>
    <x v="3"/>
    <m/>
    <x v="408"/>
    <n v="466.16"/>
    <n v="876.81"/>
    <n v="876.81"/>
    <n v="0.24099999999999999"/>
    <n v="0.24099999999999999"/>
    <x v="15"/>
    <n v="5323.9903199999999"/>
    <n v="3729.28"/>
    <x v="409"/>
    <n v="0.29953291124691594"/>
  </r>
  <r>
    <x v="409"/>
    <d v="2024-05-18T00:00:00"/>
    <s v="May-2024"/>
    <s v="Q2-2024"/>
    <m/>
    <d v="2024-05-21T00:00:00"/>
    <d v="2024-05-18T00:00:00"/>
    <n v="3"/>
    <s v="Europe"/>
    <s v="France"/>
    <s v="Marseille"/>
    <m/>
    <s v="Non-Profit"/>
    <s v="Marketplace"/>
    <x v="14"/>
    <x v="0"/>
    <m/>
    <x v="409"/>
    <n v="663.66"/>
    <n v="824.26"/>
    <n v="824.26"/>
    <n v="0.23899999999999999"/>
    <n v="0.23899999999999999"/>
    <x v="21"/>
    <n v="6899.8804600000003"/>
    <n v="7300.2599999999993"/>
    <x v="410"/>
    <n v="-5.8027025587048933E-2"/>
  </r>
  <r>
    <x v="410"/>
    <d v="2023-03-17T00:00:00"/>
    <s v="Mar-2023"/>
    <s v="Q1-2023"/>
    <m/>
    <d v="2023-04-06T00:00:00"/>
    <d v="2023-03-17T00:00:00"/>
    <n v="20"/>
    <s v="Europe"/>
    <s v="Germany"/>
    <s v="Munich"/>
    <m/>
    <s v="Consumer"/>
    <s v="Retail"/>
    <x v="6"/>
    <x v="2"/>
    <m/>
    <x v="410"/>
    <n v="692.18"/>
    <n v="1159.3499999999999"/>
    <n v="1159.3499999999999"/>
    <n v="0.112"/>
    <n v="0.112"/>
    <x v="33"/>
    <n v="2059.0056"/>
    <n v="1384.36"/>
    <x v="411"/>
    <n v="0.32765602968734037"/>
  </r>
  <r>
    <x v="411"/>
    <d v="2023-08-25T00:00:00"/>
    <s v="Aug-2023"/>
    <s v="Q3-2023"/>
    <m/>
    <d v="2023-09-16T00:00:00"/>
    <d v="2023-08-25T00:00:00"/>
    <n v="22"/>
    <s v="Africa"/>
    <s v="Nigeria"/>
    <s v="Abuja"/>
    <m/>
    <s v="Corporate"/>
    <s v="Marketplace"/>
    <x v="3"/>
    <x v="2"/>
    <m/>
    <x v="411"/>
    <n v="1196.83"/>
    <n v="2513.5100000000002"/>
    <n v="2513.5100000000002"/>
    <n v="8.3000000000000004E-2"/>
    <n v="8.3000000000000004E-2"/>
    <x v="4"/>
    <n v="16134.22069"/>
    <n v="8377.81"/>
    <x v="412"/>
    <n v="0.48074281609445374"/>
  </r>
  <r>
    <x v="412"/>
    <d v="2024-06-06T00:00:00"/>
    <s v="Jun-2024"/>
    <s v="Q2-2024"/>
    <m/>
    <d v="2024-06-24T00:00:00"/>
    <d v="2024-06-06T00:00:00"/>
    <n v="18"/>
    <s v="Asia"/>
    <s v="India"/>
    <s v="Bengaluru"/>
    <m/>
    <s v="Small Business"/>
    <s v="Direct"/>
    <x v="9"/>
    <x v="1"/>
    <m/>
    <x v="412"/>
    <n v="1253.25"/>
    <n v="3087.13"/>
    <n v="3087.13"/>
    <n v="7.1999999999999995E-2"/>
    <n v="7.1999999999999995E-2"/>
    <x v="21"/>
    <n v="31513.423040000001"/>
    <n v="13785.75"/>
    <x v="413"/>
    <n v="0.562543555408064"/>
  </r>
  <r>
    <x v="413"/>
    <d v="2023-08-29T00:00:00"/>
    <s v="Aug-2023"/>
    <s v="Q3-2023"/>
    <m/>
    <d v="2023-09-13T00:00:00"/>
    <d v="2023-08-29T00:00:00"/>
    <n v="15"/>
    <s v="Americas"/>
    <s v="Canada"/>
    <s v="Vancouver"/>
    <m/>
    <s v="Small Business"/>
    <s v="Marketplace"/>
    <x v="6"/>
    <x v="0"/>
    <m/>
    <x v="413"/>
    <n v="1287.6400000000001"/>
    <n v="2717.15"/>
    <n v="2717.15"/>
    <n v="3.2000000000000001E-2"/>
    <n v="3.2000000000000001E-2"/>
    <x v="4"/>
    <n v="18411.4084"/>
    <n v="9013.4800000000014"/>
    <x v="414"/>
    <n v="0.51044049405802105"/>
  </r>
  <r>
    <x v="414"/>
    <d v="2024-11-30T00:00:00"/>
    <s v="Nov-2024"/>
    <s v="Q4-2024"/>
    <m/>
    <d v="2024-12-10T00:00:00"/>
    <d v="2024-11-30T00:00:00"/>
    <n v="10"/>
    <s v="Asia"/>
    <s v="India"/>
    <s v="Hyderabad"/>
    <m/>
    <s v="Small Business"/>
    <s v="Retail"/>
    <x v="8"/>
    <x v="6"/>
    <m/>
    <x v="414"/>
    <n v="851.49"/>
    <n v="901.79"/>
    <n v="901.79"/>
    <n v="0.245"/>
    <n v="0.245"/>
    <x v="13"/>
    <n v="10893.6232"/>
    <n v="13623.84"/>
    <x v="415"/>
    <n v="-0.25062522816100341"/>
  </r>
  <r>
    <x v="415"/>
    <d v="2025-06-05T00:00:00"/>
    <s v="Jun-2025"/>
    <s v="Q2-2025"/>
    <m/>
    <d v="2025-06-14T00:00:00"/>
    <d v="2025-06-05T00:00:00"/>
    <n v="9"/>
    <s v="Asia"/>
    <s v="India"/>
    <s v="Delhi"/>
    <m/>
    <s v="Non-Profit"/>
    <s v="Retail"/>
    <x v="7"/>
    <x v="6"/>
    <m/>
    <x v="415"/>
    <n v="618.69000000000005"/>
    <n v="796.15"/>
    <n v="796.15"/>
    <n v="0.09"/>
    <n v="0.09"/>
    <x v="21"/>
    <n v="7969.4615000000003"/>
    <n v="6805.59"/>
    <x v="416"/>
    <n v="0.14604142325049191"/>
  </r>
  <r>
    <x v="416"/>
    <d v="2025-03-14T00:00:00"/>
    <s v="Mar-2025"/>
    <s v="Q1-2025"/>
    <m/>
    <d v="2025-04-08T00:00:00"/>
    <d v="2025-03-14T00:00:00"/>
    <n v="25"/>
    <s v="Asia"/>
    <s v="China"/>
    <s v="NOT ASSIGNED"/>
    <m/>
    <s v="Corporate"/>
    <s v="Distributor"/>
    <x v="14"/>
    <x v="0"/>
    <m/>
    <x v="416"/>
    <n v="80.59"/>
    <n v="157.82"/>
    <n v="157.82"/>
    <n v="0.217"/>
    <n v="0.217"/>
    <x v="7"/>
    <n v="741.43835999999999"/>
    <n v="483.54"/>
    <x v="417"/>
    <n v="0.34783519967863541"/>
  </r>
  <r>
    <x v="417"/>
    <d v="2024-01-16T00:00:00"/>
    <s v="Jan-2024"/>
    <s v="Q1-2024"/>
    <m/>
    <d v="2024-02-11T00:00:00"/>
    <d v="2024-01-16T00:00:00"/>
    <n v="26"/>
    <s v="Europe"/>
    <s v="Germany"/>
    <s v="Frankfurt"/>
    <m/>
    <s v="Non-Profit"/>
    <s v="Distributor"/>
    <x v="5"/>
    <x v="4"/>
    <m/>
    <x v="417"/>
    <n v="504.93"/>
    <n v="819.06"/>
    <n v="819.06"/>
    <n v="0.22600000000000001"/>
    <n v="0.22600000000000001"/>
    <x v="3"/>
    <n v="9509.2865999999995"/>
    <n v="7573.95"/>
    <x v="418"/>
    <n v="0.20352069312959814"/>
  </r>
  <r>
    <x v="418"/>
    <d v="2023-10-12T00:00:00"/>
    <s v="Oct-2023"/>
    <s v="Q4-2023"/>
    <m/>
    <d v="2023-10-29T00:00:00"/>
    <d v="2023-10-12T00:00:00"/>
    <n v="17"/>
    <s v="Asia"/>
    <s v="Japan"/>
    <s v="Nagoya"/>
    <m/>
    <s v="Non-Profit"/>
    <s v="Direct"/>
    <x v="9"/>
    <x v="2"/>
    <m/>
    <x v="418"/>
    <n v="1102.19"/>
    <n v="1711.16"/>
    <n v="1711.16"/>
    <n v="0.151"/>
    <n v="0.151"/>
    <x v="10"/>
    <n v="14527.748400000002"/>
    <n v="11021.900000000001"/>
    <x v="419"/>
    <n v="0.24132083675127525"/>
  </r>
  <r>
    <x v="419"/>
    <d v="2025-02-25T00:00:00"/>
    <s v="Feb-2025"/>
    <s v="Q1-2025"/>
    <m/>
    <d v="2025-03-17T00:00:00"/>
    <d v="2025-02-25T00:00:00"/>
    <n v="20"/>
    <s v="Americas"/>
    <s v="USA"/>
    <s v="San Francisco"/>
    <m/>
    <s v="Non-Profit"/>
    <s v="Marketplace"/>
    <x v="9"/>
    <x v="2"/>
    <m/>
    <x v="419"/>
    <n v="1205.26"/>
    <n v="1696.35"/>
    <n v="1696.35"/>
    <n v="1.9E-2"/>
    <n v="1.9E-2"/>
    <x v="7"/>
    <n v="9984.7160999999978"/>
    <n v="7231.5599999999995"/>
    <x v="420"/>
    <n v="0.27573704374028213"/>
  </r>
  <r>
    <x v="420"/>
    <d v="2025-07-03T00:00:00"/>
    <s v="Jul-2025"/>
    <s v="Q3-2025"/>
    <m/>
    <d v="2025-07-06T00:00:00"/>
    <d v="2025-07-03T00:00:00"/>
    <n v="3"/>
    <s v="Africa"/>
    <s v="Nigeria"/>
    <s v="Lagos"/>
    <m/>
    <s v="Consumer"/>
    <s v="Online"/>
    <x v="15"/>
    <x v="3"/>
    <m/>
    <x v="420"/>
    <n v="1313.3"/>
    <n v="2884.34"/>
    <n v="2884.34"/>
    <n v="0.157"/>
    <n v="0.157"/>
    <x v="47"/>
    <n v="102122.94203999999"/>
    <n v="55158.6"/>
    <x v="421"/>
    <n v="0.45988042551305253"/>
  </r>
  <r>
    <x v="421"/>
    <d v="2025-09-15T00:00:00"/>
    <s v="Sep-2025"/>
    <s v="Q3-2025"/>
    <m/>
    <d v="2025-09-25T00:00:00"/>
    <d v="2025-09-15T00:00:00"/>
    <n v="10"/>
    <s v="Asia"/>
    <s v="India"/>
    <s v="Delhi"/>
    <m/>
    <s v="Consumer"/>
    <s v="Retail"/>
    <x v="7"/>
    <x v="2"/>
    <m/>
    <x v="421"/>
    <n v="1488.91"/>
    <n v="1483.74"/>
    <n v="1483.74"/>
    <n v="0.16800000000000001"/>
    <n v="0.16800000000000001"/>
    <x v="22"/>
    <n v="29627.320319999999"/>
    <n v="35733.840000000004"/>
    <x v="422"/>
    <n v="-0.20611110333450519"/>
  </r>
  <r>
    <x v="422"/>
    <d v="2024-02-19T00:00:00"/>
    <s v="Feb-2024"/>
    <s v="Q1-2024"/>
    <m/>
    <d v="2024-03-06T00:00:00"/>
    <d v="2024-02-19T00:00:00"/>
    <n v="16"/>
    <s v="Asia"/>
    <s v="China"/>
    <s v="Beijing"/>
    <m/>
    <s v="Education"/>
    <s v="Marketplace"/>
    <x v="6"/>
    <x v="0"/>
    <m/>
    <x v="422"/>
    <n v="1477.84"/>
    <n v="3197.47"/>
    <n v="3197.47"/>
    <n v="0.24299999999999999"/>
    <n v="0.24299999999999999"/>
    <x v="22"/>
    <n v="58091.634960000003"/>
    <n v="35468.159999999996"/>
    <x v="423"/>
    <n v="0.38944462443823091"/>
  </r>
  <r>
    <x v="423"/>
    <d v="2024-02-27T00:00:00"/>
    <s v="Feb-2024"/>
    <s v="Q1-2024"/>
    <m/>
    <d v="2024-03-26T00:00:00"/>
    <d v="2024-02-27T00:00:00"/>
    <n v="28"/>
    <s v="Asia"/>
    <s v="India"/>
    <s v="Mumbai"/>
    <m/>
    <s v="Education"/>
    <s v="Marketplace"/>
    <x v="2"/>
    <x v="3"/>
    <m/>
    <x v="423"/>
    <n v="1035.19"/>
    <n v="2322.6999999999998"/>
    <n v="2322.6999999999998"/>
    <n v="0.17299999999999999"/>
    <n v="0.17299999999999999"/>
    <x v="15"/>
    <n v="15366.983199999999"/>
    <n v="8281.52"/>
    <x v="424"/>
    <n v="0.46108355217047409"/>
  </r>
  <r>
    <x v="424"/>
    <d v="2025-08-28T00:00:00"/>
    <s v="Aug-2025"/>
    <s v="Q3-2025"/>
    <m/>
    <d v="2025-09-05T00:00:00"/>
    <d v="2025-08-28T00:00:00"/>
    <n v="8"/>
    <s v="Africa"/>
    <s v="Nigeria"/>
    <s v="Port Harcourt"/>
    <m/>
    <s v="Small Business"/>
    <s v="Marketplace"/>
    <x v="5"/>
    <x v="3"/>
    <m/>
    <x v="424"/>
    <n v="1271.0999999999999"/>
    <n v="1932.42"/>
    <n v="1932.42"/>
    <n v="0.25"/>
    <n v="0.25"/>
    <x v="42"/>
    <n v="30435.614999999998"/>
    <n v="26693.1"/>
    <x v="425"/>
    <n v="0.12296498690760807"/>
  </r>
  <r>
    <x v="425"/>
    <d v="2024-08-18T00:00:00"/>
    <s v="Aug-2024"/>
    <s v="Q3-2024"/>
    <m/>
    <d v="2024-09-12T00:00:00"/>
    <d v="2024-08-18T00:00:00"/>
    <n v="25"/>
    <s v="Asia"/>
    <s v="India"/>
    <s v="Mumbai"/>
    <m/>
    <s v="Consumer"/>
    <s v="Marketplace"/>
    <x v="11"/>
    <x v="2"/>
    <m/>
    <x v="425"/>
    <n v="1154.03"/>
    <n v="1590.36"/>
    <n v="1590.36"/>
    <n v="0.314"/>
    <n v="0.314"/>
    <x v="6"/>
    <n v="19637.76528"/>
    <n v="20772.54"/>
    <x v="426"/>
    <n v="-5.7785328616576745E-2"/>
  </r>
  <r>
    <x v="426"/>
    <d v="2024-02-25T00:00:00"/>
    <s v="Feb-2024"/>
    <s v="Q1-2024"/>
    <m/>
    <d v="2024-03-09T00:00:00"/>
    <d v="2024-02-25T00:00:00"/>
    <n v="13"/>
    <s v="Europe"/>
    <s v="France"/>
    <s v="Marseille"/>
    <m/>
    <s v="Small Business"/>
    <s v="Distributor"/>
    <x v="5"/>
    <x v="4"/>
    <m/>
    <x v="426"/>
    <n v="322.44"/>
    <n v="395.61"/>
    <n v="395.61"/>
    <n v="0"/>
    <n v="0"/>
    <x v="45"/>
    <n v="13450.74"/>
    <n v="10962.96"/>
    <x v="427"/>
    <n v="0.18495487980586947"/>
  </r>
  <r>
    <x v="427"/>
    <d v="2025-05-07T00:00:00"/>
    <s v="May-2025"/>
    <s v="Q2-2025"/>
    <m/>
    <d v="2025-05-13T00:00:00"/>
    <d v="2025-05-07T00:00:00"/>
    <n v="6"/>
    <s v="Asia"/>
    <s v="India"/>
    <s v="Bengaluru"/>
    <m/>
    <s v="Enterprise"/>
    <s v="Direct"/>
    <x v="0"/>
    <x v="2"/>
    <m/>
    <x v="427"/>
    <n v="935.98"/>
    <n v="2077.69"/>
    <n v="2077.69"/>
    <n v="0.17499999999999999"/>
    <n v="0.17499999999999999"/>
    <x v="22"/>
    <n v="41138.261999999995"/>
    <n v="22463.52"/>
    <x v="428"/>
    <n v="0.45395067978321491"/>
  </r>
  <r>
    <x v="428"/>
    <d v="2024-11-01T00:00:00"/>
    <s v="Nov-2024"/>
    <s v="Q4-2024"/>
    <m/>
    <d v="2024-11-12T00:00:00"/>
    <d v="2024-11-01T00:00:00"/>
    <n v="11"/>
    <s v="Europe"/>
    <s v="Germany"/>
    <s v="Frankfurt"/>
    <m/>
    <s v="Consumer"/>
    <s v="Online"/>
    <x v="4"/>
    <x v="0"/>
    <m/>
    <x v="428"/>
    <n v="599.84"/>
    <n v="1330.85"/>
    <n v="1330.85"/>
    <n v="0.115"/>
    <n v="0.115"/>
    <x v="21"/>
    <n v="12955.824749999998"/>
    <n v="6598.2400000000007"/>
    <x v="429"/>
    <n v="0.49071246892252063"/>
  </r>
  <r>
    <x v="429"/>
    <d v="2024-12-28T00:00:00"/>
    <s v="Dec-2024"/>
    <s v="Q4-2024"/>
    <m/>
    <d v="2025-01-08T00:00:00"/>
    <d v="2024-12-28T00:00:00"/>
    <n v="11"/>
    <s v="Asia"/>
    <s v="China"/>
    <s v="Shenzhen"/>
    <m/>
    <s v="Enterprise"/>
    <s v="Online"/>
    <x v="10"/>
    <x v="3"/>
    <m/>
    <x v="429"/>
    <n v="1201.31"/>
    <n v="2764.65"/>
    <n v="2764.65"/>
    <n v="0"/>
    <n v="0"/>
    <x v="42"/>
    <n v="58057.65"/>
    <n v="25227.51"/>
    <x v="430"/>
    <n v="0.56547483406579491"/>
  </r>
  <r>
    <x v="430"/>
    <d v="2023-10-21T00:00:00"/>
    <s v="Oct-2023"/>
    <s v="Q4-2023"/>
    <m/>
    <d v="2023-10-21T00:00:00"/>
    <d v="2023-10-21T00:00:00"/>
    <n v="0"/>
    <s v="Europe"/>
    <s v="United Kingdom"/>
    <s v="Manchester"/>
    <m/>
    <s v="Enterprise"/>
    <s v="Distributor"/>
    <x v="0"/>
    <x v="4"/>
    <m/>
    <x v="430"/>
    <n v="384.19"/>
    <n v="278.35000000000002"/>
    <n v="278.35000000000002"/>
    <n v="5.6000000000000001E-2"/>
    <n v="5.6000000000000001E-2"/>
    <x v="10"/>
    <n v="2627.6239999999998"/>
    <n v="3841.9"/>
    <x v="431"/>
    <n v="-0.46211938998882657"/>
  </r>
  <r>
    <x v="431"/>
    <d v="2024-12-10T00:00:00"/>
    <s v="Dec-2024"/>
    <s v="Q4-2024"/>
    <m/>
    <d v="2024-12-19T00:00:00"/>
    <d v="2024-12-10T00:00:00"/>
    <n v="9"/>
    <s v="Africa"/>
    <s v="Nigeria"/>
    <s v="Lagos"/>
    <m/>
    <s v="Corporate"/>
    <s v="Retail"/>
    <x v="6"/>
    <x v="4"/>
    <m/>
    <x v="431"/>
    <n v="488.68"/>
    <n v="984.36"/>
    <n v="984.36"/>
    <n v="5.8999999999999997E-2"/>
    <n v="5.8999999999999997E-2"/>
    <x v="16"/>
    <n v="12967.958640000001"/>
    <n v="6841.52"/>
    <x v="432"/>
    <n v="0.47242891576649876"/>
  </r>
  <r>
    <x v="432"/>
    <d v="2024-09-07T00:00:00"/>
    <s v="Sep-2024"/>
    <s v="Q3-2024"/>
    <m/>
    <d v="2024-09-18T00:00:00"/>
    <d v="2024-09-07T00:00:00"/>
    <n v="11"/>
    <s v="Asia"/>
    <s v="China"/>
    <s v="Beijing"/>
    <m/>
    <s v="Consumer"/>
    <s v="Distributor"/>
    <x v="6"/>
    <x v="1"/>
    <m/>
    <x v="432"/>
    <n v="181.74"/>
    <n v="190.84"/>
    <n v="190.84"/>
    <n v="0.214"/>
    <n v="0.214"/>
    <x v="20"/>
    <n v="1950.0031200000001"/>
    <n v="2362.62"/>
    <x v="433"/>
    <n v="-0.21159806144310159"/>
  </r>
  <r>
    <x v="433"/>
    <d v="2023-10-18T00:00:00"/>
    <s v="Oct-2023"/>
    <s v="Q4-2023"/>
    <m/>
    <d v="2023-10-20T00:00:00"/>
    <d v="2023-10-18T00:00:00"/>
    <n v="2"/>
    <s v="Africa"/>
    <s v="Kenya"/>
    <s v="Kisumu"/>
    <m/>
    <s v="Consumer"/>
    <s v="Retail"/>
    <x v="0"/>
    <x v="2"/>
    <m/>
    <x v="433"/>
    <n v="774.12"/>
    <n v="908.3"/>
    <n v="908.3"/>
    <n v="0"/>
    <n v="0"/>
    <x v="31"/>
    <n v="27249"/>
    <n v="23223.599999999999"/>
    <x v="434"/>
    <n v="0.14772652207420461"/>
  </r>
  <r>
    <x v="434"/>
    <d v="2024-12-24T00:00:00"/>
    <s v="Dec-2024"/>
    <s v="Q4-2024"/>
    <m/>
    <d v="2025-01-13T00:00:00"/>
    <d v="2024-12-24T00:00:00"/>
    <n v="20"/>
    <s v="Asia"/>
    <s v="India"/>
    <s v="Bengaluru"/>
    <m/>
    <s v="Corporate"/>
    <s v="Marketplace"/>
    <x v="14"/>
    <x v="1"/>
    <m/>
    <x v="434"/>
    <n v="126.15"/>
    <n v="284.23"/>
    <n v="284.23"/>
    <n v="0.113"/>
    <n v="0.113"/>
    <x v="2"/>
    <n v="5546.4642200000008"/>
    <n v="2775.3"/>
    <x v="435"/>
    <n v="0.49962716968541088"/>
  </r>
  <r>
    <x v="435"/>
    <d v="2023-04-21T00:00:00"/>
    <s v="Apr-2023"/>
    <s v="Q2-2023"/>
    <m/>
    <d v="2023-04-19T00:00:00"/>
    <d v="2023-04-28T00:00:00"/>
    <n v="-9"/>
    <s v="Asia"/>
    <s v="Japan"/>
    <s v="Nagoya"/>
    <m/>
    <s v="Small Business"/>
    <s v="Direct"/>
    <x v="12"/>
    <x v="5"/>
    <m/>
    <x v="435"/>
    <n v="607.04"/>
    <n v="1229.3399999999999"/>
    <n v="1229.3399999999999"/>
    <n v="0.14699999999999999"/>
    <n v="0.14699999999999999"/>
    <x v="4"/>
    <n v="7340.3891399999993"/>
    <n v="4249.28"/>
    <x v="436"/>
    <n v="0.42110970972310058"/>
  </r>
  <r>
    <x v="436"/>
    <d v="2023-12-30T00:00:00"/>
    <s v="Dec-2023"/>
    <s v="Q4-2023"/>
    <m/>
    <d v="2024-01-08T00:00:00"/>
    <d v="2023-12-30T00:00:00"/>
    <n v="9"/>
    <s v="Europe"/>
    <s v="France"/>
    <s v="Marseille"/>
    <m/>
    <s v="Consumer"/>
    <s v="Marketplace"/>
    <x v="3"/>
    <x v="6"/>
    <m/>
    <x v="436"/>
    <n v="861.1"/>
    <n v="1224.72"/>
    <n v="1224.72"/>
    <n v="0.17399999999999999"/>
    <n v="0.17399999999999999"/>
    <x v="22"/>
    <n v="24278.849280000002"/>
    <n v="20666.400000000001"/>
    <x v="437"/>
    <n v="0.14878997098827909"/>
  </r>
  <r>
    <x v="437"/>
    <d v="2023-02-21T00:00:00"/>
    <s v="Feb-2023"/>
    <s v="Q1-2023"/>
    <m/>
    <d v="2023-03-12T00:00:00"/>
    <d v="2023-02-21T00:00:00"/>
    <n v="19"/>
    <s v="Africa"/>
    <s v="Kenya"/>
    <s v="Nakuru"/>
    <m/>
    <s v="Corporate"/>
    <s v="Online"/>
    <x v="8"/>
    <x v="1"/>
    <m/>
    <x v="437"/>
    <n v="352.65"/>
    <n v="485.86"/>
    <n v="485.86"/>
    <n v="4.1000000000000002E-2"/>
    <n v="4.1000000000000002E-2"/>
    <x v="7"/>
    <n v="2795.6384399999997"/>
    <n v="2115.8999999999996"/>
    <x v="438"/>
    <n v="0.24314247159943908"/>
  </r>
  <r>
    <x v="438"/>
    <d v="2023-05-17T00:00:00"/>
    <s v="May-2023"/>
    <s v="Q2-2023"/>
    <m/>
    <d v="2023-06-03T00:00:00"/>
    <d v="2023-05-17T00:00:00"/>
    <n v="17"/>
    <s v="Asia"/>
    <s v="China"/>
    <s v="Beijing"/>
    <m/>
    <s v="Non-Profit"/>
    <s v="Distributor"/>
    <x v="12"/>
    <x v="0"/>
    <m/>
    <x v="438"/>
    <n v="979.59"/>
    <n v="2210.94"/>
    <n v="2210.94"/>
    <n v="0.15"/>
    <n v="0.15"/>
    <x v="21"/>
    <n v="20672.289000000001"/>
    <n v="10775.49"/>
    <x v="439"/>
    <n v="0.47874712858358359"/>
  </r>
  <r>
    <x v="439"/>
    <d v="2024-03-23T00:00:00"/>
    <s v="Mar-2024"/>
    <s v="Q1-2024"/>
    <m/>
    <d v="2024-03-26T00:00:00"/>
    <d v="2024-03-23T00:00:00"/>
    <n v="3"/>
    <s v="Asia"/>
    <s v="India"/>
    <s v="Bengaluru"/>
    <m/>
    <s v="Education"/>
    <s v="Direct"/>
    <x v="2"/>
    <x v="2"/>
    <m/>
    <x v="439"/>
    <n v="382.21"/>
    <n v="571.89"/>
    <n v="571.89"/>
    <n v="0.14799999999999999"/>
    <n v="0.14799999999999999"/>
    <x v="29"/>
    <n v="12668.50728"/>
    <n v="9937.4599999999991"/>
    <x v="440"/>
    <n v="0.2155776698578809"/>
  </r>
  <r>
    <x v="440"/>
    <d v="2023-09-20T00:00:00"/>
    <s v="Sep-2023"/>
    <s v="Q3-2023"/>
    <m/>
    <d v="2023-09-28T00:00:00"/>
    <d v="2023-09-20T00:00:00"/>
    <n v="8"/>
    <s v="Asia"/>
    <s v="India"/>
    <s v="NOT ASSIGNED"/>
    <m/>
    <s v="Corporate"/>
    <s v="NOT ASSIGNED"/>
    <x v="4"/>
    <x v="6"/>
    <m/>
    <x v="440"/>
    <n v="1362.06"/>
    <n v="3398.37"/>
    <n v="3398.37"/>
    <n v="0.157"/>
    <n v="0.157"/>
    <x v="21"/>
    <n v="31513.085009999999"/>
    <n v="14982.66"/>
    <x v="441"/>
    <n v="0.52455749745714919"/>
  </r>
  <r>
    <x v="441"/>
    <d v="2024-08-22T00:00:00"/>
    <s v="Aug-2024"/>
    <s v="Q3-2024"/>
    <m/>
    <d v="2024-09-04T00:00:00"/>
    <d v="2024-08-22T00:00:00"/>
    <n v="13"/>
    <s v="Europe"/>
    <s v="Germany"/>
    <s v="Frankfurt"/>
    <m/>
    <s v="Non-Profit"/>
    <s v="Retail"/>
    <x v="3"/>
    <x v="0"/>
    <m/>
    <x v="441"/>
    <n v="90.04"/>
    <n v="194.62"/>
    <n v="194.62"/>
    <n v="4.2999999999999997E-2"/>
    <n v="4.2999999999999997E-2"/>
    <x v="48"/>
    <n v="5960.04288"/>
    <n v="2881.28"/>
    <x v="442"/>
    <n v="0.51656723650954672"/>
  </r>
  <r>
    <x v="442"/>
    <d v="2024-09-25T00:00:00"/>
    <s v="Sep-2024"/>
    <s v="Q3-2024"/>
    <m/>
    <d v="2024-10-03T00:00:00"/>
    <d v="2024-09-25T00:00:00"/>
    <n v="8"/>
    <s v="Americas"/>
    <s v="Canada"/>
    <s v="Toronto"/>
    <m/>
    <s v="Consumer"/>
    <s v="Online"/>
    <x v="5"/>
    <x v="0"/>
    <m/>
    <x v="442"/>
    <n v="558.19000000000005"/>
    <n v="1031.6400000000001"/>
    <n v="1031.6400000000001"/>
    <n v="0"/>
    <n v="0"/>
    <x v="42"/>
    <n v="21664.440000000002"/>
    <n v="11721.990000000002"/>
    <x v="443"/>
    <n v="0.45892947152107322"/>
  </r>
  <r>
    <x v="443"/>
    <d v="2023-06-13T00:00:00"/>
    <s v="Jun-2023"/>
    <s v="Q2-2023"/>
    <m/>
    <d v="2023-06-24T00:00:00"/>
    <d v="2023-06-13T00:00:00"/>
    <n v="11"/>
    <s v="Americas"/>
    <s v="Canada"/>
    <s v="Toronto"/>
    <m/>
    <s v="Corporate"/>
    <s v="Online"/>
    <x v="11"/>
    <x v="0"/>
    <m/>
    <x v="443"/>
    <n v="247.07"/>
    <n v="495.19"/>
    <n v="495.19"/>
    <n v="2.8000000000000001E-2"/>
    <n v="2.8000000000000001E-2"/>
    <x v="5"/>
    <n v="1925.29872"/>
    <n v="988.28"/>
    <x v="444"/>
    <n v="0.48668744764968214"/>
  </r>
  <r>
    <x v="444"/>
    <d v="2023-12-24T00:00:00"/>
    <s v="Dec-2023"/>
    <s v="Q4-2023"/>
    <m/>
    <d v="2024-01-13T00:00:00"/>
    <d v="2023-12-24T00:00:00"/>
    <n v="20"/>
    <s v="Asia"/>
    <s v="Japan"/>
    <s v="Nagoya"/>
    <m/>
    <s v="Education"/>
    <s v="Direct"/>
    <x v="4"/>
    <x v="3"/>
    <m/>
    <x v="444"/>
    <n v="625.37"/>
    <n v="1319.04"/>
    <n v="1319.04"/>
    <n v="7.3999999999999996E-2"/>
    <n v="7.3999999999999996E-2"/>
    <x v="15"/>
    <n v="9771.4483199999995"/>
    <n v="5002.96"/>
    <x v="445"/>
    <n v="0.48800220436513547"/>
  </r>
  <r>
    <x v="445"/>
    <d v="2025-03-30T00:00:00"/>
    <s v="Mar-2025"/>
    <s v="Q1-2025"/>
    <m/>
    <d v="2025-04-29T00:00:00"/>
    <d v="2025-03-30T00:00:00"/>
    <n v="30"/>
    <s v="Africa"/>
    <s v="South Africa"/>
    <s v="Durban"/>
    <m/>
    <s v="Consumer"/>
    <s v="Marketplace"/>
    <x v="0"/>
    <x v="4"/>
    <m/>
    <x v="445"/>
    <n v="194.6"/>
    <n v="314.87"/>
    <n v="314.87"/>
    <n v="0.29299999999999998"/>
    <n v="0.29299999999999998"/>
    <x v="30"/>
    <n v="5565.3272500000003"/>
    <n v="4865"/>
    <x v="446"/>
    <n v="0.1258375686712763"/>
  </r>
  <r>
    <x v="446"/>
    <d v="2024-06-03T00:00:00"/>
    <s v="Jun-2024"/>
    <s v="Q2-2024"/>
    <m/>
    <d v="2024-06-24T00:00:00"/>
    <d v="2024-06-03T00:00:00"/>
    <n v="21"/>
    <s v="Americas"/>
    <s v="Canada"/>
    <s v="Toronto"/>
    <m/>
    <s v="Small Business"/>
    <s v="Direct"/>
    <x v="2"/>
    <x v="4"/>
    <m/>
    <x v="446"/>
    <n v="1205.5"/>
    <n v="2210.17"/>
    <n v="2210.17"/>
    <n v="0.104"/>
    <n v="0.104"/>
    <x v="8"/>
    <n v="45547.183360000003"/>
    <n v="27726.5"/>
    <x v="447"/>
    <n v="0.39125763758314652"/>
  </r>
  <r>
    <x v="447"/>
    <d v="2024-06-11T00:00:00"/>
    <s v="Jun-2024"/>
    <s v="Q2-2024"/>
    <m/>
    <d v="2024-07-09T00:00:00"/>
    <d v="2024-06-11T00:00:00"/>
    <n v="28"/>
    <s v="Africa"/>
    <s v="Nigeria"/>
    <s v="Port Harcourt"/>
    <m/>
    <s v="Corporate"/>
    <s v="Marketplace"/>
    <x v="1"/>
    <x v="2"/>
    <m/>
    <x v="447"/>
    <n v="895.54"/>
    <n v="1045"/>
    <n v="1045"/>
    <n v="0.216"/>
    <n v="0.216"/>
    <x v="3"/>
    <n v="12289.2"/>
    <n v="13433.099999999999"/>
    <x v="448"/>
    <n v="-9.3081730299775234E-2"/>
  </r>
  <r>
    <x v="448"/>
    <d v="2023-07-22T00:00:00"/>
    <s v="Jul-2023"/>
    <s v="Q3-2023"/>
    <m/>
    <d v="2023-07-21T00:00:00"/>
    <d v="2023-07-29T00:00:00"/>
    <n v="-8"/>
    <s v="Asia"/>
    <s v="India"/>
    <s v="Delhi"/>
    <m/>
    <s v="Small Business"/>
    <s v="Distributor"/>
    <x v="5"/>
    <x v="0"/>
    <m/>
    <x v="448"/>
    <n v="946.99"/>
    <n v="2132.19"/>
    <n v="2132.19"/>
    <n v="0.16500000000000001"/>
    <n v="0.16500000000000001"/>
    <x v="4"/>
    <n v="12462.65055"/>
    <n v="6628.93"/>
    <x v="449"/>
    <n v="0.46809629513362228"/>
  </r>
  <r>
    <x v="449"/>
    <d v="2023-01-19T00:00:00"/>
    <s v="Jan-2023"/>
    <s v="Q1-2023"/>
    <m/>
    <d v="2023-02-03T00:00:00"/>
    <d v="2023-01-19T00:00:00"/>
    <n v="15"/>
    <s v="Europe"/>
    <s v="United Kingdom"/>
    <s v="London"/>
    <m/>
    <s v="Enterprise"/>
    <s v="Distributor"/>
    <x v="2"/>
    <x v="6"/>
    <m/>
    <x v="449"/>
    <n v="873.06"/>
    <n v="2101.5500000000002"/>
    <n v="2101.5500000000002"/>
    <n v="6.6000000000000003E-2"/>
    <n v="6.6000000000000003E-2"/>
    <x v="10"/>
    <n v="19628.476999999999"/>
    <n v="8730.5999999999985"/>
    <x v="450"/>
    <n v="0.55520746719167269"/>
  </r>
  <r>
    <x v="450"/>
    <d v="2024-05-01T00:00:00"/>
    <s v="May-2024"/>
    <s v="Q2-2024"/>
    <m/>
    <d v="2024-05-16T00:00:00"/>
    <d v="2024-05-01T00:00:00"/>
    <n v="15"/>
    <s v="Asia"/>
    <s v="India"/>
    <s v="Bengaluru"/>
    <m/>
    <s v="Small Business"/>
    <s v="Retail"/>
    <x v="3"/>
    <x v="5"/>
    <m/>
    <x v="450"/>
    <n v="901.19"/>
    <n v="2125.44"/>
    <n v="2125.44"/>
    <n v="7.0999999999999994E-2"/>
    <n v="7.0999999999999994E-2"/>
    <x v="1"/>
    <n v="23694.405119999999"/>
    <n v="10814.28"/>
    <x v="451"/>
    <n v="0.54359352154100415"/>
  </r>
  <r>
    <x v="451"/>
    <d v="2025-06-09T00:00:00"/>
    <s v="Jun-2025"/>
    <s v="Q2-2025"/>
    <m/>
    <d v="2025-06-24T00:00:00"/>
    <d v="2025-06-09T00:00:00"/>
    <n v="15"/>
    <s v="Asia"/>
    <s v="Japan"/>
    <s v="Nagoya"/>
    <m/>
    <s v="Corporate"/>
    <s v="Direct"/>
    <x v="4"/>
    <x v="2"/>
    <m/>
    <x v="451"/>
    <n v="400.39"/>
    <n v="712.75"/>
    <n v="712.75"/>
    <n v="0.115"/>
    <n v="0.115"/>
    <x v="14"/>
    <n v="11984.891250000001"/>
    <n v="7607.41"/>
    <x v="452"/>
    <n v="0.36524997671547504"/>
  </r>
  <r>
    <x v="452"/>
    <d v="2023-05-24T00:00:00"/>
    <s v="May-2023"/>
    <s v="Q2-2023"/>
    <m/>
    <d v="2023-06-21T00:00:00"/>
    <d v="2023-05-24T00:00:00"/>
    <n v="28"/>
    <s v="Americas"/>
    <s v="USA"/>
    <s v="Austin"/>
    <m/>
    <s v="Small Business"/>
    <s v="Marketplace"/>
    <x v="2"/>
    <x v="4"/>
    <m/>
    <x v="452"/>
    <n v="813.97"/>
    <n v="1568.83"/>
    <n v="1568.83"/>
    <n v="1.7000000000000001E-2"/>
    <n v="1.7000000000000001E-2"/>
    <x v="3"/>
    <n v="23132.398349999996"/>
    <n v="12209.550000000001"/>
    <x v="453"/>
    <n v="0.4721883215364911"/>
  </r>
  <r>
    <x v="453"/>
    <d v="2024-12-27T00:00:00"/>
    <s v="Dec-2024"/>
    <s v="Q4-2024"/>
    <m/>
    <d v="2024-12-29T00:00:00"/>
    <d v="2024-12-27T00:00:00"/>
    <n v="2"/>
    <s v="Americas"/>
    <s v="Canada"/>
    <s v="Vancouver"/>
    <m/>
    <s v="Enterprise"/>
    <s v="Marketplace"/>
    <x v="11"/>
    <x v="6"/>
    <m/>
    <x v="453"/>
    <n v="1146.72"/>
    <n v="2074.34"/>
    <n v="2074.34"/>
    <n v="0.111"/>
    <n v="0.111"/>
    <x v="15"/>
    <n v="14752.706080000002"/>
    <n v="9173.76"/>
    <x v="454"/>
    <n v="0.37816425337472737"/>
  </r>
  <r>
    <x v="454"/>
    <d v="2023-12-05T00:00:00"/>
    <s v="Dec-2023"/>
    <s v="Q4-2023"/>
    <m/>
    <d v="2023-12-12T00:00:00"/>
    <d v="2023-12-05T00:00:00"/>
    <n v="7"/>
    <s v="Americas"/>
    <s v="Brazil"/>
    <s v="Brasília"/>
    <m/>
    <s v="Corporate"/>
    <s v="Direct"/>
    <x v="8"/>
    <x v="2"/>
    <m/>
    <x v="454"/>
    <n v="307.43"/>
    <n v="495.19"/>
    <n v="495.19"/>
    <n v="0"/>
    <n v="0"/>
    <x v="47"/>
    <n v="20797.98"/>
    <n v="12912.06"/>
    <x v="455"/>
    <n v="0.37916759223732305"/>
  </r>
  <r>
    <x v="455"/>
    <d v="2023-05-02T00:00:00"/>
    <s v="May-2023"/>
    <s v="Q2-2023"/>
    <m/>
    <d v="2023-05-19T00:00:00"/>
    <d v="2023-05-02T00:00:00"/>
    <n v="17"/>
    <s v="Asia"/>
    <s v="China"/>
    <s v="Shanghai"/>
    <m/>
    <s v="Non-Profit"/>
    <s v="Direct"/>
    <x v="0"/>
    <x v="4"/>
    <m/>
    <x v="455"/>
    <n v="714.28"/>
    <n v="757.59"/>
    <n v="757.59"/>
    <n v="0.13600000000000001"/>
    <n v="0.13600000000000001"/>
    <x v="1"/>
    <n v="7854.6931199999999"/>
    <n v="8571.36"/>
    <x v="456"/>
    <n v="-9.1240595787910383E-2"/>
  </r>
  <r>
    <x v="456"/>
    <d v="2023-11-30T00:00:00"/>
    <s v="Nov-2023"/>
    <s v="Q4-2023"/>
    <m/>
    <d v="2023-12-10T00:00:00"/>
    <d v="2023-11-30T00:00:00"/>
    <n v="10"/>
    <s v="Europe"/>
    <s v="Germany"/>
    <s v="Munich"/>
    <m/>
    <s v="Small Business"/>
    <s v="Direct"/>
    <x v="8"/>
    <x v="3"/>
    <m/>
    <x v="456"/>
    <n v="174.74"/>
    <n v="415.96"/>
    <n v="415.96"/>
    <n v="0.125"/>
    <n v="0.125"/>
    <x v="42"/>
    <n v="7643.2649999999994"/>
    <n v="3669.54"/>
    <x v="457"/>
    <n v="0.51989889137691803"/>
  </r>
  <r>
    <x v="457"/>
    <d v="2024-05-05T00:00:00"/>
    <s v="May-2024"/>
    <s v="Q2-2024"/>
    <m/>
    <d v="2024-05-18T00:00:00"/>
    <d v="2024-05-05T00:00:00"/>
    <n v="13"/>
    <s v="Europe"/>
    <s v="France"/>
    <s v="Marseille"/>
    <m/>
    <s v="Corporate"/>
    <s v="Marketplace"/>
    <x v="7"/>
    <x v="5"/>
    <m/>
    <x v="457"/>
    <n v="1264.04"/>
    <n v="1870.89"/>
    <n v="1870.89"/>
    <n v="0"/>
    <n v="0"/>
    <x v="20"/>
    <n v="24321.57"/>
    <n v="16432.52"/>
    <x v="458"/>
    <n v="0.32436433996653996"/>
  </r>
  <r>
    <x v="458"/>
    <d v="2023-07-09T00:00:00"/>
    <s v="Jul-2023"/>
    <s v="Q3-2023"/>
    <m/>
    <d v="2023-07-19T00:00:00"/>
    <d v="2023-07-09T00:00:00"/>
    <n v="10"/>
    <s v="Asia"/>
    <s v="Japan"/>
    <s v="Tokyo"/>
    <m/>
    <s v="Enterprise"/>
    <s v="Distributor"/>
    <x v="13"/>
    <x v="5"/>
    <m/>
    <x v="458"/>
    <n v="141.26"/>
    <n v="206.88"/>
    <n v="206.88"/>
    <n v="0.107"/>
    <n v="0.107"/>
    <x v="11"/>
    <n v="1662.6945600000001"/>
    <n v="1271.3399999999999"/>
    <x v="459"/>
    <n v="0.23537369365062469"/>
  </r>
  <r>
    <x v="459"/>
    <d v="2023-05-17T00:00:00"/>
    <s v="May-2023"/>
    <s v="Q2-2023"/>
    <m/>
    <d v="2023-06-15T00:00:00"/>
    <d v="2023-05-17T00:00:00"/>
    <n v="29"/>
    <s v="Africa"/>
    <s v="South Africa"/>
    <s v="Durban"/>
    <m/>
    <s v="Enterprise"/>
    <s v="Retail"/>
    <x v="10"/>
    <x v="6"/>
    <m/>
    <x v="459"/>
    <n v="40.89"/>
    <n v="62.82"/>
    <n v="62.82"/>
    <n v="0.129"/>
    <n v="0.129"/>
    <x v="17"/>
    <n v="930.17574000000002"/>
    <n v="695.13"/>
    <x v="460"/>
    <n v="0.25268960465470752"/>
  </r>
  <r>
    <x v="460"/>
    <d v="2024-03-07T00:00:00"/>
    <s v="Mar-2024"/>
    <s v="Q1-2024"/>
    <m/>
    <d v="2024-04-03T00:00:00"/>
    <d v="2024-03-07T00:00:00"/>
    <n v="27"/>
    <s v="Europe"/>
    <s v="Germany"/>
    <s v="Frankfurt"/>
    <m/>
    <s v="Corporate"/>
    <s v="Direct"/>
    <x v="12"/>
    <x v="0"/>
    <m/>
    <x v="460"/>
    <n v="738.16"/>
    <n v="956.49"/>
    <n v="956.49"/>
    <n v="0.152"/>
    <n v="0.152"/>
    <x v="27"/>
    <n v="4055.5175999999997"/>
    <n v="3690.7999999999997"/>
    <x v="461"/>
    <n v="8.9931208780847108E-2"/>
  </r>
  <r>
    <x v="461"/>
    <d v="2025-04-10T00:00:00"/>
    <s v="Apr-2025"/>
    <s v="Q2-2025"/>
    <m/>
    <d v="2025-04-19T00:00:00"/>
    <d v="2025-04-10T00:00:00"/>
    <n v="9"/>
    <s v="Africa"/>
    <s v="South Africa"/>
    <s v="Durban"/>
    <m/>
    <s v="Enterprise"/>
    <s v="NOT ASSIGNED"/>
    <x v="2"/>
    <x v="1"/>
    <m/>
    <x v="461"/>
    <n v="113.74"/>
    <n v="165.7"/>
    <n v="165.7"/>
    <n v="0.124"/>
    <n v="0.124"/>
    <x v="20"/>
    <n v="1886.9915999999998"/>
    <n v="1478.62"/>
    <x v="462"/>
    <n v="0.21641410592394794"/>
  </r>
  <r>
    <x v="462"/>
    <d v="2025-07-27T00:00:00"/>
    <s v="Jul-2025"/>
    <s v="Q3-2025"/>
    <m/>
    <d v="2025-08-15T00:00:00"/>
    <d v="2025-07-27T00:00:00"/>
    <n v="19"/>
    <s v="Asia"/>
    <s v="Japan"/>
    <s v="Tokyo"/>
    <m/>
    <s v="Small Business"/>
    <s v="Marketplace"/>
    <x v="0"/>
    <x v="5"/>
    <m/>
    <x v="462"/>
    <n v="275.43"/>
    <n v="608.36"/>
    <n v="608.36"/>
    <n v="0.25700000000000001"/>
    <n v="0.25700000000000001"/>
    <x v="5"/>
    <n v="1808.04592"/>
    <n v="1101.72"/>
    <x v="463"/>
    <n v="0.39065706915231446"/>
  </r>
  <r>
    <x v="463"/>
    <d v="2024-11-22T00:00:00"/>
    <s v="Nov-2024"/>
    <s v="Q4-2024"/>
    <m/>
    <d v="2024-12-15T00:00:00"/>
    <d v="2024-11-22T00:00:00"/>
    <n v="23"/>
    <s v="Africa"/>
    <s v="Kenya"/>
    <s v="Mombasa"/>
    <m/>
    <s v="Non-Profit"/>
    <s v="Distributor"/>
    <x v="11"/>
    <x v="5"/>
    <m/>
    <x v="463"/>
    <n v="1335.76"/>
    <n v="2665.91"/>
    <n v="2665.91"/>
    <n v="0.21099999999999999"/>
    <n v="0.21099999999999999"/>
    <x v="26"/>
    <n v="84136.119600000005"/>
    <n v="53430.400000000001"/>
    <x v="464"/>
    <n v="0.36495288522909253"/>
  </r>
  <r>
    <x v="464"/>
    <d v="2024-06-23T00:00:00"/>
    <s v="Jun-2024"/>
    <s v="Q2-2024"/>
    <m/>
    <d v="2024-06-28T00:00:00"/>
    <d v="2024-06-23T00:00:00"/>
    <n v="5"/>
    <s v="Africa"/>
    <s v="Nigeria"/>
    <s v="Port Harcourt"/>
    <m/>
    <s v="Non-Profit"/>
    <s v="Direct"/>
    <x v="12"/>
    <x v="6"/>
    <m/>
    <x v="464"/>
    <n v="242.31"/>
    <n v="587.95000000000005"/>
    <n v="587.95000000000005"/>
    <n v="0.22900000000000001"/>
    <n v="0.22900000000000001"/>
    <x v="7"/>
    <n v="2719.8567000000003"/>
    <n v="1453.8600000000001"/>
    <x v="465"/>
    <n v="0.46546448568411714"/>
  </r>
  <r>
    <x v="465"/>
    <d v="2023-12-18T00:00:00"/>
    <s v="Dec-2023"/>
    <s v="Q4-2023"/>
    <m/>
    <d v="2024-01-14T00:00:00"/>
    <d v="2023-12-18T00:00:00"/>
    <n v="27"/>
    <s v="Asia"/>
    <s v="India"/>
    <s v="Mumbai"/>
    <m/>
    <s v="Consumer"/>
    <s v="Distributor"/>
    <x v="14"/>
    <x v="1"/>
    <m/>
    <x v="465"/>
    <n v="1408.3"/>
    <n v="2193.13"/>
    <n v="2193.13"/>
    <n v="7.0999999999999994E-2"/>
    <n v="7.0999999999999994E-2"/>
    <x v="4"/>
    <n v="14261.92439"/>
    <n v="9858.1"/>
    <x v="466"/>
    <n v="0.30878191957656281"/>
  </r>
  <r>
    <x v="466"/>
    <d v="2025-06-01T00:00:00"/>
    <s v="Jun-2025"/>
    <s v="Q2-2025"/>
    <m/>
    <d v="2025-06-05T00:00:00"/>
    <d v="2025-06-01T00:00:00"/>
    <n v="4"/>
    <s v="Europe"/>
    <s v="Germany"/>
    <s v="Munich"/>
    <m/>
    <s v="Enterprise"/>
    <s v="Direct"/>
    <x v="12"/>
    <x v="5"/>
    <m/>
    <x v="466"/>
    <n v="1171.42"/>
    <n v="2187.8000000000002"/>
    <n v="2187.8000000000002"/>
    <n v="0.23"/>
    <n v="0.23"/>
    <x v="3"/>
    <n v="25269.09"/>
    <n v="17571.300000000003"/>
    <x v="467"/>
    <n v="0.30463265594447592"/>
  </r>
  <r>
    <x v="467"/>
    <d v="2025-03-23T00:00:00"/>
    <s v="Mar-2025"/>
    <s v="Q1-2025"/>
    <m/>
    <d v="2025-04-02T00:00:00"/>
    <d v="2025-03-23T00:00:00"/>
    <n v="10"/>
    <s v="Europe"/>
    <s v="Germany"/>
    <s v="Berlin"/>
    <m/>
    <s v="Enterprise"/>
    <s v="Online"/>
    <x v="5"/>
    <x v="0"/>
    <m/>
    <x v="467"/>
    <n v="663.61"/>
    <n v="1002.11"/>
    <n v="1002.11"/>
    <n v="4.5999999999999999E-2"/>
    <n v="4.5999999999999999E-2"/>
    <x v="17"/>
    <n v="16252.219979999998"/>
    <n v="11281.37"/>
    <x v="468"/>
    <n v="0.30585667595670812"/>
  </r>
  <r>
    <x v="468"/>
    <d v="2023-05-14T00:00:00"/>
    <s v="May-2023"/>
    <s v="Q2-2023"/>
    <m/>
    <d v="2023-05-22T00:00:00"/>
    <d v="2023-05-14T00:00:00"/>
    <n v="8"/>
    <s v="Africa"/>
    <s v="Kenya"/>
    <s v="Mombasa"/>
    <m/>
    <s v="Small Business"/>
    <s v="Distributor"/>
    <x v="8"/>
    <x v="0"/>
    <m/>
    <x v="468"/>
    <n v="432.01"/>
    <n v="913.78"/>
    <n v="913.78"/>
    <n v="4.9000000000000002E-2"/>
    <n v="4.9000000000000002E-2"/>
    <x v="1"/>
    <n v="10428.057360000001"/>
    <n v="5184.12"/>
    <x v="469"/>
    <n v="0.50286809699711899"/>
  </r>
  <r>
    <x v="469"/>
    <d v="2023-08-29T00:00:00"/>
    <s v="Aug-2023"/>
    <s v="Q3-2023"/>
    <m/>
    <d v="2023-09-19T00:00:00"/>
    <d v="2023-08-29T00:00:00"/>
    <n v="21"/>
    <s v="Europe"/>
    <s v="France"/>
    <s v="Lyon"/>
    <m/>
    <s v="Small Business"/>
    <s v="Direct"/>
    <x v="4"/>
    <x v="0"/>
    <m/>
    <x v="469"/>
    <n v="784.46"/>
    <n v="1843.51"/>
    <n v="1843.51"/>
    <n v="0.13800000000000001"/>
    <n v="0.13800000000000001"/>
    <x v="8"/>
    <n v="36549.429260000004"/>
    <n v="18042.580000000002"/>
    <x v="470"/>
    <n v="0.50635125184441798"/>
  </r>
  <r>
    <x v="470"/>
    <d v="2025-07-03T00:00:00"/>
    <s v="Jul-2025"/>
    <s v="Q3-2025"/>
    <m/>
    <d v="2025-07-23T00:00:00"/>
    <d v="2025-07-03T00:00:00"/>
    <n v="20"/>
    <s v="Asia"/>
    <s v="China"/>
    <s v="Beijing"/>
    <m/>
    <s v="Small Business"/>
    <s v="Online"/>
    <x v="12"/>
    <x v="5"/>
    <m/>
    <x v="470"/>
    <n v="647.36"/>
    <n v="1383.6"/>
    <n v="1383.6"/>
    <n v="7.3999999999999996E-2"/>
    <n v="7.3999999999999996E-2"/>
    <x v="1"/>
    <n v="15374.563199999999"/>
    <n v="7768.32"/>
    <x v="471"/>
    <n v="0.49472906000997802"/>
  </r>
  <r>
    <x v="471"/>
    <d v="2024-02-06T00:00:00"/>
    <s v="Feb-2024"/>
    <s v="Q1-2024"/>
    <m/>
    <d v="2024-02-28T00:00:00"/>
    <d v="2024-02-06T00:00:00"/>
    <n v="22"/>
    <s v="Africa"/>
    <s v="Kenya"/>
    <s v="Kisumu"/>
    <m/>
    <s v="Non-Profit"/>
    <s v="Online"/>
    <x v="10"/>
    <x v="4"/>
    <m/>
    <x v="471"/>
    <n v="834.93"/>
    <n v="1588.53"/>
    <n v="1588.53"/>
    <n v="0.126"/>
    <n v="0.126"/>
    <x v="7"/>
    <n v="8330.2513199999994"/>
    <n v="5009.58"/>
    <x v="472"/>
    <n v="0.39862798761274343"/>
  </r>
  <r>
    <x v="472"/>
    <d v="2025-08-13T00:00:00"/>
    <s v="Aug-2025"/>
    <s v="Q3-2025"/>
    <m/>
    <d v="2025-09-03T00:00:00"/>
    <d v="2025-08-13T00:00:00"/>
    <n v="21"/>
    <s v="Europe"/>
    <s v="France"/>
    <s v="Paris"/>
    <m/>
    <s v="Education"/>
    <s v="Retail"/>
    <x v="1"/>
    <x v="2"/>
    <m/>
    <x v="472"/>
    <n v="603.47"/>
    <n v="1344.05"/>
    <n v="1344.05"/>
    <n v="0.20499999999999999"/>
    <n v="0.20499999999999999"/>
    <x v="6"/>
    <n v="19233.355499999998"/>
    <n v="10862.460000000001"/>
    <x v="473"/>
    <n v="0.43522803392262976"/>
  </r>
  <r>
    <x v="473"/>
    <d v="2023-05-23T00:00:00"/>
    <s v="May-2023"/>
    <s v="Q2-2023"/>
    <m/>
    <d v="2023-05-25T00:00:00"/>
    <d v="2023-05-23T00:00:00"/>
    <n v="2"/>
    <s v="Americas"/>
    <s v="Brazil"/>
    <s v="Rio de Janeiro"/>
    <m/>
    <s v="Enterprise"/>
    <s v="Retail"/>
    <x v="12"/>
    <x v="0"/>
    <m/>
    <x v="473"/>
    <n v="690.49"/>
    <n v="1290.29"/>
    <n v="1290.29"/>
    <n v="4.2000000000000003E-2"/>
    <n v="4.2000000000000003E-2"/>
    <x v="2"/>
    <n v="27194.152039999997"/>
    <n v="15190.78"/>
    <x v="474"/>
    <n v="0.44139534199647718"/>
  </r>
  <r>
    <x v="474"/>
    <d v="2024-05-10T00:00:00"/>
    <s v="May-2024"/>
    <s v="Q2-2024"/>
    <m/>
    <d v="2024-05-16T00:00:00"/>
    <d v="2024-05-10T00:00:00"/>
    <n v="6"/>
    <s v="Europe"/>
    <s v="United Kingdom"/>
    <s v="Birmingham"/>
    <m/>
    <s v="Non-Profit"/>
    <s v="Direct"/>
    <x v="2"/>
    <x v="3"/>
    <m/>
    <x v="474"/>
    <n v="210.76"/>
    <n v="221.58"/>
    <n v="221.58"/>
    <n v="8.8999999999999996E-2"/>
    <n v="8.8999999999999996E-2"/>
    <x v="27"/>
    <n v="1009.2969000000002"/>
    <n v="1053.8"/>
    <x v="475"/>
    <n v="-4.4093170205912434E-2"/>
  </r>
  <r>
    <x v="475"/>
    <d v="2023-03-14T00:00:00"/>
    <s v="Mar-2023"/>
    <s v="Q1-2023"/>
    <m/>
    <d v="2023-03-18T00:00:00"/>
    <d v="2023-03-14T00:00:00"/>
    <n v="4"/>
    <s v="Europe"/>
    <s v="Germany"/>
    <s v="Frankfurt"/>
    <m/>
    <s v="Enterprise"/>
    <s v="Direct"/>
    <x v="7"/>
    <x v="5"/>
    <m/>
    <x v="475"/>
    <n v="472.33"/>
    <n v="360.34"/>
    <n v="360.34"/>
    <n v="0.16500000000000001"/>
    <n v="0.16500000000000001"/>
    <x v="16"/>
    <n v="4212.3745999999992"/>
    <n v="6612.62"/>
    <x v="476"/>
    <n v="-0.56980815523861561"/>
  </r>
  <r>
    <x v="476"/>
    <d v="2023-07-16T00:00:00"/>
    <s v="Jul-2023"/>
    <s v="Q3-2023"/>
    <m/>
    <d v="2023-08-13T00:00:00"/>
    <d v="2023-07-16T00:00:00"/>
    <n v="28"/>
    <s v="Europe"/>
    <s v="United Kingdom"/>
    <s v="Manchester"/>
    <m/>
    <s v="Non-Profit"/>
    <s v="Online"/>
    <x v="0"/>
    <x v="3"/>
    <m/>
    <x v="476"/>
    <n v="1039.03"/>
    <n v="2545.81"/>
    <n v="2545.81"/>
    <n v="0.216"/>
    <n v="0.216"/>
    <x v="42"/>
    <n v="41914.215840000004"/>
    <n v="21819.63"/>
    <x v="477"/>
    <n v="0.47942172929364774"/>
  </r>
  <r>
    <x v="477"/>
    <d v="2023-04-16T00:00:00"/>
    <s v="Apr-2023"/>
    <s v="Q2-2023"/>
    <m/>
    <d v="2023-04-19T00:00:00"/>
    <d v="2023-04-16T00:00:00"/>
    <n v="3"/>
    <s v="Europe"/>
    <s v="Germany"/>
    <s v="Munich"/>
    <m/>
    <s v="Corporate"/>
    <s v="Direct"/>
    <x v="4"/>
    <x v="6"/>
    <m/>
    <x v="477"/>
    <n v="553.61"/>
    <n v="699.47"/>
    <n v="699.47"/>
    <n v="0.02"/>
    <n v="0.02"/>
    <x v="49"/>
    <n v="22620.859800000002"/>
    <n v="18269.13"/>
    <x v="478"/>
    <n v="0.19237685209472014"/>
  </r>
  <r>
    <x v="478"/>
    <d v="2024-01-02T00:00:00"/>
    <s v="Jan-2024"/>
    <s v="Q1-2024"/>
    <m/>
    <d v="2024-01-15T00:00:00"/>
    <d v="2024-01-02T00:00:00"/>
    <n v="13"/>
    <s v="Asia"/>
    <s v="Japan"/>
    <s v="Nagoya"/>
    <m/>
    <s v="Small Business"/>
    <s v="Marketplace"/>
    <x v="2"/>
    <x v="1"/>
    <m/>
    <x v="478"/>
    <n v="1219.06"/>
    <n v="2738.69"/>
    <n v="2738.69"/>
    <n v="7.5999999999999998E-2"/>
    <n v="7.5999999999999998E-2"/>
    <x v="13"/>
    <n v="40488.792960000006"/>
    <n v="19504.96"/>
    <x v="479"/>
    <n v="0.51826274447673737"/>
  </r>
  <r>
    <x v="479"/>
    <d v="2024-09-03T00:00:00"/>
    <s v="Sep-2024"/>
    <s v="Q3-2024"/>
    <m/>
    <d v="2024-09-07T00:00:00"/>
    <d v="2024-09-03T00:00:00"/>
    <n v="4"/>
    <s v="Asia"/>
    <s v="Japan"/>
    <s v="Tokyo"/>
    <m/>
    <s v="Small Business"/>
    <s v="Distributor"/>
    <x v="13"/>
    <x v="0"/>
    <m/>
    <x v="479"/>
    <n v="43.23"/>
    <n v="94.78"/>
    <n v="94.78"/>
    <n v="9.0999999999999998E-2"/>
    <n v="9.0999999999999998E-2"/>
    <x v="50"/>
    <n v="4738.5261"/>
    <n v="2377.6499999999996"/>
    <x v="480"/>
    <n v="0.49823005090127082"/>
  </r>
  <r>
    <x v="480"/>
    <d v="2025-08-30T00:00:00"/>
    <s v="Aug-2025"/>
    <s v="Q3-2025"/>
    <m/>
    <d v="2025-09-03T00:00:00"/>
    <d v="2025-08-30T00:00:00"/>
    <n v="4"/>
    <s v="Europe"/>
    <s v="France"/>
    <s v="Marseille"/>
    <m/>
    <s v="Small Business"/>
    <s v="Marketplace"/>
    <x v="0"/>
    <x v="3"/>
    <m/>
    <x v="480"/>
    <n v="1286.56"/>
    <n v="2777.35"/>
    <n v="2777.35"/>
    <n v="0.13200000000000001"/>
    <n v="0.13200000000000001"/>
    <x v="3"/>
    <n v="36161.097000000002"/>
    <n v="19298.399999999998"/>
    <x v="481"/>
    <n v="0.46632150014696744"/>
  </r>
  <r>
    <x v="481"/>
    <d v="2025-04-28T00:00:00"/>
    <s v="Apr-2025"/>
    <s v="Q2-2025"/>
    <m/>
    <d v="2025-05-19T00:00:00"/>
    <d v="2025-04-28T00:00:00"/>
    <n v="21"/>
    <s v="Europe"/>
    <s v="Germany"/>
    <s v="Berlin"/>
    <m/>
    <s v="Corporate"/>
    <s v="Distributor"/>
    <x v="4"/>
    <x v="2"/>
    <m/>
    <x v="481"/>
    <n v="350.76"/>
    <n v="492.18"/>
    <n v="492.18"/>
    <n v="5.2999999999999999E-2"/>
    <n v="5.2999999999999999E-2"/>
    <x v="21"/>
    <n v="5127.0390600000001"/>
    <n v="3858.3599999999997"/>
    <x v="482"/>
    <n v="0.24744868239798437"/>
  </r>
  <r>
    <x v="482"/>
    <d v="2023-08-10T00:00:00"/>
    <s v="Aug-2023"/>
    <s v="Q3-2023"/>
    <m/>
    <d v="2023-08-15T00:00:00"/>
    <d v="2023-08-10T00:00:00"/>
    <n v="5"/>
    <s v="Americas"/>
    <s v="Brazil"/>
    <s v="São Paulo"/>
    <m/>
    <s v="Education"/>
    <s v="Direct"/>
    <x v="2"/>
    <x v="1"/>
    <m/>
    <x v="482"/>
    <n v="1307.52"/>
    <n v="1921.65"/>
    <n v="1921.65"/>
    <n v="0.123"/>
    <n v="0.123"/>
    <x v="20"/>
    <n v="21908.731650000002"/>
    <n v="16997.759999999998"/>
    <x v="483"/>
    <n v="0.22415590863289445"/>
  </r>
  <r>
    <x v="483"/>
    <d v="2024-12-08T00:00:00"/>
    <s v="Dec-2024"/>
    <s v="Q4-2024"/>
    <m/>
    <d v="2024-12-08T00:00:00"/>
    <d v="2024-12-08T00:00:00"/>
    <n v="0"/>
    <s v="Europe"/>
    <s v="France"/>
    <s v="Lyon"/>
    <m/>
    <s v="Enterprise"/>
    <s v="Retail"/>
    <x v="9"/>
    <x v="5"/>
    <m/>
    <x v="483"/>
    <n v="257.44"/>
    <n v="290.33"/>
    <n v="290.33"/>
    <n v="9.1999999999999998E-2"/>
    <n v="9.1999999999999998E-2"/>
    <x v="8"/>
    <n v="6063.2517199999993"/>
    <n v="5921.12"/>
    <x v="484"/>
    <n v="2.3441500792581216E-2"/>
  </r>
  <r>
    <x v="484"/>
    <d v="2023-10-25T00:00:00"/>
    <s v="Oct-2023"/>
    <s v="Q4-2023"/>
    <m/>
    <d v="2023-11-24T00:00:00"/>
    <d v="2023-10-25T00:00:00"/>
    <n v="30"/>
    <s v="Europe"/>
    <s v="France"/>
    <s v="Paris"/>
    <m/>
    <s v="Enterprise"/>
    <s v="Distributor"/>
    <x v="11"/>
    <x v="2"/>
    <m/>
    <x v="484"/>
    <n v="287.85000000000002"/>
    <n v="602.91999999999996"/>
    <n v="602.91999999999996"/>
    <n v="0.222"/>
    <n v="0.222"/>
    <x v="21"/>
    <n v="5159.7893599999998"/>
    <n v="3166.3500000000004"/>
    <x v="485"/>
    <n v="0.38634122847216373"/>
  </r>
  <r>
    <x v="485"/>
    <d v="2024-11-17T00:00:00"/>
    <s v="Nov-2024"/>
    <s v="Q4-2024"/>
    <m/>
    <d v="2024-11-28T00:00:00"/>
    <d v="2024-11-17T00:00:00"/>
    <n v="11"/>
    <s v="Americas"/>
    <s v="Canada"/>
    <s v="NOT ASSIGNED"/>
    <m/>
    <s v="Consumer"/>
    <s v="Distributor"/>
    <x v="7"/>
    <x v="0"/>
    <m/>
    <x v="485"/>
    <n v="1008.16"/>
    <n v="2077.5"/>
    <n v="2077.5"/>
    <n v="7.3999999999999996E-2"/>
    <n v="7.3999999999999996E-2"/>
    <x v="3"/>
    <n v="28856.475000000002"/>
    <n v="15122.4"/>
    <x v="486"/>
    <n v="0.47594430712691005"/>
  </r>
  <r>
    <x v="486"/>
    <d v="2024-05-12T00:00:00"/>
    <s v="May-2024"/>
    <s v="Q2-2024"/>
    <m/>
    <d v="2024-05-24T00:00:00"/>
    <d v="2024-05-12T00:00:00"/>
    <n v="12"/>
    <s v="Europe"/>
    <s v="United Kingdom"/>
    <s v="Manchester"/>
    <m/>
    <s v="Education"/>
    <s v="Marketplace"/>
    <x v="10"/>
    <x v="0"/>
    <m/>
    <x v="486"/>
    <n v="111.02"/>
    <n v="172.88"/>
    <n v="172.88"/>
    <n v="0.19700000000000001"/>
    <n v="0.19700000000000001"/>
    <x v="51"/>
    <n v="4025.8565599999993"/>
    <n v="3219.58"/>
    <x v="487"/>
    <n v="0.20027453735212053"/>
  </r>
  <r>
    <x v="487"/>
    <d v="2025-05-15T00:00:00"/>
    <s v="May-2025"/>
    <s v="Q2-2025"/>
    <m/>
    <d v="2025-06-05T00:00:00"/>
    <d v="2025-05-15T00:00:00"/>
    <n v="21"/>
    <s v="Asia"/>
    <s v="Japan"/>
    <s v="Osaka"/>
    <m/>
    <s v="Enterprise"/>
    <s v="Direct"/>
    <x v="9"/>
    <x v="2"/>
    <m/>
    <x v="487"/>
    <n v="1466.5"/>
    <n v="2778.74"/>
    <n v="2778.74"/>
    <n v="0.13500000000000001"/>
    <n v="0.13500000000000001"/>
    <x v="5"/>
    <n v="9614.4403999999995"/>
    <n v="5866"/>
    <x v="488"/>
    <n v="0.38987608680792279"/>
  </r>
  <r>
    <x v="488"/>
    <d v="2024-04-21T00:00:00"/>
    <s v="Apr-2024"/>
    <s v="Q2-2024"/>
    <m/>
    <d v="2024-05-19T00:00:00"/>
    <d v="2024-04-21T00:00:00"/>
    <n v="28"/>
    <s v="Africa"/>
    <s v="Nigeria"/>
    <s v="Lagos"/>
    <m/>
    <s v="Corporate"/>
    <s v="Distributor"/>
    <x v="7"/>
    <x v="6"/>
    <m/>
    <x v="488"/>
    <n v="187.22"/>
    <n v="309.47000000000003"/>
    <n v="309.47000000000003"/>
    <n v="0"/>
    <n v="0"/>
    <x v="27"/>
    <n v="1547.3500000000001"/>
    <n v="936.1"/>
    <x v="489"/>
    <n v="0.39503021294471197"/>
  </r>
  <r>
    <x v="489"/>
    <d v="2024-08-19T00:00:00"/>
    <s v="Aug-2024"/>
    <s v="Q3-2024"/>
    <m/>
    <d v="2024-09-07T00:00:00"/>
    <d v="2024-08-19T00:00:00"/>
    <n v="19"/>
    <s v="Europe"/>
    <s v="France"/>
    <s v="Lyon"/>
    <m/>
    <s v="Corporate"/>
    <s v="Direct"/>
    <x v="0"/>
    <x v="5"/>
    <m/>
    <x v="489"/>
    <n v="297.58999999999997"/>
    <n v="666.41"/>
    <n v="666.41"/>
    <n v="0"/>
    <n v="0"/>
    <x v="10"/>
    <n v="6664.0999999999995"/>
    <n v="2975.8999999999996"/>
    <x v="490"/>
    <n v="0.55344307558409989"/>
  </r>
  <r>
    <x v="490"/>
    <d v="2025-07-23T00:00:00"/>
    <s v="Jul-2025"/>
    <s v="Q3-2025"/>
    <m/>
    <d v="2025-08-19T00:00:00"/>
    <d v="2025-07-23T00:00:00"/>
    <n v="27"/>
    <s v="Asia"/>
    <s v="Japan"/>
    <s v="Nagoya"/>
    <m/>
    <s v="Consumer"/>
    <s v="Marketplace"/>
    <x v="4"/>
    <x v="6"/>
    <m/>
    <x v="490"/>
    <n v="896.09"/>
    <n v="744.27"/>
    <n v="744.27"/>
    <n v="8.3000000000000004E-2"/>
    <n v="8.3000000000000004E-2"/>
    <x v="21"/>
    <n v="7507.4514899999995"/>
    <n v="9856.99"/>
    <x v="491"/>
    <n v="-0.31296086469950679"/>
  </r>
  <r>
    <x v="491"/>
    <d v="2024-03-01T00:00:00"/>
    <s v="Mar-2024"/>
    <s v="Q1-2024"/>
    <m/>
    <d v="2024-02-29T00:00:00"/>
    <d v="2024-03-08T00:00:00"/>
    <n v="-8"/>
    <s v="Americas"/>
    <s v="Brazil"/>
    <s v="São Paulo"/>
    <m/>
    <s v="Non-Profit"/>
    <s v="Direct"/>
    <x v="1"/>
    <x v="2"/>
    <m/>
    <x v="491"/>
    <n v="5.34"/>
    <n v="12.69"/>
    <n v="12.69"/>
    <n v="0.13200000000000001"/>
    <n v="0.13200000000000001"/>
    <x v="10"/>
    <n v="110.14919999999999"/>
    <n v="53.4"/>
    <x v="492"/>
    <n v="0.51520301554618642"/>
  </r>
  <r>
    <x v="492"/>
    <d v="2024-05-27T00:00:00"/>
    <s v="May-2024"/>
    <s v="Q2-2024"/>
    <m/>
    <d v="2024-06-17T00:00:00"/>
    <d v="2024-05-27T00:00:00"/>
    <n v="21"/>
    <s v="Asia"/>
    <s v="India"/>
    <s v="Delhi"/>
    <m/>
    <s v="Small Business"/>
    <s v="Online"/>
    <x v="9"/>
    <x v="6"/>
    <m/>
    <x v="492"/>
    <n v="465.02"/>
    <n v="651.55999999999995"/>
    <n v="651.55999999999995"/>
    <n v="4.2000000000000003E-2"/>
    <n v="4.2000000000000003E-2"/>
    <x v="14"/>
    <n v="11859.695119999998"/>
    <n v="8835.3799999999992"/>
    <x v="493"/>
    <n v="0.25500783025187918"/>
  </r>
  <r>
    <x v="493"/>
    <d v="2024-08-04T00:00:00"/>
    <s v="Aug-2024"/>
    <s v="Q3-2024"/>
    <m/>
    <d v="2024-08-17T00:00:00"/>
    <d v="2024-08-04T00:00:00"/>
    <n v="13"/>
    <s v="Americas"/>
    <s v="USA"/>
    <s v="Austin"/>
    <m/>
    <s v="Consumer"/>
    <s v="Retail"/>
    <x v="14"/>
    <x v="4"/>
    <m/>
    <x v="493"/>
    <n v="352.79"/>
    <n v="754.22"/>
    <n v="754.22"/>
    <n v="0.113"/>
    <n v="0.113"/>
    <x v="4"/>
    <n v="4682.9519799999998"/>
    <n v="2469.5300000000002"/>
    <x v="494"/>
    <n v="0.47265528014233443"/>
  </r>
  <r>
    <x v="494"/>
    <d v="2023-06-20T00:00:00"/>
    <s v="Jun-2023"/>
    <s v="Q2-2023"/>
    <m/>
    <d v="2023-07-04T00:00:00"/>
    <d v="2023-06-20T00:00:00"/>
    <n v="14"/>
    <s v="Americas"/>
    <s v="Brazil"/>
    <s v="Brasília"/>
    <m/>
    <s v="Non-Profit"/>
    <s v="Direct"/>
    <x v="11"/>
    <x v="1"/>
    <m/>
    <x v="494"/>
    <n v="1292.8599999999999"/>
    <n v="2981.01"/>
    <n v="2981.01"/>
    <n v="0.14199999999999999"/>
    <n v="0.14199999999999999"/>
    <x v="1"/>
    <n v="30692.47896"/>
    <n v="15514.32"/>
    <x v="495"/>
    <n v="0.49452372288927687"/>
  </r>
  <r>
    <x v="495"/>
    <d v="2024-09-09T00:00:00"/>
    <s v="Sep-2024"/>
    <s v="Q3-2024"/>
    <m/>
    <d v="2024-09-13T00:00:00"/>
    <d v="2024-09-09T00:00:00"/>
    <n v="4"/>
    <s v="Europe"/>
    <s v="United Kingdom"/>
    <s v="London"/>
    <m/>
    <s v="Consumer"/>
    <s v="Marketplace"/>
    <x v="8"/>
    <x v="1"/>
    <m/>
    <x v="495"/>
    <n v="1133.08"/>
    <n v="976.17"/>
    <n v="976.17"/>
    <n v="4.2000000000000003E-2"/>
    <n v="4.2000000000000003E-2"/>
    <x v="19"/>
    <n v="25249.613219999999"/>
    <n v="30593.159999999996"/>
    <x v="496"/>
    <n v="-0.21162885678452373"/>
  </r>
  <r>
    <x v="496"/>
    <d v="2023-10-25T00:00:00"/>
    <s v="Oct-2023"/>
    <s v="Q4-2023"/>
    <m/>
    <d v="2023-10-28T00:00:00"/>
    <d v="2023-10-25T00:00:00"/>
    <n v="3"/>
    <s v="Americas"/>
    <s v="Brazil"/>
    <s v="Brasília"/>
    <m/>
    <s v="Corporate"/>
    <s v="Distributor"/>
    <x v="3"/>
    <x v="6"/>
    <m/>
    <x v="496"/>
    <n v="509.31"/>
    <n v="1145.9000000000001"/>
    <n v="1145.9000000000001"/>
    <n v="5.7000000000000002E-2"/>
    <n v="5.7000000000000002E-2"/>
    <x v="15"/>
    <n v="8644.6696000000011"/>
    <n v="4074.48"/>
    <x v="497"/>
    <n v="0.52867140231709964"/>
  </r>
  <r>
    <x v="497"/>
    <d v="2025-09-08T00:00:00"/>
    <s v="Sep-2025"/>
    <s v="Q3-2025"/>
    <m/>
    <d v="2025-10-05T00:00:00"/>
    <d v="2025-09-08T00:00:00"/>
    <n v="27"/>
    <s v="Americas"/>
    <s v="Brazil"/>
    <s v="Rio de Janeiro"/>
    <m/>
    <s v="Education"/>
    <s v="Online"/>
    <x v="11"/>
    <x v="4"/>
    <m/>
    <x v="497"/>
    <n v="660.78"/>
    <n v="1630.39"/>
    <n v="1630.39"/>
    <n v="0.218"/>
    <n v="0.218"/>
    <x v="20"/>
    <n v="16574.544740000001"/>
    <n v="8590.14"/>
    <x v="498"/>
    <n v="0.48172694123724097"/>
  </r>
  <r>
    <x v="498"/>
    <d v="2023-05-02T00:00:00"/>
    <s v="May-2023"/>
    <s v="Q2-2023"/>
    <m/>
    <d v="2023-05-16T00:00:00"/>
    <d v="2023-05-02T00:00:00"/>
    <n v="14"/>
    <s v="Asia"/>
    <s v="India"/>
    <s v="Bengaluru"/>
    <m/>
    <s v="Non-Profit"/>
    <s v="Retail"/>
    <x v="3"/>
    <x v="4"/>
    <m/>
    <x v="498"/>
    <n v="475.37"/>
    <n v="963.73"/>
    <n v="963.73"/>
    <n v="4.1000000000000002E-2"/>
    <n v="4.1000000000000002E-2"/>
    <x v="2"/>
    <n v="20332.775539999999"/>
    <n v="10458.14"/>
    <x v="499"/>
    <n v="0.48565113604750881"/>
  </r>
  <r>
    <x v="499"/>
    <d v="2024-04-26T00:00:00"/>
    <s v="Apr-2024"/>
    <s v="Q2-2024"/>
    <m/>
    <d v="2024-04-24T00:00:00"/>
    <d v="2024-05-03T00:00:00"/>
    <n v="-9"/>
    <s v="Europe"/>
    <s v="United Kingdom"/>
    <s v="London"/>
    <m/>
    <s v="Non-Profit"/>
    <s v="Distributor"/>
    <x v="13"/>
    <x v="2"/>
    <m/>
    <x v="499"/>
    <n v="1232.77"/>
    <n v="891.73"/>
    <n v="891.73"/>
    <n v="0.16700000000000001"/>
    <n v="0.16700000000000001"/>
    <x v="10"/>
    <n v="7428.1108999999988"/>
    <n v="12327.7"/>
    <x v="500"/>
    <n v="-0.65960096260813805"/>
  </r>
  <r>
    <x v="500"/>
    <d v="2023-02-23T00:00:00"/>
    <s v="Feb-2023"/>
    <s v="Q1-2023"/>
    <m/>
    <d v="2023-03-18T00:00:00"/>
    <d v="2023-02-23T00:00:00"/>
    <n v="23"/>
    <s v="Asia"/>
    <s v="China"/>
    <s v="Beijing"/>
    <m/>
    <s v="Education"/>
    <s v="Distributor"/>
    <x v="10"/>
    <x v="0"/>
    <m/>
    <x v="500"/>
    <n v="770.11"/>
    <n v="1667.82"/>
    <n v="1667.82"/>
    <n v="6.9000000000000006E-2"/>
    <n v="6.9000000000000006E-2"/>
    <x v="4"/>
    <n v="10869.182940000001"/>
    <n v="5390.77"/>
    <x v="501"/>
    <n v="0.50403171703355287"/>
  </r>
  <r>
    <x v="501"/>
    <d v="2025-03-24T00:00:00"/>
    <s v="Mar-2025"/>
    <s v="Q1-2025"/>
    <m/>
    <d v="2025-03-25T00:00:00"/>
    <d v="2025-03-24T00:00:00"/>
    <n v="1"/>
    <s v="Asia"/>
    <s v="China"/>
    <s v="Beijing"/>
    <m/>
    <s v="Non-Profit"/>
    <s v="Online"/>
    <x v="2"/>
    <x v="1"/>
    <m/>
    <x v="501"/>
    <n v="1133.03"/>
    <n v="1921.51"/>
    <n v="1921.51"/>
    <n v="0.10100000000000001"/>
    <n v="0.10100000000000001"/>
    <x v="27"/>
    <n v="8637.1874499999994"/>
    <n v="5665.15"/>
    <x v="502"/>
    <n v="0.3440978289755654"/>
  </r>
  <r>
    <x v="502"/>
    <d v="2025-03-10T00:00:00"/>
    <s v="Mar-2025"/>
    <s v="Q1-2025"/>
    <m/>
    <d v="2025-03-27T00:00:00"/>
    <d v="2025-03-10T00:00:00"/>
    <n v="17"/>
    <s v="Americas"/>
    <s v="Brazil"/>
    <s v="Rio de Janeiro"/>
    <m/>
    <s v="Enterprise"/>
    <s v="Direct"/>
    <x v="8"/>
    <x v="1"/>
    <m/>
    <x v="502"/>
    <n v="996.73"/>
    <n v="1217.43"/>
    <n v="1217.43"/>
    <n v="7.0000000000000007E-2"/>
    <n v="7.0000000000000007E-2"/>
    <x v="11"/>
    <n v="10189.8891"/>
    <n v="8970.57"/>
    <x v="503"/>
    <n v="0.11965970267527255"/>
  </r>
  <r>
    <x v="503"/>
    <d v="2024-04-05T00:00:00"/>
    <s v="Apr-2024"/>
    <s v="Q2-2024"/>
    <m/>
    <d v="2024-04-09T00:00:00"/>
    <d v="2024-04-05T00:00:00"/>
    <n v="4"/>
    <s v="Africa"/>
    <s v="Nigeria"/>
    <s v="Lagos"/>
    <m/>
    <s v="Non-Profit"/>
    <s v="Direct"/>
    <x v="10"/>
    <x v="5"/>
    <m/>
    <x v="503"/>
    <n v="395.07"/>
    <n v="970.27"/>
    <n v="970.27"/>
    <n v="0.123"/>
    <n v="0.123"/>
    <x v="23"/>
    <n v="32335.21802"/>
    <n v="15012.66"/>
    <x v="504"/>
    <n v="0.53571799049833657"/>
  </r>
  <r>
    <x v="504"/>
    <d v="2025-04-27T00:00:00"/>
    <s v="Apr-2025"/>
    <s v="Q2-2025"/>
    <m/>
    <d v="2025-05-17T00:00:00"/>
    <d v="2025-04-27T00:00:00"/>
    <n v="20"/>
    <s v="Americas"/>
    <s v="USA"/>
    <s v="Austin"/>
    <m/>
    <s v="Corporate"/>
    <s v="Direct"/>
    <x v="13"/>
    <x v="2"/>
    <m/>
    <x v="504"/>
    <n v="932.26"/>
    <n v="1624.67"/>
    <n v="1624.67"/>
    <n v="0.23499999999999999"/>
    <n v="0.23499999999999999"/>
    <x v="12"/>
    <n v="34800.431400000001"/>
    <n v="26103.279999999999"/>
    <x v="505"/>
    <n v="0.24991504559337163"/>
  </r>
  <r>
    <x v="505"/>
    <d v="2024-10-24T00:00:00"/>
    <s v="Oct-2024"/>
    <s v="Q4-2024"/>
    <m/>
    <d v="2024-10-28T00:00:00"/>
    <d v="2024-10-24T00:00:00"/>
    <n v="4"/>
    <s v="Asia"/>
    <s v="China"/>
    <s v="Shanghai"/>
    <m/>
    <s v="Small Business"/>
    <s v="Distributor"/>
    <x v="1"/>
    <x v="1"/>
    <m/>
    <x v="505"/>
    <n v="1331.77"/>
    <n v="2606.11"/>
    <n v="2606.11"/>
    <n v="0.02"/>
    <n v="0.02"/>
    <x v="7"/>
    <n v="15323.926799999999"/>
    <n v="7990.62"/>
    <x v="506"/>
    <n v="0.47855271665745619"/>
  </r>
  <r>
    <x v="506"/>
    <d v="2023-04-13T00:00:00"/>
    <s v="Apr-2023"/>
    <s v="Q2-2023"/>
    <m/>
    <d v="2023-04-20T00:00:00"/>
    <d v="2023-04-13T00:00:00"/>
    <n v="7"/>
    <s v="Europe"/>
    <s v="France"/>
    <s v="Lyon"/>
    <m/>
    <s v="Small Business"/>
    <s v="Online"/>
    <x v="7"/>
    <x v="3"/>
    <m/>
    <x v="506"/>
    <n v="227.02"/>
    <n v="434.72"/>
    <n v="434.72"/>
    <n v="9.8000000000000004E-2"/>
    <n v="9.8000000000000004E-2"/>
    <x v="10"/>
    <n v="3921.1744000000008"/>
    <n v="2270.2000000000003"/>
    <x v="507"/>
    <n v="0.42104079838938052"/>
  </r>
  <r>
    <x v="507"/>
    <d v="2024-11-12T00:00:00"/>
    <s v="Nov-2024"/>
    <s v="Q4-2024"/>
    <m/>
    <d v="2024-11-21T00:00:00"/>
    <d v="2024-11-12T00:00:00"/>
    <n v="9"/>
    <s v="Asia"/>
    <s v="India"/>
    <s v="Mumbai"/>
    <m/>
    <s v="Corporate"/>
    <s v="Direct"/>
    <x v="9"/>
    <x v="3"/>
    <m/>
    <x v="507"/>
    <n v="903.41"/>
    <n v="1860.41"/>
    <n v="1860.41"/>
    <n v="0.108"/>
    <n v="0.108"/>
    <x v="27"/>
    <n v="8297.4286000000011"/>
    <n v="4517.05"/>
    <x v="508"/>
    <n v="0.455608451996803"/>
  </r>
  <r>
    <x v="508"/>
    <d v="2023-05-10T00:00:00"/>
    <s v="May-2023"/>
    <s v="Q2-2023"/>
    <m/>
    <d v="2023-05-14T00:00:00"/>
    <d v="2023-05-10T00:00:00"/>
    <n v="4"/>
    <s v="Asia"/>
    <s v="India"/>
    <s v="Delhi"/>
    <m/>
    <s v="Non-Profit"/>
    <s v="Distributor"/>
    <x v="11"/>
    <x v="4"/>
    <m/>
    <x v="508"/>
    <n v="622.6"/>
    <n v="833.69"/>
    <n v="833.69"/>
    <n v="0.20899999999999999"/>
    <n v="0.20899999999999999"/>
    <x v="16"/>
    <n v="9232.2830599999998"/>
    <n v="8716.4"/>
    <x v="509"/>
    <n v="5.5878167582959715E-2"/>
  </r>
  <r>
    <x v="509"/>
    <d v="2024-03-02T00:00:00"/>
    <s v="Mar-2024"/>
    <s v="Q1-2024"/>
    <m/>
    <d v="2024-03-23T00:00:00"/>
    <d v="2024-03-02T00:00:00"/>
    <n v="21"/>
    <s v="Americas"/>
    <s v="USA"/>
    <s v="Chicago"/>
    <m/>
    <s v="Small Business"/>
    <s v="Online"/>
    <x v="8"/>
    <x v="5"/>
    <m/>
    <x v="509"/>
    <n v="225.01"/>
    <n v="333.48"/>
    <n v="333.48"/>
    <n v="0.11899999999999999"/>
    <n v="0.11899999999999999"/>
    <x v="1"/>
    <n v="3525.5505600000001"/>
    <n v="2700.12"/>
    <x v="510"/>
    <n v="0.23412813004729685"/>
  </r>
  <r>
    <x v="510"/>
    <d v="2024-10-10T00:00:00"/>
    <s v="Oct-2024"/>
    <s v="Q4-2024"/>
    <m/>
    <d v="2024-10-11T00:00:00"/>
    <d v="2024-10-10T00:00:00"/>
    <n v="1"/>
    <s v="Europe"/>
    <s v="United Kingdom"/>
    <s v="Manchester"/>
    <m/>
    <s v="Non-Profit"/>
    <s v="Distributor"/>
    <x v="3"/>
    <x v="5"/>
    <m/>
    <x v="510"/>
    <n v="1389.46"/>
    <n v="1784.7"/>
    <n v="1784.7"/>
    <n v="0.14599999999999999"/>
    <n v="0.14599999999999999"/>
    <x v="49"/>
    <n v="50296.415399999998"/>
    <n v="45852.18"/>
    <x v="511"/>
    <n v="8.8360877503011831E-2"/>
  </r>
  <r>
    <x v="511"/>
    <d v="2023-06-01T00:00:00"/>
    <s v="Jun-2023"/>
    <s v="Q2-2023"/>
    <m/>
    <d v="2023-06-08T00:00:00"/>
    <d v="2023-06-01T00:00:00"/>
    <n v="7"/>
    <s v="Europe"/>
    <s v="Germany"/>
    <s v="Frankfurt"/>
    <m/>
    <s v="Consumer"/>
    <s v="Online"/>
    <x v="7"/>
    <x v="2"/>
    <m/>
    <x v="511"/>
    <n v="804.17"/>
    <n v="1072.29"/>
    <n v="1072.29"/>
    <n v="3.2000000000000001E-2"/>
    <n v="3.2000000000000001E-2"/>
    <x v="27"/>
    <n v="5189.8836000000001"/>
    <n v="4020.85"/>
    <x v="512"/>
    <n v="0.2252523736755869"/>
  </r>
  <r>
    <x v="512"/>
    <d v="2025-01-04T00:00:00"/>
    <s v="Jan-2025"/>
    <s v="Q1-2025"/>
    <m/>
    <d v="2025-01-05T00:00:00"/>
    <d v="2025-01-04T00:00:00"/>
    <n v="1"/>
    <s v="Asia"/>
    <s v="India"/>
    <s v="Delhi"/>
    <m/>
    <s v="Education"/>
    <s v="Retail"/>
    <x v="1"/>
    <x v="5"/>
    <m/>
    <x v="512"/>
    <n v="1428.33"/>
    <n v="3028.05"/>
    <n v="3028.05"/>
    <n v="0"/>
    <n v="0"/>
    <x v="21"/>
    <n v="33308.550000000003"/>
    <n v="15711.63"/>
    <x v="513"/>
    <n v="0.52830039134096207"/>
  </r>
  <r>
    <x v="513"/>
    <d v="2025-08-05T00:00:00"/>
    <s v="Aug-2025"/>
    <s v="Q3-2025"/>
    <m/>
    <d v="2025-08-28T00:00:00"/>
    <d v="2025-08-05T00:00:00"/>
    <n v="23"/>
    <s v="Asia"/>
    <s v="India"/>
    <s v="Mumbai"/>
    <m/>
    <s v="Non-Profit"/>
    <s v="Distributor"/>
    <x v="13"/>
    <x v="3"/>
    <m/>
    <x v="513"/>
    <n v="638.54"/>
    <n v="987.24"/>
    <n v="987.24"/>
    <n v="0"/>
    <n v="0"/>
    <x v="21"/>
    <n v="10859.64"/>
    <n v="7023.94"/>
    <x v="514"/>
    <n v="0.35320692030306716"/>
  </r>
  <r>
    <x v="514"/>
    <d v="2023-09-30T00:00:00"/>
    <s v="Sep-2023"/>
    <s v="Q3-2023"/>
    <m/>
    <d v="2023-10-30T00:00:00"/>
    <d v="2023-09-30T00:00:00"/>
    <n v="30"/>
    <s v="Asia"/>
    <s v="Japan"/>
    <s v="Tokyo"/>
    <m/>
    <s v="Enterprise"/>
    <s v="Online"/>
    <x v="14"/>
    <x v="0"/>
    <m/>
    <x v="514"/>
    <n v="649.13"/>
    <n v="975.43"/>
    <n v="975.43"/>
    <n v="0.157"/>
    <n v="0.157"/>
    <x v="19"/>
    <n v="22201.762229999997"/>
    <n v="17526.509999999998"/>
    <x v="515"/>
    <n v="0.21058023149543473"/>
  </r>
  <r>
    <x v="515"/>
    <d v="2025-05-17T00:00:00"/>
    <s v="May-2025"/>
    <s v="Q2-2025"/>
    <m/>
    <d v="2025-05-30T00:00:00"/>
    <d v="2025-05-17T00:00:00"/>
    <n v="13"/>
    <s v="Africa"/>
    <s v="Nigeria"/>
    <s v="Lagos"/>
    <m/>
    <s v="Consumer"/>
    <s v="Distributor"/>
    <x v="8"/>
    <x v="6"/>
    <m/>
    <x v="515"/>
    <n v="66.400000000000006"/>
    <n v="141.43"/>
    <n v="141.43"/>
    <n v="0.107"/>
    <n v="0.107"/>
    <x v="15"/>
    <n v="1010.3759200000001"/>
    <n v="531.20000000000005"/>
    <x v="516"/>
    <n v="0.47425508715607551"/>
  </r>
  <r>
    <x v="516"/>
    <d v="2024-05-01T00:00:00"/>
    <s v="May-2024"/>
    <s v="Q2-2024"/>
    <m/>
    <d v="2024-05-26T00:00:00"/>
    <d v="2024-05-01T00:00:00"/>
    <n v="25"/>
    <s v="Europe"/>
    <s v="Germany"/>
    <s v="Berlin"/>
    <m/>
    <s v="Non-Profit"/>
    <s v="Retail"/>
    <x v="4"/>
    <x v="1"/>
    <m/>
    <x v="516"/>
    <n v="930.71"/>
    <n v="1625.42"/>
    <n v="1625.42"/>
    <n v="0.13800000000000001"/>
    <n v="0.13800000000000001"/>
    <x v="4"/>
    <n v="9807.7842799999999"/>
    <n v="6514.97"/>
    <x v="517"/>
    <n v="0.33573477821231196"/>
  </r>
  <r>
    <x v="517"/>
    <d v="2023-05-01T00:00:00"/>
    <s v="May-2023"/>
    <s v="Q2-2023"/>
    <m/>
    <d v="2023-05-18T00:00:00"/>
    <d v="2023-05-01T00:00:00"/>
    <n v="17"/>
    <s v="Africa"/>
    <s v="Nigeria"/>
    <s v="Port Harcourt"/>
    <m/>
    <s v="Corporate"/>
    <s v="Direct"/>
    <x v="8"/>
    <x v="5"/>
    <m/>
    <x v="517"/>
    <n v="327.97"/>
    <n v="299.94"/>
    <n v="299.94"/>
    <n v="4.9000000000000002E-2"/>
    <n v="4.9000000000000002E-2"/>
    <x v="28"/>
    <n v="855.72881999999993"/>
    <n v="983.91000000000008"/>
    <x v="518"/>
    <n v="-0.14979182306843442"/>
  </r>
  <r>
    <x v="518"/>
    <d v="2024-07-09T00:00:00"/>
    <s v="Jul-2024"/>
    <s v="Q3-2024"/>
    <m/>
    <d v="2024-08-08T00:00:00"/>
    <d v="2024-07-09T00:00:00"/>
    <n v="30"/>
    <s v="Europe"/>
    <s v="France"/>
    <s v="Marseille"/>
    <m/>
    <s v="Corporate"/>
    <s v="Direct"/>
    <x v="0"/>
    <x v="5"/>
    <m/>
    <x v="518"/>
    <n v="1062.3800000000001"/>
    <n v="1503.96"/>
    <n v="1503.96"/>
    <n v="0.18"/>
    <n v="0.18"/>
    <x v="7"/>
    <n v="7399.4832000000006"/>
    <n v="6374.2800000000007"/>
    <x v="519"/>
    <n v="0.13855064905073369"/>
  </r>
  <r>
    <x v="519"/>
    <d v="2023-05-10T00:00:00"/>
    <s v="May-2023"/>
    <s v="Q2-2023"/>
    <m/>
    <d v="2023-05-27T00:00:00"/>
    <d v="2023-05-10T00:00:00"/>
    <n v="17"/>
    <s v="Asia"/>
    <s v="India"/>
    <s v="Mumbai"/>
    <m/>
    <s v="Consumer"/>
    <s v="Retail"/>
    <x v="12"/>
    <x v="3"/>
    <m/>
    <x v="519"/>
    <n v="1286.1600000000001"/>
    <n v="3101.11"/>
    <n v="3101.11"/>
    <n v="0.1"/>
    <n v="0.1"/>
    <x v="8"/>
    <n v="64192.976999999999"/>
    <n v="29581.68"/>
    <x v="520"/>
    <n v="0.53917575749758417"/>
  </r>
  <r>
    <x v="520"/>
    <d v="2024-07-09T00:00:00"/>
    <s v="Jul-2024"/>
    <s v="Q3-2024"/>
    <m/>
    <d v="2024-07-12T00:00:00"/>
    <d v="2024-07-09T00:00:00"/>
    <n v="3"/>
    <s v="Asia"/>
    <s v="China"/>
    <s v="Shanghai"/>
    <m/>
    <s v="Small Business"/>
    <s v="Retail"/>
    <x v="14"/>
    <x v="6"/>
    <m/>
    <x v="520"/>
    <n v="748.39"/>
    <n v="979.42"/>
    <n v="979.42"/>
    <n v="0"/>
    <n v="0"/>
    <x v="8"/>
    <n v="22526.66"/>
    <n v="17212.97"/>
    <x v="521"/>
    <n v="0.23588450307324738"/>
  </r>
  <r>
    <x v="521"/>
    <d v="2024-04-24T00:00:00"/>
    <s v="Apr-2024"/>
    <s v="Q2-2024"/>
    <m/>
    <d v="2024-05-10T00:00:00"/>
    <d v="2024-04-24T00:00:00"/>
    <n v="16"/>
    <s v="Africa"/>
    <s v="Kenya"/>
    <s v="Kisumu"/>
    <m/>
    <s v="Non-Profit"/>
    <s v="Online"/>
    <x v="13"/>
    <x v="4"/>
    <m/>
    <x v="521"/>
    <n v="513.30999999999995"/>
    <n v="1186.26"/>
    <n v="1186.26"/>
    <n v="9.4E-2"/>
    <n v="9.4E-2"/>
    <x v="3"/>
    <n v="16121.273400000002"/>
    <n v="7699.65"/>
    <x v="522"/>
    <n v="0.52239194702820446"/>
  </r>
  <r>
    <x v="522"/>
    <d v="2024-01-13T00:00:00"/>
    <s v="Jan-2024"/>
    <s v="Q1-2024"/>
    <m/>
    <d v="2024-01-15T00:00:00"/>
    <d v="2024-01-13T00:00:00"/>
    <n v="2"/>
    <s v="Americas"/>
    <s v="USA"/>
    <s v="San Francisco"/>
    <m/>
    <s v="Non-Profit"/>
    <s v="Direct"/>
    <x v="5"/>
    <x v="5"/>
    <m/>
    <x v="522"/>
    <n v="1061.3699999999999"/>
    <n v="1938.33"/>
    <n v="1938.33"/>
    <n v="0.17"/>
    <n v="0.17"/>
    <x v="5"/>
    <n v="6435.2555999999995"/>
    <n v="4245.4799999999996"/>
    <x v="523"/>
    <n v="0.34027795259600879"/>
  </r>
  <r>
    <x v="523"/>
    <d v="2024-04-16T00:00:00"/>
    <s v="Apr-2024"/>
    <s v="Q2-2024"/>
    <m/>
    <d v="2024-04-27T00:00:00"/>
    <d v="2024-04-16T00:00:00"/>
    <n v="11"/>
    <s v="Africa"/>
    <s v="Kenya"/>
    <s v="Nakuru"/>
    <m/>
    <s v="Enterprise"/>
    <s v="Online"/>
    <x v="14"/>
    <x v="0"/>
    <m/>
    <x v="523"/>
    <n v="401.3"/>
    <n v="826.47"/>
    <n v="826.47"/>
    <n v="0.22500000000000001"/>
    <n v="0.22500000000000001"/>
    <x v="20"/>
    <n v="8326.6852500000005"/>
    <n v="5216.9000000000005"/>
    <x v="524"/>
    <n v="0.37347217489696755"/>
  </r>
  <r>
    <x v="524"/>
    <d v="2025-02-07T00:00:00"/>
    <s v="Feb-2025"/>
    <s v="Q1-2025"/>
    <m/>
    <d v="2025-02-16T00:00:00"/>
    <d v="2025-02-07T00:00:00"/>
    <n v="9"/>
    <s v="Africa"/>
    <s v="Nigeria"/>
    <s v="Lagos"/>
    <m/>
    <s v="Small Business"/>
    <s v="Distributor"/>
    <x v="11"/>
    <x v="0"/>
    <m/>
    <x v="524"/>
    <n v="90.68"/>
    <n v="118.17"/>
    <n v="118.17"/>
    <n v="0.13500000000000001"/>
    <n v="0.13500000000000001"/>
    <x v="42"/>
    <n v="2146.5580500000001"/>
    <n v="1904.2800000000002"/>
    <x v="525"/>
    <n v="0.11286815653552899"/>
  </r>
  <r>
    <x v="525"/>
    <d v="2023-01-12T00:00:00"/>
    <s v="Jan-2023"/>
    <s v="Q1-2023"/>
    <m/>
    <d v="2023-01-26T00:00:00"/>
    <d v="2023-01-12T00:00:00"/>
    <n v="14"/>
    <s v="Asia"/>
    <s v="China"/>
    <s v="Shenzhen"/>
    <m/>
    <s v="Non-Profit"/>
    <s v="Retail"/>
    <x v="12"/>
    <x v="0"/>
    <m/>
    <x v="525"/>
    <n v="1083.0899999999999"/>
    <n v="1425.87"/>
    <n v="1425.87"/>
    <n v="0"/>
    <n v="0"/>
    <x v="15"/>
    <n v="11406.96"/>
    <n v="8664.7199999999993"/>
    <x v="526"/>
    <n v="0.24040059752992909"/>
  </r>
  <r>
    <x v="526"/>
    <d v="2024-06-05T00:00:00"/>
    <s v="Jun-2024"/>
    <s v="Q2-2024"/>
    <m/>
    <d v="2024-06-23T00:00:00"/>
    <d v="2024-06-05T00:00:00"/>
    <n v="18"/>
    <s v="Africa"/>
    <s v="Kenya"/>
    <s v="Nairobi"/>
    <m/>
    <s v="Consumer"/>
    <s v="Distributor"/>
    <x v="14"/>
    <x v="3"/>
    <m/>
    <x v="526"/>
    <n v="1208.74"/>
    <n v="1594.78"/>
    <n v="1594.78"/>
    <n v="5.8999999999999997E-2"/>
    <n v="5.8999999999999997E-2"/>
    <x v="32"/>
    <n v="58526.83122"/>
    <n v="47140.86"/>
    <x v="527"/>
    <n v="0.1945427589817838"/>
  </r>
  <r>
    <x v="527"/>
    <d v="2023-08-24T00:00:00"/>
    <s v="Aug-2023"/>
    <s v="Q3-2023"/>
    <m/>
    <d v="2023-09-20T00:00:00"/>
    <d v="2023-08-24T00:00:00"/>
    <n v="27"/>
    <s v="Africa"/>
    <s v="South Africa"/>
    <s v="Durban"/>
    <m/>
    <s v="Small Business"/>
    <s v="Marketplace"/>
    <x v="12"/>
    <x v="0"/>
    <m/>
    <x v="527"/>
    <n v="1399.64"/>
    <n v="3342.11"/>
    <n v="3342.11"/>
    <n v="0"/>
    <n v="0"/>
    <x v="10"/>
    <n v="33421.1"/>
    <n v="13996.400000000001"/>
    <x v="528"/>
    <n v="0.58121067229983447"/>
  </r>
  <r>
    <x v="528"/>
    <d v="2024-01-25T00:00:00"/>
    <s v="Jan-2024"/>
    <s v="Q1-2024"/>
    <m/>
    <d v="2024-02-08T00:00:00"/>
    <d v="2024-01-25T00:00:00"/>
    <n v="14"/>
    <s v="Asia"/>
    <s v="Japan"/>
    <s v="Osaka"/>
    <m/>
    <s v="Consumer"/>
    <s v="Marketplace"/>
    <x v="1"/>
    <x v="1"/>
    <m/>
    <x v="528"/>
    <n v="937.16"/>
    <n v="1069.77"/>
    <n v="1069.77"/>
    <n v="3.7999999999999999E-2"/>
    <n v="3.7999999999999999E-2"/>
    <x v="11"/>
    <n v="9262.0686600000008"/>
    <n v="8434.44"/>
    <x v="529"/>
    <n v="8.9356783066645962E-2"/>
  </r>
  <r>
    <x v="529"/>
    <d v="2025-03-11T00:00:00"/>
    <s v="Mar-2025"/>
    <s v="Q1-2025"/>
    <m/>
    <d v="2025-03-26T00:00:00"/>
    <d v="2025-03-11T00:00:00"/>
    <n v="15"/>
    <s v="Europe"/>
    <s v="Germany"/>
    <s v="Berlin"/>
    <m/>
    <s v="Small Business"/>
    <s v="Online"/>
    <x v="1"/>
    <x v="2"/>
    <m/>
    <x v="529"/>
    <n v="116.97"/>
    <n v="140.82"/>
    <n v="140.82"/>
    <n v="0.122"/>
    <n v="0.122"/>
    <x v="27"/>
    <n v="618.19979999999987"/>
    <n v="584.85"/>
    <x v="530"/>
    <n v="5.3946636669891926E-2"/>
  </r>
  <r>
    <x v="530"/>
    <d v="2025-04-22T00:00:00"/>
    <s v="Apr-2025"/>
    <s v="Q2-2025"/>
    <m/>
    <d v="2025-05-12T00:00:00"/>
    <d v="2025-04-22T00:00:00"/>
    <n v="20"/>
    <s v="Europe"/>
    <s v="France"/>
    <s v="Lyon"/>
    <m/>
    <s v="Enterprise"/>
    <s v="Marketplace"/>
    <x v="10"/>
    <x v="4"/>
    <m/>
    <x v="530"/>
    <n v="59.51"/>
    <n v="67.040000000000006"/>
    <n v="67.040000000000006"/>
    <n v="0.114"/>
    <n v="0.114"/>
    <x v="11"/>
    <n v="534.57695999999999"/>
    <n v="535.59"/>
    <x v="531"/>
    <n v="-1.8950311663264469E-3"/>
  </r>
  <r>
    <x v="531"/>
    <d v="2023-08-17T00:00:00"/>
    <s v="Aug-2023"/>
    <s v="Q3-2023"/>
    <m/>
    <d v="2023-09-03T00:00:00"/>
    <d v="2023-08-17T00:00:00"/>
    <n v="17"/>
    <s v="Africa"/>
    <s v="South Africa"/>
    <s v="Durban"/>
    <m/>
    <s v="Enterprise"/>
    <s v="Retail"/>
    <x v="7"/>
    <x v="2"/>
    <m/>
    <x v="531"/>
    <n v="676.37"/>
    <n v="1276.67"/>
    <n v="1276.67"/>
    <n v="6.6000000000000003E-2"/>
    <n v="6.6000000000000003E-2"/>
    <x v="10"/>
    <n v="11924.0978"/>
    <n v="6763.7"/>
    <x v="532"/>
    <n v="0.4327705027712872"/>
  </r>
  <r>
    <x v="532"/>
    <d v="2025-06-24T00:00:00"/>
    <s v="Jun-2025"/>
    <s v="Q2-2025"/>
    <m/>
    <d v="2025-07-14T00:00:00"/>
    <d v="2025-06-24T00:00:00"/>
    <n v="20"/>
    <s v="Africa"/>
    <s v="South Africa"/>
    <s v="Johannesburg"/>
    <m/>
    <s v="Enterprise"/>
    <s v="Marketplace"/>
    <x v="0"/>
    <x v="3"/>
    <m/>
    <x v="532"/>
    <n v="1151.06"/>
    <n v="2821.36"/>
    <n v="2821.36"/>
    <n v="0.248"/>
    <n v="0.248"/>
    <x v="9"/>
    <n v="42433.254400000005"/>
    <n v="23021.199999999997"/>
    <x v="533"/>
    <n v="0.45747267501594235"/>
  </r>
  <r>
    <x v="533"/>
    <d v="2025-01-10T00:00:00"/>
    <s v="Jan-2025"/>
    <s v="Q1-2025"/>
    <m/>
    <d v="2025-02-06T00:00:00"/>
    <d v="2025-01-10T00:00:00"/>
    <n v="27"/>
    <s v="Americas"/>
    <s v="Brazil"/>
    <s v="Brasília"/>
    <m/>
    <s v="Non-Profit"/>
    <s v="Retail"/>
    <x v="4"/>
    <x v="3"/>
    <m/>
    <x v="533"/>
    <n v="725.62"/>
    <n v="1559.19"/>
    <n v="1559.19"/>
    <n v="0.19"/>
    <n v="0.19"/>
    <x v="1"/>
    <n v="15155.326800000001"/>
    <n v="8707.44"/>
    <x v="534"/>
    <n v="0.42545349797405885"/>
  </r>
  <r>
    <x v="534"/>
    <d v="2023-07-01T00:00:00"/>
    <s v="Jul-2023"/>
    <s v="Q3-2023"/>
    <m/>
    <d v="2023-07-11T00:00:00"/>
    <d v="2023-07-01T00:00:00"/>
    <n v="10"/>
    <s v="Europe"/>
    <s v="France"/>
    <s v="Paris"/>
    <m/>
    <s v="Corporate"/>
    <s v="Direct"/>
    <x v="8"/>
    <x v="1"/>
    <m/>
    <x v="534"/>
    <n v="479.5"/>
    <n v="656.66"/>
    <n v="656.66"/>
    <n v="0.14899999999999999"/>
    <n v="0.14899999999999999"/>
    <x v="16"/>
    <n v="7823.4472399999995"/>
    <n v="6713"/>
    <x v="535"/>
    <n v="0.14193835606412289"/>
  </r>
  <r>
    <x v="535"/>
    <d v="2024-08-16T00:00:00"/>
    <s v="Aug-2024"/>
    <s v="Q3-2024"/>
    <m/>
    <d v="2024-08-26T00:00:00"/>
    <d v="2024-08-16T00:00:00"/>
    <n v="10"/>
    <s v="Americas"/>
    <s v="USA"/>
    <s v="Chicago"/>
    <m/>
    <s v="Corporate"/>
    <s v="Distributor"/>
    <x v="3"/>
    <x v="3"/>
    <m/>
    <x v="386"/>
    <n v="1291.7"/>
    <n v="2657.84"/>
    <n v="2657.84"/>
    <n v="8.6999999999999994E-2"/>
    <n v="8.6999999999999994E-2"/>
    <x v="42"/>
    <n v="50958.766320000002"/>
    <n v="27125.7"/>
    <x v="536"/>
    <n v="0.46769315745083367"/>
  </r>
  <r>
    <x v="536"/>
    <d v="2023-07-07T00:00:00"/>
    <s v="Jul-2023"/>
    <s v="Q3-2023"/>
    <m/>
    <d v="2023-07-13T00:00:00"/>
    <d v="2023-07-07T00:00:00"/>
    <n v="6"/>
    <s v="Africa"/>
    <s v="South Africa"/>
    <s v="Cape Town"/>
    <m/>
    <s v="Small Business"/>
    <s v="Marketplace"/>
    <x v="4"/>
    <x v="6"/>
    <m/>
    <x v="535"/>
    <n v="612.59"/>
    <n v="1424.74"/>
    <n v="1424.74"/>
    <n v="4.3999999999999997E-2"/>
    <n v="4.3999999999999997E-2"/>
    <x v="3"/>
    <n v="20430.771599999996"/>
    <n v="9188.85"/>
    <x v="537"/>
    <n v="0.55024459281802152"/>
  </r>
  <r>
    <x v="537"/>
    <d v="2023-12-28T00:00:00"/>
    <s v="Dec-2023"/>
    <s v="Q4-2023"/>
    <m/>
    <d v="2024-01-01T00:00:00"/>
    <d v="2023-12-28T00:00:00"/>
    <n v="4"/>
    <s v="Africa"/>
    <s v="South Africa"/>
    <s v="Cape Town"/>
    <m/>
    <s v="Education"/>
    <s v="Distributor"/>
    <x v="7"/>
    <x v="0"/>
    <m/>
    <x v="536"/>
    <n v="1141.8"/>
    <n v="2318.7399999999998"/>
    <n v="2318.7399999999998"/>
    <n v="0.107"/>
    <n v="0.107"/>
    <x v="48"/>
    <n v="66260.314239999992"/>
    <n v="36537.599999999999"/>
    <x v="538"/>
    <n v="0.44857490612468304"/>
  </r>
  <r>
    <x v="538"/>
    <d v="2023-01-26T00:00:00"/>
    <s v="Jan-2023"/>
    <s v="Q1-2023"/>
    <m/>
    <d v="2023-02-15T00:00:00"/>
    <d v="2023-01-26T00:00:00"/>
    <n v="20"/>
    <s v="Europe"/>
    <s v="Germany"/>
    <s v="Berlin"/>
    <m/>
    <s v="Small Business"/>
    <s v="Online"/>
    <x v="6"/>
    <x v="1"/>
    <m/>
    <x v="537"/>
    <n v="492.62"/>
    <n v="366.7"/>
    <n v="366.7"/>
    <n v="8.8999999999999996E-2"/>
    <n v="8.8999999999999996E-2"/>
    <x v="10"/>
    <n v="3340.6370000000002"/>
    <n v="4926.2"/>
    <x v="539"/>
    <n v="-0.47462894052840809"/>
  </r>
  <r>
    <x v="539"/>
    <d v="2023-07-08T00:00:00"/>
    <s v="Jul-2023"/>
    <s v="Q3-2023"/>
    <m/>
    <d v="2023-07-09T00:00:00"/>
    <d v="2023-07-08T00:00:00"/>
    <n v="1"/>
    <s v="Africa"/>
    <s v="Kenya"/>
    <s v="Nairobi"/>
    <m/>
    <s v="Consumer"/>
    <s v="Online"/>
    <x v="14"/>
    <x v="3"/>
    <m/>
    <x v="538"/>
    <n v="1258.72"/>
    <n v="2797.41"/>
    <n v="2797.41"/>
    <n v="0"/>
    <n v="0"/>
    <x v="4"/>
    <n v="19581.87"/>
    <n v="8811.0400000000009"/>
    <x v="540"/>
    <n v="0.55004093071805704"/>
  </r>
  <r>
    <x v="540"/>
    <d v="2024-06-07T00:00:00"/>
    <s v="Jun-2024"/>
    <s v="Q2-2024"/>
    <m/>
    <d v="2024-06-09T00:00:00"/>
    <d v="2024-06-07T00:00:00"/>
    <n v="2"/>
    <s v="Asia"/>
    <s v="China"/>
    <s v="Shanghai"/>
    <m/>
    <s v="Corporate"/>
    <s v="Retail"/>
    <x v="6"/>
    <x v="4"/>
    <m/>
    <x v="539"/>
    <n v="1370.28"/>
    <n v="2209.66"/>
    <n v="2209.66"/>
    <n v="0.13300000000000001"/>
    <n v="0.13300000000000001"/>
    <x v="13"/>
    <n v="30652.403519999996"/>
    <n v="21924.48"/>
    <x v="541"/>
    <n v="0.28473863442079589"/>
  </r>
  <r>
    <x v="541"/>
    <d v="2023-02-11T00:00:00"/>
    <s v="Feb-2023"/>
    <s v="Q1-2023"/>
    <m/>
    <d v="2023-02-12T00:00:00"/>
    <d v="2023-02-11T00:00:00"/>
    <n v="1"/>
    <s v="Africa"/>
    <s v="Nigeria"/>
    <s v="Port Harcourt"/>
    <m/>
    <s v="Non-Profit"/>
    <s v="Direct"/>
    <x v="14"/>
    <x v="6"/>
    <m/>
    <x v="540"/>
    <n v="944.61"/>
    <n v="839.04"/>
    <n v="839.04"/>
    <n v="5.8999999999999997E-2"/>
    <n v="5.8999999999999997E-2"/>
    <x v="7"/>
    <n v="4737.2198399999997"/>
    <n v="5667.66"/>
    <x v="542"/>
    <n v="-0.19641059343363726"/>
  </r>
  <r>
    <x v="542"/>
    <d v="2023-07-01T00:00:00"/>
    <s v="Jul-2023"/>
    <s v="Q3-2023"/>
    <m/>
    <d v="2023-07-08T00:00:00"/>
    <d v="2023-07-01T00:00:00"/>
    <n v="7"/>
    <s v="Europe"/>
    <s v="Germany"/>
    <s v="Frankfurt"/>
    <m/>
    <s v="Small Business"/>
    <s v="Distributor"/>
    <x v="13"/>
    <x v="3"/>
    <m/>
    <x v="541"/>
    <n v="460.21"/>
    <n v="1139.1500000000001"/>
    <n v="1139.1500000000001"/>
    <n v="0.115"/>
    <n v="0.115"/>
    <x v="16"/>
    <n v="14114.068500000001"/>
    <n v="6442.94"/>
    <x v="543"/>
    <n v="0.54350937151821255"/>
  </r>
  <r>
    <x v="543"/>
    <d v="2025-08-20T00:00:00"/>
    <s v="Aug-2025"/>
    <s v="Q3-2025"/>
    <m/>
    <d v="2025-08-26T00:00:00"/>
    <d v="2025-08-20T00:00:00"/>
    <n v="6"/>
    <s v="Americas"/>
    <s v="USA"/>
    <s v="New York"/>
    <m/>
    <s v="Corporate"/>
    <s v="Retail"/>
    <x v="12"/>
    <x v="1"/>
    <m/>
    <x v="542"/>
    <n v="1304.95"/>
    <n v="1712.03"/>
    <n v="1712.03"/>
    <n v="0.21199999999999999"/>
    <n v="0.21199999999999999"/>
    <x v="15"/>
    <n v="10792.637119999999"/>
    <n v="10439.6"/>
    <x v="544"/>
    <n v="3.2710922833287949E-2"/>
  </r>
  <r>
    <x v="544"/>
    <d v="2024-03-04T00:00:00"/>
    <s v="Mar-2024"/>
    <s v="Q1-2024"/>
    <m/>
    <d v="2024-03-16T00:00:00"/>
    <d v="2024-03-04T00:00:00"/>
    <n v="12"/>
    <s v="Africa"/>
    <s v="South Africa"/>
    <s v="Johannesburg"/>
    <m/>
    <s v="Enterprise"/>
    <s v="Distributor"/>
    <x v="12"/>
    <x v="4"/>
    <m/>
    <x v="543"/>
    <n v="441.08"/>
    <n v="1054.29"/>
    <n v="1054.29"/>
    <n v="0.23699999999999999"/>
    <n v="0.23699999999999999"/>
    <x v="7"/>
    <n v="4826.5396199999996"/>
    <n v="2646.48"/>
    <x v="545"/>
    <n v="0.45168169985932899"/>
  </r>
  <r>
    <x v="545"/>
    <d v="2023-09-08T00:00:00"/>
    <s v="Sep-2023"/>
    <s v="Q3-2023"/>
    <m/>
    <d v="2023-10-02T00:00:00"/>
    <d v="2023-09-08T00:00:00"/>
    <n v="24"/>
    <s v="Americas"/>
    <s v="Canada"/>
    <s v="Toronto"/>
    <m/>
    <s v="Education"/>
    <s v="Direct"/>
    <x v="7"/>
    <x v="6"/>
    <m/>
    <x v="544"/>
    <n v="1299.03"/>
    <n v="2451.2199999999998"/>
    <n v="2451.2199999999998"/>
    <n v="0.20799999999999999"/>
    <n v="0.20799999999999999"/>
    <x v="15"/>
    <n v="15530.929919999999"/>
    <n v="10392.24"/>
    <x v="546"/>
    <n v="0.3308681416032041"/>
  </r>
  <r>
    <x v="546"/>
    <d v="2023-02-28T00:00:00"/>
    <s v="Feb-2023"/>
    <s v="Q1-2023"/>
    <m/>
    <d v="2023-03-06T00:00:00"/>
    <d v="2023-02-28T00:00:00"/>
    <n v="6"/>
    <s v="Europe"/>
    <s v="Germany"/>
    <s v="Frankfurt"/>
    <m/>
    <s v="Small Business"/>
    <s v="Marketplace"/>
    <x v="14"/>
    <x v="0"/>
    <m/>
    <x v="545"/>
    <n v="880.02"/>
    <n v="1251.21"/>
    <n v="1251.21"/>
    <n v="0.123"/>
    <n v="0.123"/>
    <x v="51"/>
    <n v="31822.023930000003"/>
    <n v="25520.579999999998"/>
    <x v="547"/>
    <n v="0.19802146915172672"/>
  </r>
  <r>
    <x v="547"/>
    <d v="2024-07-13T00:00:00"/>
    <s v="Jul-2024"/>
    <s v="Q3-2024"/>
    <m/>
    <d v="2024-08-03T00:00:00"/>
    <d v="2024-07-13T00:00:00"/>
    <n v="21"/>
    <s v="Americas"/>
    <s v="Brazil"/>
    <s v="Rio de Janeiro"/>
    <m/>
    <s v="Corporate"/>
    <s v="Marketplace"/>
    <x v="12"/>
    <x v="4"/>
    <m/>
    <x v="546"/>
    <n v="702.98"/>
    <n v="1104.8"/>
    <n v="1104.8"/>
    <n v="0.17499999999999999"/>
    <n v="0.17499999999999999"/>
    <x v="1"/>
    <n v="10937.519999999999"/>
    <n v="8435.76"/>
    <x v="548"/>
    <n v="0.22873192460448061"/>
  </r>
  <r>
    <x v="548"/>
    <d v="2024-12-07T00:00:00"/>
    <s v="Dec-2024"/>
    <s v="Q4-2024"/>
    <m/>
    <d v="2024-12-26T00:00:00"/>
    <d v="2024-12-07T00:00:00"/>
    <n v="19"/>
    <s v="Europe"/>
    <s v="United Kingdom"/>
    <s v="London"/>
    <m/>
    <s v="Enterprise"/>
    <s v="Online"/>
    <x v="14"/>
    <x v="1"/>
    <m/>
    <x v="547"/>
    <n v="1035.24"/>
    <n v="2383.41"/>
    <n v="2383.41"/>
    <n v="0.17"/>
    <n v="0.17"/>
    <x v="3"/>
    <n v="29673.454499999993"/>
    <n v="15528.6"/>
    <x v="549"/>
    <n v="0.47668378145860962"/>
  </r>
  <r>
    <x v="549"/>
    <d v="2025-08-06T00:00:00"/>
    <s v="Aug-2025"/>
    <s v="Q3-2025"/>
    <m/>
    <d v="2025-08-23T00:00:00"/>
    <d v="2025-08-06T00:00:00"/>
    <n v="17"/>
    <s v="Americas"/>
    <s v="Brazil"/>
    <s v="Brasília"/>
    <m/>
    <s v="Consumer"/>
    <s v="Distributor"/>
    <x v="7"/>
    <x v="4"/>
    <m/>
    <x v="548"/>
    <n v="86.64"/>
    <n v="213.06"/>
    <n v="213.06"/>
    <n v="0.21199999999999999"/>
    <n v="0.21199999999999999"/>
    <x v="21"/>
    <n v="1846.8040799999999"/>
    <n v="953.04"/>
    <x v="550"/>
    <n v="0.48395175735154322"/>
  </r>
  <r>
    <x v="550"/>
    <d v="2023-03-03T00:00:00"/>
    <s v="Mar-2023"/>
    <s v="Q1-2023"/>
    <m/>
    <d v="2023-03-20T00:00:00"/>
    <d v="2023-03-03T00:00:00"/>
    <n v="17"/>
    <s v="Asia"/>
    <s v="Japan"/>
    <s v="Nagoya"/>
    <m/>
    <s v="Small Business"/>
    <s v="Online"/>
    <x v="14"/>
    <x v="1"/>
    <m/>
    <x v="549"/>
    <n v="1171.17"/>
    <n v="2030.64"/>
    <n v="2030.64"/>
    <n v="0.157"/>
    <n v="0.157"/>
    <x v="21"/>
    <n v="18830.12472"/>
    <n v="12882.87"/>
    <x v="551"/>
    <n v="0.31583724528830415"/>
  </r>
  <r>
    <x v="551"/>
    <d v="2025-02-16T00:00:00"/>
    <s v="Feb-2025"/>
    <s v="Q1-2025"/>
    <m/>
    <d v="2025-03-17T00:00:00"/>
    <d v="2025-02-16T00:00:00"/>
    <n v="29"/>
    <s v="Europe"/>
    <s v="Germany"/>
    <s v="Munich"/>
    <m/>
    <s v="Consumer"/>
    <s v="Retail"/>
    <x v="3"/>
    <x v="6"/>
    <m/>
    <x v="550"/>
    <n v="730.42"/>
    <n v="956.7"/>
    <n v="956.7"/>
    <n v="4.2000000000000003E-2"/>
    <n v="4.2000000000000003E-2"/>
    <x v="2"/>
    <n v="20163.409200000002"/>
    <n v="16069.24"/>
    <x v="552"/>
    <n v="0.20304945256975698"/>
  </r>
  <r>
    <x v="552"/>
    <d v="2025-02-15T00:00:00"/>
    <s v="Feb-2025"/>
    <s v="Q1-2025"/>
    <m/>
    <d v="2025-03-01T00:00:00"/>
    <d v="2025-02-15T00:00:00"/>
    <n v="14"/>
    <s v="Africa"/>
    <s v="Kenya"/>
    <s v="Mombasa"/>
    <m/>
    <s v="Education"/>
    <s v="Direct"/>
    <x v="3"/>
    <x v="6"/>
    <m/>
    <x v="551"/>
    <n v="1162.8599999999999"/>
    <n v="1447.68"/>
    <n v="1447.68"/>
    <n v="8.6999999999999994E-2"/>
    <n v="8.6999999999999994E-2"/>
    <x v="1"/>
    <n v="15860.782080000001"/>
    <n v="13954.32"/>
    <x v="553"/>
    <n v="0.12019975247021369"/>
  </r>
  <r>
    <x v="553"/>
    <d v="2024-08-31T00:00:00"/>
    <s v="Aug-2024"/>
    <s v="Q3-2024"/>
    <m/>
    <d v="2024-09-26T00:00:00"/>
    <d v="2024-08-31T00:00:00"/>
    <n v="26"/>
    <s v="Asia"/>
    <s v="Japan"/>
    <s v="Tokyo"/>
    <m/>
    <s v="Education"/>
    <s v="Online"/>
    <x v="1"/>
    <x v="2"/>
    <m/>
    <x v="552"/>
    <n v="1189.03"/>
    <n v="2949.62"/>
    <n v="2949.62"/>
    <n v="0.125"/>
    <n v="0.125"/>
    <x v="20"/>
    <n v="33551.927499999998"/>
    <n v="15457.39"/>
    <x v="554"/>
    <n v="0.53929949330034765"/>
  </r>
  <r>
    <x v="554"/>
    <d v="2023-05-07T00:00:00"/>
    <s v="May-2023"/>
    <s v="Q2-2023"/>
    <m/>
    <d v="2023-05-20T00:00:00"/>
    <d v="2023-05-07T00:00:00"/>
    <n v="13"/>
    <s v="Asia"/>
    <s v="India"/>
    <s v="Mumbai"/>
    <m/>
    <s v="Enterprise"/>
    <s v="Retail"/>
    <x v="14"/>
    <x v="6"/>
    <m/>
    <x v="553"/>
    <n v="1443.28"/>
    <n v="2580.5700000000002"/>
    <n v="2580.5700000000002"/>
    <n v="0"/>
    <n v="0"/>
    <x v="6"/>
    <n v="46450.26"/>
    <n v="25979.040000000001"/>
    <x v="555"/>
    <n v="0.4407127107577008"/>
  </r>
  <r>
    <x v="555"/>
    <d v="2025-05-14T00:00:00"/>
    <s v="May-2025"/>
    <s v="Q2-2025"/>
    <m/>
    <d v="2025-05-12T00:00:00"/>
    <d v="2025-05-21T00:00:00"/>
    <n v="-9"/>
    <s v="Americas"/>
    <s v="Canada"/>
    <s v="Vancouver"/>
    <m/>
    <s v="Non-Profit"/>
    <s v="Distributor"/>
    <x v="8"/>
    <x v="0"/>
    <m/>
    <x v="554"/>
    <n v="883.5"/>
    <n v="1978.91"/>
    <n v="1978.91"/>
    <n v="5.3999999999999999E-2"/>
    <n v="5.3999999999999999E-2"/>
    <x v="19"/>
    <n v="50545.319219999998"/>
    <n v="23854.5"/>
    <x v="556"/>
    <n v="0.52805718970390547"/>
  </r>
  <r>
    <x v="556"/>
    <d v="2024-03-11T00:00:00"/>
    <s v="Mar-2024"/>
    <s v="Q1-2024"/>
    <m/>
    <d v="2024-03-29T00:00:00"/>
    <d v="2024-03-11T00:00:00"/>
    <n v="18"/>
    <s v="Americas"/>
    <s v="USA"/>
    <s v="New York"/>
    <m/>
    <s v="Corporate"/>
    <s v="Retail"/>
    <x v="12"/>
    <x v="4"/>
    <m/>
    <x v="555"/>
    <n v="710.98"/>
    <n v="1481.45"/>
    <n v="1481.45"/>
    <n v="0.21099999999999999"/>
    <n v="0.21099999999999999"/>
    <x v="11"/>
    <n v="10519.776450000001"/>
    <n v="6398.82"/>
    <x v="557"/>
    <n v="0.39173422264120461"/>
  </r>
  <r>
    <x v="557"/>
    <d v="2024-05-18T00:00:00"/>
    <s v="May-2024"/>
    <s v="Q2-2024"/>
    <m/>
    <d v="2024-05-22T00:00:00"/>
    <d v="2024-05-18T00:00:00"/>
    <n v="4"/>
    <s v="Africa"/>
    <s v="Kenya"/>
    <s v="Nairobi"/>
    <m/>
    <s v="Corporate"/>
    <s v="Direct"/>
    <x v="9"/>
    <x v="6"/>
    <m/>
    <x v="556"/>
    <n v="857.42"/>
    <n v="1658.92"/>
    <n v="1658.92"/>
    <n v="0.122"/>
    <n v="0.122"/>
    <x v="11"/>
    <n v="13108.78584"/>
    <n v="7716.78"/>
    <x v="558"/>
    <n v="0.41132763215544305"/>
  </r>
  <r>
    <x v="558"/>
    <d v="2024-01-08T00:00:00"/>
    <s v="Jan-2024"/>
    <s v="Q1-2024"/>
    <m/>
    <d v="2024-01-12T00:00:00"/>
    <d v="2024-01-08T00:00:00"/>
    <n v="4"/>
    <s v="Asia"/>
    <s v="India"/>
    <s v="Bengaluru"/>
    <m/>
    <s v="Corporate"/>
    <s v="Direct"/>
    <x v="5"/>
    <x v="0"/>
    <m/>
    <x v="557"/>
    <n v="802.32"/>
    <n v="602.34"/>
    <n v="602.34"/>
    <n v="0.12"/>
    <n v="0.12"/>
    <x v="30"/>
    <n v="13251.48"/>
    <n v="20058"/>
    <x v="559"/>
    <n v="-0.51364224977134632"/>
  </r>
  <r>
    <x v="559"/>
    <d v="2024-10-25T00:00:00"/>
    <s v="Oct-2024"/>
    <s v="Q4-2024"/>
    <m/>
    <d v="2024-11-05T00:00:00"/>
    <d v="2024-10-25T00:00:00"/>
    <n v="11"/>
    <s v="Americas"/>
    <s v="USA"/>
    <s v="New York"/>
    <m/>
    <s v="Corporate"/>
    <s v="Distributor"/>
    <x v="13"/>
    <x v="5"/>
    <m/>
    <x v="558"/>
    <n v="446.66"/>
    <n v="527.64"/>
    <n v="527.64"/>
    <n v="0.14499999999999999"/>
    <n v="0.14499999999999999"/>
    <x v="3"/>
    <n v="6766.9829999999993"/>
    <n v="6699.9000000000005"/>
    <x v="560"/>
    <n v="9.9132804087137105E-3"/>
  </r>
  <r>
    <x v="560"/>
    <d v="2024-11-30T00:00:00"/>
    <s v="Nov-2024"/>
    <s v="Q4-2024"/>
    <m/>
    <d v="2024-12-19T00:00:00"/>
    <d v="2024-11-30T00:00:00"/>
    <n v="19"/>
    <s v="Africa"/>
    <s v="Kenya"/>
    <s v="Kisumu"/>
    <m/>
    <s v="Corporate"/>
    <s v="Online"/>
    <x v="3"/>
    <x v="2"/>
    <m/>
    <x v="559"/>
    <n v="1195.98"/>
    <n v="1841.9"/>
    <n v="1841.9"/>
    <n v="5.5E-2"/>
    <n v="5.5E-2"/>
    <x v="14"/>
    <n v="33071.3145"/>
    <n v="22723.62"/>
    <x v="561"/>
    <n v="0.31289032977506842"/>
  </r>
  <r>
    <x v="561"/>
    <d v="2023-04-13T00:00:00"/>
    <s v="Apr-2023"/>
    <s v="Q2-2023"/>
    <m/>
    <d v="2023-05-02T00:00:00"/>
    <d v="2023-04-13T00:00:00"/>
    <n v="19"/>
    <s v="Americas"/>
    <s v="Canada"/>
    <s v="Montreal"/>
    <m/>
    <s v="Consumer"/>
    <s v="Distributor"/>
    <x v="5"/>
    <x v="4"/>
    <m/>
    <x v="560"/>
    <n v="671.05"/>
    <n v="1645.48"/>
    <n v="1645.48"/>
    <n v="0.13700000000000001"/>
    <n v="0.13700000000000001"/>
    <x v="7"/>
    <n v="8520.2954399999999"/>
    <n v="4026.2999999999997"/>
    <x v="562"/>
    <n v="0.52744596377517172"/>
  </r>
  <r>
    <x v="562"/>
    <d v="2025-02-04T00:00:00"/>
    <s v="Feb-2025"/>
    <s v="Q1-2025"/>
    <m/>
    <d v="2025-02-08T00:00:00"/>
    <d v="2025-02-04T00:00:00"/>
    <n v="4"/>
    <s v="Europe"/>
    <s v="United Kingdom"/>
    <s v="Manchester"/>
    <m/>
    <s v="Enterprise"/>
    <s v="Marketplace"/>
    <x v="3"/>
    <x v="1"/>
    <m/>
    <x v="561"/>
    <n v="586.21"/>
    <n v="727.22"/>
    <n v="727.22"/>
    <n v="6.8000000000000005E-2"/>
    <n v="6.8000000000000005E-2"/>
    <x v="3"/>
    <n v="10166.535600000001"/>
    <n v="8793.1500000000015"/>
    <x v="563"/>
    <n v="0.13508884973559721"/>
  </r>
  <r>
    <x v="563"/>
    <d v="2024-01-24T00:00:00"/>
    <s v="Jan-2024"/>
    <s v="Q1-2024"/>
    <m/>
    <d v="2024-02-04T00:00:00"/>
    <d v="2024-01-24T00:00:00"/>
    <n v="11"/>
    <s v="Europe"/>
    <s v="United Kingdom"/>
    <s v="Manchester"/>
    <m/>
    <s v="Consumer"/>
    <s v="Retail"/>
    <x v="4"/>
    <x v="3"/>
    <m/>
    <x v="562"/>
    <n v="525.34"/>
    <n v="1233.79"/>
    <n v="1233.79"/>
    <n v="0.14299999999999999"/>
    <n v="0.14299999999999999"/>
    <x v="5"/>
    <n v="4229.4321199999995"/>
    <n v="2101.36"/>
    <x v="564"/>
    <n v="0.50315788494082736"/>
  </r>
  <r>
    <x v="564"/>
    <d v="2024-02-08T00:00:00"/>
    <s v="Feb-2024"/>
    <s v="Q1-2024"/>
    <m/>
    <d v="2024-02-09T00:00:00"/>
    <d v="2024-02-08T00:00:00"/>
    <n v="1"/>
    <s v="Africa"/>
    <s v="Kenya"/>
    <s v="Mombasa"/>
    <m/>
    <s v="Corporate"/>
    <s v="Direct"/>
    <x v="8"/>
    <x v="5"/>
    <m/>
    <x v="563"/>
    <n v="1233.52"/>
    <n v="1543.76"/>
    <n v="1543.76"/>
    <n v="0.126"/>
    <n v="0.126"/>
    <x v="20"/>
    <n v="17540.201120000002"/>
    <n v="16035.76"/>
    <x v="565"/>
    <n v="8.5771030201277493E-2"/>
  </r>
  <r>
    <x v="565"/>
    <d v="2025-06-26T00:00:00"/>
    <s v="Jun-2025"/>
    <s v="Q2-2025"/>
    <m/>
    <d v="2025-07-11T00:00:00"/>
    <d v="2025-06-26T00:00:00"/>
    <n v="15"/>
    <s v="Africa"/>
    <s v="Nigeria"/>
    <s v="Port Harcourt"/>
    <m/>
    <s v="Small Business"/>
    <s v="Online"/>
    <x v="7"/>
    <x v="3"/>
    <m/>
    <x v="564"/>
    <n v="1170.1500000000001"/>
    <n v="2115.19"/>
    <n v="2115.19"/>
    <n v="9.1999999999999998E-2"/>
    <n v="9.1999999999999998E-2"/>
    <x v="8"/>
    <n v="44173.627960000005"/>
    <n v="26913.45"/>
    <x v="566"/>
    <n v="0.39073489674946776"/>
  </r>
  <r>
    <x v="566"/>
    <d v="2024-11-04T00:00:00"/>
    <s v="Nov-2024"/>
    <s v="Q4-2024"/>
    <m/>
    <d v="2024-11-07T00:00:00"/>
    <d v="2024-11-04T00:00:00"/>
    <n v="3"/>
    <s v="Europe"/>
    <s v="France"/>
    <s v="Lyon"/>
    <m/>
    <s v="Corporate"/>
    <s v="Online"/>
    <x v="6"/>
    <x v="4"/>
    <m/>
    <x v="565"/>
    <n v="740.68"/>
    <n v="1837.19"/>
    <n v="1837.19"/>
    <n v="0.19700000000000001"/>
    <n v="0.19700000000000001"/>
    <x v="17"/>
    <n v="25079.480689999997"/>
    <n v="12591.56"/>
    <x v="567"/>
    <n v="0.4979337827748298"/>
  </r>
  <r>
    <x v="567"/>
    <d v="2024-02-20T00:00:00"/>
    <s v="Feb-2024"/>
    <s v="Q1-2024"/>
    <m/>
    <d v="2024-02-20T00:00:00"/>
    <d v="2024-02-20T00:00:00"/>
    <n v="0"/>
    <s v="Americas"/>
    <s v="USA"/>
    <s v="New York"/>
    <m/>
    <s v="Enterprise"/>
    <s v="Online"/>
    <x v="11"/>
    <x v="1"/>
    <m/>
    <x v="566"/>
    <n v="1407.05"/>
    <n v="2858.93"/>
    <n v="2858.93"/>
    <n v="0"/>
    <n v="0"/>
    <x v="1"/>
    <n v="34307.159999999996"/>
    <n v="16884.599999999999"/>
    <x v="568"/>
    <n v="0.50784034586366222"/>
  </r>
  <r>
    <x v="568"/>
    <d v="2025-04-13T00:00:00"/>
    <s v="Apr-2025"/>
    <s v="Q2-2025"/>
    <m/>
    <d v="2025-04-14T00:00:00"/>
    <d v="2025-04-13T00:00:00"/>
    <n v="1"/>
    <s v="Asia"/>
    <s v="Japan"/>
    <s v="Osaka"/>
    <m/>
    <s v="Enterprise"/>
    <s v="Online"/>
    <x v="2"/>
    <x v="5"/>
    <m/>
    <x v="567"/>
    <n v="138.9"/>
    <n v="289.92"/>
    <n v="289.92"/>
    <n v="2.9000000000000001E-2"/>
    <n v="2.9000000000000001E-2"/>
    <x v="1"/>
    <n v="3378.1478400000001"/>
    <n v="1666.8000000000002"/>
    <x v="569"/>
    <n v="0.50659353025828491"/>
  </r>
  <r>
    <x v="569"/>
    <d v="2023-06-01T00:00:00"/>
    <s v="Jun-2023"/>
    <s v="Q2-2023"/>
    <m/>
    <d v="2023-06-01T00:00:00"/>
    <d v="2023-06-01T00:00:00"/>
    <n v="0"/>
    <s v="Asia"/>
    <s v="India"/>
    <s v="Bengaluru"/>
    <m/>
    <s v="Corporate"/>
    <s v="Retail"/>
    <x v="5"/>
    <x v="6"/>
    <m/>
    <x v="568"/>
    <n v="669.37"/>
    <n v="997.2"/>
    <n v="997.2"/>
    <n v="8.2000000000000003E-2"/>
    <n v="8.2000000000000003E-2"/>
    <x v="27"/>
    <n v="4577.1480000000001"/>
    <n v="3346.85"/>
    <x v="570"/>
    <n v="0.26879139586484863"/>
  </r>
  <r>
    <x v="570"/>
    <d v="2025-03-24T00:00:00"/>
    <s v="Mar-2025"/>
    <s v="Q1-2025"/>
    <m/>
    <d v="2025-04-04T00:00:00"/>
    <d v="2025-03-24T00:00:00"/>
    <n v="11"/>
    <s v="Asia"/>
    <s v="India"/>
    <s v="Mumbai"/>
    <m/>
    <s v="Education"/>
    <s v="Marketplace"/>
    <x v="0"/>
    <x v="2"/>
    <m/>
    <x v="569"/>
    <n v="23.83"/>
    <n v="47.29"/>
    <n v="47.29"/>
    <n v="6.4000000000000001E-2"/>
    <n v="6.4000000000000001E-2"/>
    <x v="14"/>
    <n v="841.00536"/>
    <n v="452.77"/>
    <x v="571"/>
    <n v="0.46163244429262618"/>
  </r>
  <r>
    <x v="571"/>
    <d v="2024-01-02T00:00:00"/>
    <s v="Jan-2024"/>
    <s v="Q1-2024"/>
    <m/>
    <d v="2024-01-02T00:00:00"/>
    <d v="2024-01-02T00:00:00"/>
    <n v="0"/>
    <s v="Americas"/>
    <s v="Canada"/>
    <s v="Vancouver"/>
    <m/>
    <s v="Education"/>
    <s v="Direct"/>
    <x v="7"/>
    <x v="3"/>
    <m/>
    <x v="570"/>
    <n v="444.41"/>
    <n v="754.24"/>
    <n v="754.24"/>
    <n v="0.20699999999999999"/>
    <n v="0.20699999999999999"/>
    <x v="48"/>
    <n v="19139.594240000002"/>
    <n v="14221.12"/>
    <x v="572"/>
    <n v="0.25697902360546598"/>
  </r>
  <r>
    <x v="572"/>
    <d v="2023-12-19T00:00:00"/>
    <s v="Dec-2023"/>
    <s v="Q4-2023"/>
    <m/>
    <d v="2024-01-01T00:00:00"/>
    <d v="2023-12-19T00:00:00"/>
    <n v="13"/>
    <s v="Americas"/>
    <s v="Canada"/>
    <s v="Toronto"/>
    <m/>
    <s v="Enterprise"/>
    <s v="Retail"/>
    <x v="10"/>
    <x v="4"/>
    <m/>
    <x v="571"/>
    <n v="856.1"/>
    <n v="901.48"/>
    <n v="901.48"/>
    <n v="5.6000000000000001E-2"/>
    <n v="5.6000000000000001E-2"/>
    <x v="17"/>
    <n v="14466.95104"/>
    <n v="14553.7"/>
    <x v="573"/>
    <n v="-5.9963540182134192E-3"/>
  </r>
  <r>
    <x v="573"/>
    <d v="2023-04-26T00:00:00"/>
    <s v="Apr-2023"/>
    <s v="Q2-2023"/>
    <m/>
    <d v="2023-04-26T00:00:00"/>
    <d v="2023-04-26T00:00:00"/>
    <n v="0"/>
    <s v="Europe"/>
    <s v="France"/>
    <s v="Marseille"/>
    <m/>
    <s v="Consumer"/>
    <s v="Direct"/>
    <x v="12"/>
    <x v="5"/>
    <m/>
    <x v="572"/>
    <n v="81.489999999999995"/>
    <n v="113.08"/>
    <n v="113.08"/>
    <n v="0.121"/>
    <n v="0.121"/>
    <x v="27"/>
    <n v="496.98660000000001"/>
    <n v="407.45"/>
    <x v="574"/>
    <n v="0.18015898215364362"/>
  </r>
  <r>
    <x v="574"/>
    <d v="2025-08-03T00:00:00"/>
    <s v="Aug-2025"/>
    <s v="Q3-2025"/>
    <m/>
    <d v="2025-08-16T00:00:00"/>
    <d v="2025-08-03T00:00:00"/>
    <n v="13"/>
    <s v="Americas"/>
    <s v="Canada"/>
    <s v="Montreal"/>
    <m/>
    <s v="Enterprise"/>
    <s v="Distributor"/>
    <x v="6"/>
    <x v="1"/>
    <m/>
    <x v="573"/>
    <n v="698.66"/>
    <n v="868.62"/>
    <n v="868.62"/>
    <n v="7.1999999999999995E-2"/>
    <n v="7.1999999999999995E-2"/>
    <x v="3"/>
    <n v="12091.190399999999"/>
    <n v="10479.9"/>
    <x v="575"/>
    <n v="0.13326151906432637"/>
  </r>
  <r>
    <x v="575"/>
    <d v="2023-08-02T00:00:00"/>
    <s v="Aug-2023"/>
    <s v="Q3-2023"/>
    <m/>
    <d v="2023-08-19T00:00:00"/>
    <d v="2023-08-02T00:00:00"/>
    <n v="17"/>
    <s v="Americas"/>
    <s v="Canada"/>
    <s v="Vancouver"/>
    <m/>
    <s v="Corporate"/>
    <s v="Online"/>
    <x v="8"/>
    <x v="1"/>
    <m/>
    <x v="574"/>
    <n v="175.38"/>
    <n v="347.9"/>
    <n v="347.9"/>
    <n v="7.1999999999999995E-2"/>
    <n v="7.1999999999999995E-2"/>
    <x v="44"/>
    <n v="13882.6016"/>
    <n v="7541.34"/>
    <x v="576"/>
    <n v="0.45677761148169804"/>
  </r>
  <r>
    <x v="576"/>
    <d v="2023-06-15T00:00:00"/>
    <s v="Jun-2023"/>
    <s v="Q2-2023"/>
    <m/>
    <d v="2023-07-12T00:00:00"/>
    <d v="2023-06-15T00:00:00"/>
    <n v="27"/>
    <s v="Europe"/>
    <s v="United Kingdom"/>
    <s v="Manchester"/>
    <m/>
    <s v="Consumer"/>
    <s v="Direct"/>
    <x v="1"/>
    <x v="6"/>
    <m/>
    <x v="575"/>
    <n v="751.28"/>
    <n v="1111.8800000000001"/>
    <n v="1111.8800000000001"/>
    <n v="0.13500000000000001"/>
    <n v="0.13500000000000001"/>
    <x v="4"/>
    <n v="6732.4334000000008"/>
    <n v="5258.96"/>
    <x v="577"/>
    <n v="0.21886193482433863"/>
  </r>
  <r>
    <x v="577"/>
    <d v="2024-11-11T00:00:00"/>
    <s v="Nov-2024"/>
    <s v="Q4-2024"/>
    <m/>
    <d v="2024-11-24T00:00:00"/>
    <d v="2024-11-11T00:00:00"/>
    <n v="13"/>
    <s v="Europe"/>
    <s v="United Kingdom"/>
    <s v="London"/>
    <m/>
    <s v="Corporate"/>
    <s v="Retail"/>
    <x v="5"/>
    <x v="1"/>
    <m/>
    <x v="576"/>
    <n v="164.53"/>
    <n v="327.72"/>
    <n v="327.72"/>
    <n v="6.7000000000000004E-2"/>
    <n v="6.7000000000000004E-2"/>
    <x v="16"/>
    <n v="4280.6786400000001"/>
    <n v="2303.42"/>
    <x v="578"/>
    <n v="0.46190307805960412"/>
  </r>
  <r>
    <x v="578"/>
    <d v="2025-07-11T00:00:00"/>
    <s v="Jul-2025"/>
    <s v="Q3-2025"/>
    <m/>
    <d v="2025-08-03T00:00:00"/>
    <d v="2025-07-11T00:00:00"/>
    <n v="23"/>
    <s v="Africa"/>
    <s v="Kenya"/>
    <s v="Nakuru"/>
    <m/>
    <s v="Small Business"/>
    <s v="Retail"/>
    <x v="11"/>
    <x v="2"/>
    <m/>
    <x v="577"/>
    <n v="389.93"/>
    <n v="486.13"/>
    <n v="486.13"/>
    <n v="0.13200000000000001"/>
    <n v="0.13200000000000001"/>
    <x v="17"/>
    <n v="7173.3342799999991"/>
    <n v="6628.81"/>
    <x v="579"/>
    <n v="7.5909508569562828E-2"/>
  </r>
  <r>
    <x v="579"/>
    <d v="2023-06-03T00:00:00"/>
    <s v="Jun-2023"/>
    <s v="Q2-2023"/>
    <m/>
    <d v="2023-07-01T00:00:00"/>
    <d v="2023-06-03T00:00:00"/>
    <n v="28"/>
    <s v="Americas"/>
    <s v="Brazil"/>
    <s v="Brasília"/>
    <m/>
    <s v="Small Business"/>
    <s v="Marketplace"/>
    <x v="7"/>
    <x v="5"/>
    <m/>
    <x v="578"/>
    <n v="860.4"/>
    <n v="2066.6"/>
    <n v="2066.6"/>
    <n v="0.01"/>
    <n v="0.01"/>
    <x v="28"/>
    <n v="6137.8019999999988"/>
    <n v="2581.1999999999998"/>
    <x v="580"/>
    <n v="0.57945857491004105"/>
  </r>
  <r>
    <x v="580"/>
    <d v="2023-01-29T00:00:00"/>
    <s v="Jan-2023"/>
    <s v="Q1-2023"/>
    <m/>
    <d v="2023-02-06T00:00:00"/>
    <d v="2023-01-29T00:00:00"/>
    <n v="8"/>
    <s v="Americas"/>
    <s v="Brazil"/>
    <s v="Brasília"/>
    <m/>
    <s v="Corporate"/>
    <s v="Marketplace"/>
    <x v="14"/>
    <x v="4"/>
    <m/>
    <x v="579"/>
    <n v="41.84"/>
    <n v="86.2"/>
    <n v="86.2"/>
    <n v="0.22600000000000001"/>
    <n v="0.22600000000000001"/>
    <x v="19"/>
    <n v="1801.4076000000002"/>
    <n v="1129.68"/>
    <x v="581"/>
    <n v="0.37289039970742882"/>
  </r>
  <r>
    <x v="581"/>
    <d v="2024-09-06T00:00:00"/>
    <s v="Sep-2024"/>
    <s v="Q3-2024"/>
    <m/>
    <d v="2024-09-04T00:00:00"/>
    <d v="2024-09-13T00:00:00"/>
    <n v="-9"/>
    <s v="Asia"/>
    <s v="Japan"/>
    <s v="Osaka"/>
    <m/>
    <s v="Corporate"/>
    <s v="Direct"/>
    <x v="7"/>
    <x v="3"/>
    <m/>
    <x v="580"/>
    <n v="1368.17"/>
    <n v="2307.75"/>
    <n v="2307.75"/>
    <n v="0.16300000000000001"/>
    <n v="0.16300000000000001"/>
    <x v="42"/>
    <n v="40563.321749999996"/>
    <n v="28731.57"/>
    <x v="582"/>
    <n v="0.29168596750831921"/>
  </r>
  <r>
    <x v="582"/>
    <d v="2024-08-03T00:00:00"/>
    <s v="Aug-2024"/>
    <s v="Q3-2024"/>
    <m/>
    <d v="2024-08-09T00:00:00"/>
    <d v="2024-08-03T00:00:00"/>
    <n v="6"/>
    <s v="Africa"/>
    <s v="Kenya"/>
    <s v="Mombasa"/>
    <m/>
    <s v="Consumer"/>
    <s v="Marketplace"/>
    <x v="9"/>
    <x v="3"/>
    <m/>
    <x v="581"/>
    <n v="643.21"/>
    <n v="1112.81"/>
    <n v="1112.81"/>
    <n v="0.14099999999999999"/>
    <n v="0.14099999999999999"/>
    <x v="5"/>
    <n v="3823.6151599999998"/>
    <n v="2572.84"/>
    <x v="583"/>
    <n v="0.32711847496702562"/>
  </r>
  <r>
    <x v="583"/>
    <d v="2025-04-17T00:00:00"/>
    <s v="Apr-2025"/>
    <s v="Q2-2025"/>
    <m/>
    <d v="2025-04-17T00:00:00"/>
    <d v="2025-04-17T00:00:00"/>
    <n v="0"/>
    <s v="Americas"/>
    <s v="Brazil"/>
    <s v="São Paulo"/>
    <m/>
    <s v="Corporate"/>
    <s v="Distributor"/>
    <x v="3"/>
    <x v="2"/>
    <m/>
    <x v="582"/>
    <n v="719.41"/>
    <n v="1125.99"/>
    <n v="1125.99"/>
    <n v="4.1000000000000002E-2"/>
    <n v="4.1000000000000002E-2"/>
    <x v="42"/>
    <n v="22676.312610000001"/>
    <n v="15107.609999999999"/>
    <x v="584"/>
    <n v="0.33377131194876403"/>
  </r>
  <r>
    <x v="584"/>
    <d v="2023-05-03T00:00:00"/>
    <s v="May-2023"/>
    <s v="Q2-2023"/>
    <m/>
    <d v="2023-05-16T00:00:00"/>
    <d v="2023-05-03T00:00:00"/>
    <n v="13"/>
    <s v="Americas"/>
    <s v="USA"/>
    <s v="New York"/>
    <m/>
    <s v="Corporate"/>
    <s v="Marketplace"/>
    <x v="3"/>
    <x v="2"/>
    <m/>
    <x v="583"/>
    <n v="64.5"/>
    <n v="123.62"/>
    <n v="123.62"/>
    <n v="0"/>
    <n v="0"/>
    <x v="28"/>
    <n v="370.86"/>
    <n v="193.5"/>
    <x v="585"/>
    <n v="0.47823976702798904"/>
  </r>
  <r>
    <x v="585"/>
    <d v="2024-03-13T00:00:00"/>
    <s v="Mar-2024"/>
    <s v="Q1-2024"/>
    <m/>
    <d v="2024-04-06T00:00:00"/>
    <d v="2024-03-13T00:00:00"/>
    <n v="24"/>
    <s v="Africa"/>
    <s v="Nigeria"/>
    <s v="Abuja"/>
    <m/>
    <s v="Consumer"/>
    <s v="Distributor"/>
    <x v="3"/>
    <x v="5"/>
    <m/>
    <x v="584"/>
    <n v="1232.78"/>
    <n v="1731.75"/>
    <n v="1731.75"/>
    <n v="9.2999999999999999E-2"/>
    <n v="9.2999999999999999E-2"/>
    <x v="13"/>
    <n v="25131.155999999999"/>
    <n v="19724.48"/>
    <x v="586"/>
    <n v="0.21513837246484005"/>
  </r>
  <r>
    <x v="586"/>
    <d v="2024-06-16T00:00:00"/>
    <s v="Jun-2024"/>
    <s v="Q2-2024"/>
    <m/>
    <d v="2024-06-21T00:00:00"/>
    <d v="2024-06-16T00:00:00"/>
    <n v="5"/>
    <s v="Asia"/>
    <s v="Japan"/>
    <s v="Tokyo"/>
    <m/>
    <s v="Small Business"/>
    <s v="Distributor"/>
    <x v="8"/>
    <x v="2"/>
    <m/>
    <x v="585"/>
    <n v="1367.13"/>
    <n v="3062.01"/>
    <n v="3062.01"/>
    <n v="0.10299999999999999"/>
    <n v="0.10299999999999999"/>
    <x v="30"/>
    <n v="68665.574250000005"/>
    <n v="34178.25"/>
    <x v="587"/>
    <n v="0.50225057645971705"/>
  </r>
  <r>
    <x v="587"/>
    <d v="2025-02-15T00:00:00"/>
    <s v="Feb-2025"/>
    <s v="Q1-2025"/>
    <m/>
    <d v="2025-02-27T00:00:00"/>
    <d v="2025-02-15T00:00:00"/>
    <n v="12"/>
    <s v="Europe"/>
    <s v="France"/>
    <s v="Lyon"/>
    <m/>
    <s v="Non-Profit"/>
    <s v="Direct"/>
    <x v="10"/>
    <x v="6"/>
    <m/>
    <x v="586"/>
    <n v="1027.26"/>
    <n v="2200.41"/>
    <n v="2200.41"/>
    <n v="8.7999999999999995E-2"/>
    <n v="8.7999999999999995E-2"/>
    <x v="7"/>
    <n v="12040.64352"/>
    <n v="6163.5599999999995"/>
    <x v="588"/>
    <n v="0.48810377204822358"/>
  </r>
  <r>
    <x v="588"/>
    <d v="2023-04-03T00:00:00"/>
    <s v="Apr-2023"/>
    <s v="Q2-2023"/>
    <m/>
    <d v="2023-04-16T00:00:00"/>
    <d v="2023-04-03T00:00:00"/>
    <n v="13"/>
    <s v="Europe"/>
    <s v="France"/>
    <s v="Marseille"/>
    <m/>
    <s v="Non-Profit"/>
    <s v="Marketplace"/>
    <x v="12"/>
    <x v="6"/>
    <m/>
    <x v="587"/>
    <n v="790.54"/>
    <n v="601.49"/>
    <n v="601.49"/>
    <n v="0"/>
    <n v="0"/>
    <x v="3"/>
    <n v="9022.35"/>
    <n v="11858.099999999999"/>
    <x v="589"/>
    <n v="-0.31430281467688553"/>
  </r>
  <r>
    <x v="589"/>
    <d v="2025-08-30T00:00:00"/>
    <s v="Aug-2025"/>
    <s v="Q3-2025"/>
    <m/>
    <d v="2025-09-22T00:00:00"/>
    <d v="2025-08-30T00:00:00"/>
    <n v="23"/>
    <s v="Europe"/>
    <s v="France"/>
    <s v="Marseille"/>
    <m/>
    <s v="Corporate"/>
    <s v="Direct"/>
    <x v="5"/>
    <x v="5"/>
    <m/>
    <x v="588"/>
    <n v="663.9"/>
    <n v="947.77"/>
    <n v="947.77"/>
    <n v="0.17399999999999999"/>
    <n v="0.17399999999999999"/>
    <x v="3"/>
    <n v="11742.8703"/>
    <n v="9958.5"/>
    <x v="590"/>
    <n v="0.1519535049280073"/>
  </r>
  <r>
    <x v="590"/>
    <d v="2023-02-27T00:00:00"/>
    <s v="Feb-2023"/>
    <s v="Q1-2023"/>
    <m/>
    <d v="2023-02-26T00:00:00"/>
    <d v="2023-03-06T00:00:00"/>
    <n v="-8"/>
    <s v="Americas"/>
    <s v="USA"/>
    <s v="San Francisco"/>
    <m/>
    <s v="Non-Profit"/>
    <s v="Online"/>
    <x v="3"/>
    <x v="1"/>
    <m/>
    <x v="589"/>
    <n v="1015.91"/>
    <n v="2331.48"/>
    <n v="2331.48"/>
    <n v="0.14599999999999999"/>
    <n v="0.14599999999999999"/>
    <x v="29"/>
    <n v="51768.181920000003"/>
    <n v="26413.66"/>
    <x v="591"/>
    <n v="0.48977037592669626"/>
  </r>
  <r>
    <x v="591"/>
    <d v="2024-07-31T00:00:00"/>
    <s v="Jul-2024"/>
    <s v="Q3-2024"/>
    <m/>
    <d v="2024-08-15T00:00:00"/>
    <d v="2024-07-31T00:00:00"/>
    <n v="15"/>
    <s v="Asia"/>
    <s v="Japan"/>
    <s v="Tokyo"/>
    <m/>
    <s v="Corporate"/>
    <s v="Marketplace"/>
    <x v="8"/>
    <x v="4"/>
    <m/>
    <x v="590"/>
    <n v="1252.52"/>
    <n v="1417.24"/>
    <n v="1417.24"/>
    <n v="0.192"/>
    <n v="0.192"/>
    <x v="27"/>
    <n v="5725.6496000000006"/>
    <n v="6262.6"/>
    <x v="592"/>
    <n v="-9.3779821943696953E-2"/>
  </r>
  <r>
    <x v="592"/>
    <d v="2025-06-15T00:00:00"/>
    <s v="Jun-2025"/>
    <s v="Q2-2025"/>
    <m/>
    <d v="2025-07-12T00:00:00"/>
    <d v="2025-06-15T00:00:00"/>
    <n v="27"/>
    <s v="Europe"/>
    <s v="France"/>
    <s v="Marseille"/>
    <m/>
    <s v="Consumer"/>
    <s v="Direct"/>
    <x v="11"/>
    <x v="6"/>
    <m/>
    <x v="591"/>
    <n v="318.83"/>
    <n v="699.5"/>
    <n v="699.5"/>
    <n v="0.08"/>
    <n v="0.08"/>
    <x v="20"/>
    <n v="8366.02"/>
    <n v="4144.79"/>
    <x v="593"/>
    <n v="0.50456848059172699"/>
  </r>
  <r>
    <x v="593"/>
    <d v="2024-06-30T00:00:00"/>
    <s v="Jun-2024"/>
    <s v="Q2-2024"/>
    <m/>
    <d v="2024-07-21T00:00:00"/>
    <d v="2024-06-30T00:00:00"/>
    <n v="21"/>
    <s v="Africa"/>
    <s v="Kenya"/>
    <s v="Kisumu"/>
    <m/>
    <s v="Small Business"/>
    <s v="Retail"/>
    <x v="10"/>
    <x v="3"/>
    <m/>
    <x v="592"/>
    <n v="753.43"/>
    <n v="1787.2"/>
    <n v="1787.2"/>
    <n v="7.2999999999999995E-2"/>
    <n v="7.2999999999999995E-2"/>
    <x v="11"/>
    <n v="14910.609600000002"/>
    <n v="6780.87"/>
    <x v="594"/>
    <n v="0.54523187301476939"/>
  </r>
  <r>
    <x v="594"/>
    <d v="2025-02-17T00:00:00"/>
    <s v="Feb-2025"/>
    <s v="Q1-2025"/>
    <m/>
    <d v="2025-02-15T00:00:00"/>
    <d v="2025-02-24T00:00:00"/>
    <n v="-9"/>
    <s v="Americas"/>
    <s v="Canada"/>
    <s v="Toronto"/>
    <m/>
    <s v="Small Business"/>
    <s v="Retail"/>
    <x v="14"/>
    <x v="5"/>
    <m/>
    <x v="593"/>
    <n v="1133.47"/>
    <n v="1698.75"/>
    <n v="1698.75"/>
    <n v="4.2999999999999997E-2"/>
    <n v="4.2999999999999997E-2"/>
    <x v="27"/>
    <n v="8128.5187499999993"/>
    <n v="5667.35"/>
    <x v="595"/>
    <n v="0.30278194904821976"/>
  </r>
  <r>
    <x v="595"/>
    <d v="2023-01-07T00:00:00"/>
    <s v="Jan-2023"/>
    <s v="Q1-2023"/>
    <m/>
    <d v="2023-01-30T00:00:00"/>
    <d v="2023-01-07T00:00:00"/>
    <n v="23"/>
    <s v="Africa"/>
    <s v="South Africa"/>
    <s v="Cape Town"/>
    <m/>
    <s v="Consumer"/>
    <s v="Online"/>
    <x v="7"/>
    <x v="0"/>
    <m/>
    <x v="594"/>
    <n v="299.02"/>
    <n v="724.7"/>
    <n v="724.7"/>
    <n v="0.14000000000000001"/>
    <n v="0.14000000000000001"/>
    <x v="27"/>
    <n v="3116.21"/>
    <n v="1495.1"/>
    <x v="596"/>
    <n v="0.52021847051386139"/>
  </r>
  <r>
    <x v="596"/>
    <d v="2025-03-10T00:00:00"/>
    <s v="Mar-2025"/>
    <s v="Q1-2025"/>
    <m/>
    <d v="2025-04-04T00:00:00"/>
    <d v="2025-03-10T00:00:00"/>
    <n v="25"/>
    <s v="Asia"/>
    <s v="Japan"/>
    <s v="Osaka"/>
    <m/>
    <s v="Corporate"/>
    <s v="Direct"/>
    <x v="9"/>
    <x v="0"/>
    <m/>
    <x v="595"/>
    <n v="783.72"/>
    <n v="1355.94"/>
    <n v="1355.94"/>
    <n v="0.187"/>
    <n v="0.187"/>
    <x v="5"/>
    <n v="4409.5168800000001"/>
    <n v="3134.88"/>
    <x v="597"/>
    <n v="0.28906497348525856"/>
  </r>
  <r>
    <x v="597"/>
    <d v="2024-08-17T00:00:00"/>
    <s v="Aug-2024"/>
    <s v="Q3-2024"/>
    <m/>
    <d v="2024-08-15T00:00:00"/>
    <d v="2024-08-24T00:00:00"/>
    <n v="-9"/>
    <s v="Americas"/>
    <s v="Brazil"/>
    <s v="Rio de Janeiro"/>
    <m/>
    <s v="Consumer"/>
    <s v="Direct"/>
    <x v="12"/>
    <x v="4"/>
    <m/>
    <x v="596"/>
    <n v="165.3"/>
    <n v="275.07"/>
    <n v="275.07"/>
    <n v="0.13300000000000001"/>
    <n v="0.13300000000000001"/>
    <x v="30"/>
    <n v="5962.1422499999999"/>
    <n v="4132.5"/>
    <x v="598"/>
    <n v="0.30687665159280625"/>
  </r>
  <r>
    <x v="598"/>
    <d v="2024-03-09T00:00:00"/>
    <s v="Mar-2024"/>
    <s v="Q1-2024"/>
    <m/>
    <d v="2024-03-22T00:00:00"/>
    <d v="2024-03-09T00:00:00"/>
    <n v="13"/>
    <s v="Europe"/>
    <s v="United Kingdom"/>
    <s v="Manchester"/>
    <m/>
    <s v="Consumer"/>
    <s v="Online"/>
    <x v="5"/>
    <x v="3"/>
    <m/>
    <x v="597"/>
    <n v="985.45"/>
    <n v="1802.44"/>
    <n v="1802.44"/>
    <n v="8.9999999999999993E-3"/>
    <n v="8.9999999999999993E-3"/>
    <x v="14"/>
    <n v="33938.142760000002"/>
    <n v="18723.55"/>
    <x v="599"/>
    <n v="0.44830363486867486"/>
  </r>
  <r>
    <x v="599"/>
    <d v="2024-08-19T00:00:00"/>
    <s v="Aug-2024"/>
    <s v="Q3-2024"/>
    <m/>
    <d v="2024-09-02T00:00:00"/>
    <d v="2024-08-19T00:00:00"/>
    <n v="14"/>
    <s v="Americas"/>
    <s v="Canada"/>
    <s v="Toronto"/>
    <m/>
    <s v="Consumer"/>
    <s v="Distributor"/>
    <x v="11"/>
    <x v="0"/>
    <m/>
    <x v="598"/>
    <n v="1337.01"/>
    <n v="1269.78"/>
    <n v="1269.78"/>
    <n v="0.16"/>
    <n v="0.16"/>
    <x v="4"/>
    <n v="7466.3063999999986"/>
    <n v="9359.07"/>
    <x v="600"/>
    <n v="-0.25350735672996244"/>
  </r>
  <r>
    <x v="600"/>
    <d v="2025-08-11T00:00:00"/>
    <s v="Aug-2025"/>
    <s v="Q3-2025"/>
    <m/>
    <d v="2025-08-28T00:00:00"/>
    <d v="2025-08-11T00:00:00"/>
    <n v="17"/>
    <s v="Europe"/>
    <s v="France"/>
    <s v="Paris"/>
    <m/>
    <s v="Education"/>
    <s v="Online"/>
    <x v="8"/>
    <x v="1"/>
    <m/>
    <x v="599"/>
    <n v="416.16"/>
    <n v="571.9"/>
    <n v="571.9"/>
    <n v="7.0999999999999994E-2"/>
    <n v="7.0999999999999994E-2"/>
    <x v="33"/>
    <n v="1062.5902000000001"/>
    <n v="832.32"/>
    <x v="601"/>
    <n v="0.21670649701079497"/>
  </r>
  <r>
    <x v="601"/>
    <d v="2025-05-16T00:00:00"/>
    <s v="May-2025"/>
    <s v="Q2-2025"/>
    <m/>
    <d v="2025-05-18T00:00:00"/>
    <d v="2025-05-16T00:00:00"/>
    <n v="2"/>
    <s v="Asia"/>
    <s v="Japan"/>
    <s v="Tokyo"/>
    <m/>
    <s v="Enterprise"/>
    <s v="Retail"/>
    <x v="0"/>
    <x v="0"/>
    <m/>
    <x v="600"/>
    <n v="1144.3800000000001"/>
    <n v="2755.04"/>
    <n v="2755.04"/>
    <n v="0.15"/>
    <n v="0.15"/>
    <x v="17"/>
    <n v="39810.328000000001"/>
    <n v="19454.460000000003"/>
    <x v="602"/>
    <n v="0.51132128326096682"/>
  </r>
  <r>
    <x v="602"/>
    <d v="2023-04-10T00:00:00"/>
    <s v="Apr-2023"/>
    <s v="Q2-2023"/>
    <m/>
    <d v="2023-04-25T00:00:00"/>
    <d v="2023-04-10T00:00:00"/>
    <n v="15"/>
    <s v="Europe"/>
    <s v="United Kingdom"/>
    <s v="London"/>
    <m/>
    <s v="Small Business"/>
    <s v="Retail"/>
    <x v="14"/>
    <x v="0"/>
    <m/>
    <x v="601"/>
    <n v="405.66"/>
    <n v="962.51"/>
    <n v="962.51"/>
    <n v="0.19"/>
    <n v="0.19"/>
    <x v="4"/>
    <n v="5457.4317000000001"/>
    <n v="2839.6200000000003"/>
    <x v="603"/>
    <n v="0.47967832561239376"/>
  </r>
  <r>
    <x v="603"/>
    <d v="2023-09-17T00:00:00"/>
    <s v="Sep-2023"/>
    <s v="Q3-2023"/>
    <m/>
    <d v="2023-10-02T00:00:00"/>
    <d v="2023-09-17T00:00:00"/>
    <n v="15"/>
    <s v="Americas"/>
    <s v="Brazil"/>
    <s v="Rio de Janeiro"/>
    <m/>
    <s v="Small Business"/>
    <s v="Retail"/>
    <x v="4"/>
    <x v="3"/>
    <m/>
    <x v="602"/>
    <n v="689.33"/>
    <n v="668.27"/>
    <n v="668.27"/>
    <n v="0.186"/>
    <n v="0.186"/>
    <x v="20"/>
    <n v="7071.6331400000008"/>
    <n v="8961.2900000000009"/>
    <x v="604"/>
    <n v="-0.26721647214861033"/>
  </r>
  <r>
    <x v="604"/>
    <d v="2023-04-22T00:00:00"/>
    <s v="Apr-2023"/>
    <s v="Q2-2023"/>
    <m/>
    <d v="2023-05-14T00:00:00"/>
    <d v="2023-04-22T00:00:00"/>
    <n v="22"/>
    <s v="Asia"/>
    <s v="Japan"/>
    <s v="Nagoya"/>
    <m/>
    <s v="Enterprise"/>
    <s v="Retail"/>
    <x v="7"/>
    <x v="6"/>
    <m/>
    <x v="603"/>
    <n v="1209.22"/>
    <n v="1404.33"/>
    <n v="1404.33"/>
    <n v="0.10299999999999999"/>
    <n v="0.10299999999999999"/>
    <x v="21"/>
    <n v="13856.52411"/>
    <n v="13301.42"/>
    <x v="605"/>
    <n v="4.0060848275751328E-2"/>
  </r>
  <r>
    <x v="605"/>
    <d v="2025-06-19T00:00:00"/>
    <s v="Jun-2025"/>
    <s v="Q2-2025"/>
    <m/>
    <d v="2025-06-21T00:00:00"/>
    <d v="2025-06-19T00:00:00"/>
    <n v="2"/>
    <s v="Africa"/>
    <s v="South Africa"/>
    <s v="Johannesburg"/>
    <m/>
    <s v="Small Business"/>
    <s v="NOT ASSIGNED"/>
    <x v="9"/>
    <x v="2"/>
    <m/>
    <x v="604"/>
    <n v="1466.27"/>
    <n v="3589.89"/>
    <n v="3589.89"/>
    <n v="9.7000000000000003E-2"/>
    <n v="9.7000000000000003E-2"/>
    <x v="11"/>
    <n v="29175.036029999999"/>
    <n v="13196.43"/>
    <x v="606"/>
    <n v="0.54768076425234147"/>
  </r>
  <r>
    <x v="606"/>
    <d v="2024-11-27T00:00:00"/>
    <s v="Nov-2024"/>
    <s v="Q4-2024"/>
    <m/>
    <d v="2024-12-24T00:00:00"/>
    <d v="2024-11-27T00:00:00"/>
    <n v="27"/>
    <s v="Africa"/>
    <s v="Kenya"/>
    <s v="Mombasa"/>
    <m/>
    <s v="Corporate"/>
    <s v="Distributor"/>
    <x v="4"/>
    <x v="0"/>
    <m/>
    <x v="605"/>
    <n v="143.33000000000001"/>
    <n v="233.51"/>
    <n v="233.51"/>
    <n v="0.16300000000000001"/>
    <n v="0.16300000000000001"/>
    <x v="16"/>
    <n v="2736.27018"/>
    <n v="2006.6200000000001"/>
    <x v="607"/>
    <n v="0.26665867476580835"/>
  </r>
  <r>
    <x v="607"/>
    <d v="2024-01-28T00:00:00"/>
    <s v="Jan-2024"/>
    <s v="Q1-2024"/>
    <m/>
    <d v="2024-01-27T00:00:00"/>
    <d v="2024-02-04T00:00:00"/>
    <n v="-8"/>
    <s v="Africa"/>
    <s v="South Africa"/>
    <s v="Cape Town"/>
    <m/>
    <s v="Enterprise"/>
    <s v="Direct"/>
    <x v="6"/>
    <x v="5"/>
    <m/>
    <x v="606"/>
    <n v="109.75"/>
    <n v="124.25"/>
    <n v="124.25"/>
    <n v="0.12"/>
    <n v="0.12"/>
    <x v="14"/>
    <n v="2077.46"/>
    <n v="2085.25"/>
    <x v="608"/>
    <n v="-3.7497713554051405E-3"/>
  </r>
  <r>
    <x v="608"/>
    <d v="2023-04-16T00:00:00"/>
    <s v="Apr-2023"/>
    <s v="Q2-2023"/>
    <m/>
    <d v="2023-04-23T00:00:00"/>
    <d v="2023-04-16T00:00:00"/>
    <n v="7"/>
    <s v="Americas"/>
    <s v="USA"/>
    <s v="Austin"/>
    <m/>
    <s v="Corporate"/>
    <s v="Distributor"/>
    <x v="6"/>
    <x v="0"/>
    <m/>
    <x v="607"/>
    <n v="1099.1500000000001"/>
    <n v="1431.37"/>
    <n v="1431.37"/>
    <n v="0.104"/>
    <n v="0.104"/>
    <x v="15"/>
    <n v="10260.060159999999"/>
    <n v="8793.2000000000007"/>
    <x v="609"/>
    <n v="0.14296798821109433"/>
  </r>
  <r>
    <x v="609"/>
    <d v="2024-02-01T00:00:00"/>
    <s v="Feb-2024"/>
    <s v="Q1-2024"/>
    <m/>
    <d v="2024-02-01T00:00:00"/>
    <d v="2024-02-01T00:00:00"/>
    <n v="0"/>
    <s v="Americas"/>
    <s v="USA"/>
    <s v="Austin"/>
    <m/>
    <s v="Consumer"/>
    <s v="Distributor"/>
    <x v="9"/>
    <x v="0"/>
    <m/>
    <x v="608"/>
    <n v="714.43"/>
    <n v="1595.52"/>
    <n v="1595.52"/>
    <n v="0.19400000000000001"/>
    <n v="0.19400000000000001"/>
    <x v="16"/>
    <n v="18003.847679999999"/>
    <n v="10002.019999999999"/>
    <x v="610"/>
    <n v="0.44445097638151093"/>
  </r>
  <r>
    <x v="610"/>
    <d v="2024-10-19T00:00:00"/>
    <s v="Oct-2024"/>
    <s v="Q4-2024"/>
    <m/>
    <d v="2024-11-06T00:00:00"/>
    <d v="2024-10-19T00:00:00"/>
    <n v="18"/>
    <s v="Americas"/>
    <s v="USA"/>
    <s v="Chicago"/>
    <m/>
    <s v="Education"/>
    <s v="NOT ASSIGNED"/>
    <x v="11"/>
    <x v="4"/>
    <m/>
    <x v="609"/>
    <n v="942.02"/>
    <n v="1028.46"/>
    <n v="1028.46"/>
    <n v="0"/>
    <n v="0"/>
    <x v="11"/>
    <n v="9256.14"/>
    <n v="8478.18"/>
    <x v="611"/>
    <n v="8.4047994088248354E-2"/>
  </r>
  <r>
    <x v="611"/>
    <d v="2024-06-25T00:00:00"/>
    <s v="Jun-2024"/>
    <s v="Q2-2024"/>
    <m/>
    <d v="2024-06-30T00:00:00"/>
    <d v="2024-06-25T00:00:00"/>
    <n v="5"/>
    <s v="Africa"/>
    <s v="Kenya"/>
    <s v="Kisumu"/>
    <m/>
    <s v="Education"/>
    <s v="Direct"/>
    <x v="12"/>
    <x v="1"/>
    <m/>
    <x v="610"/>
    <n v="1323.55"/>
    <n v="3230.35"/>
    <n v="3230.35"/>
    <n v="2.1999999999999999E-2"/>
    <n v="2.1999999999999999E-2"/>
    <x v="29"/>
    <n v="82141.339799999987"/>
    <n v="34412.299999999996"/>
    <x v="612"/>
    <n v="0.58105991351263542"/>
  </r>
  <r>
    <x v="612"/>
    <d v="2023-07-30T00:00:00"/>
    <s v="Jul-2023"/>
    <s v="Q3-2023"/>
    <m/>
    <d v="2023-08-19T00:00:00"/>
    <d v="2023-07-30T00:00:00"/>
    <n v="20"/>
    <s v="Europe"/>
    <s v="France"/>
    <s v="Paris"/>
    <m/>
    <s v="Enterprise"/>
    <s v="Marketplace"/>
    <x v="2"/>
    <x v="1"/>
    <m/>
    <x v="611"/>
    <n v="1418.51"/>
    <n v="2789.61"/>
    <n v="2789.61"/>
    <n v="0.17100000000000001"/>
    <n v="0.17100000000000001"/>
    <x v="15"/>
    <n v="18500.693520000001"/>
    <n v="11348.08"/>
    <x v="613"/>
    <n v="0.38661326464695689"/>
  </r>
  <r>
    <x v="613"/>
    <d v="2025-03-11T00:00:00"/>
    <s v="Mar-2025"/>
    <s v="Q1-2025"/>
    <m/>
    <d v="2025-03-27T00:00:00"/>
    <d v="2025-03-11T00:00:00"/>
    <n v="16"/>
    <s v="Asia"/>
    <s v="Japan"/>
    <s v="Tokyo"/>
    <m/>
    <s v="Enterprise"/>
    <s v="Distributor"/>
    <x v="4"/>
    <x v="0"/>
    <m/>
    <x v="612"/>
    <n v="1317.58"/>
    <n v="1897.74"/>
    <n v="1897.74"/>
    <n v="8.1000000000000003E-2"/>
    <n v="8.1000000000000003E-2"/>
    <x v="7"/>
    <n v="10464.138360000001"/>
    <n v="7905.48"/>
    <x v="614"/>
    <n v="0.24451687009230266"/>
  </r>
  <r>
    <x v="614"/>
    <d v="2023-10-09T00:00:00"/>
    <s v="Oct-2023"/>
    <s v="Q4-2023"/>
    <m/>
    <d v="2023-10-11T00:00:00"/>
    <d v="2023-10-09T00:00:00"/>
    <n v="2"/>
    <s v="Africa"/>
    <s v="Nigeria"/>
    <s v="Port Harcourt"/>
    <m/>
    <s v="Education"/>
    <s v="Marketplace"/>
    <x v="10"/>
    <x v="1"/>
    <m/>
    <x v="613"/>
    <n v="391.16"/>
    <n v="902.47"/>
    <n v="902.47"/>
    <n v="4.0000000000000001E-3"/>
    <n v="4.0000000000000001E-3"/>
    <x v="1"/>
    <n v="10786.32144"/>
    <n v="4693.92"/>
    <x v="615"/>
    <n v="0.56482661618139207"/>
  </r>
  <r>
    <x v="615"/>
    <d v="2024-12-17T00:00:00"/>
    <s v="Dec-2024"/>
    <s v="Q4-2024"/>
    <m/>
    <d v="2025-01-16T00:00:00"/>
    <d v="2024-12-17T00:00:00"/>
    <n v="30"/>
    <s v="Europe"/>
    <s v="United Kingdom"/>
    <s v="Manchester"/>
    <m/>
    <s v="Corporate"/>
    <s v="Retail"/>
    <x v="14"/>
    <x v="4"/>
    <m/>
    <x v="614"/>
    <n v="722.87"/>
    <n v="-33.659999999999997"/>
    <s v="1193.87"/>
    <n v="0.10199999999999999"/>
    <n v="0.10199999999999999"/>
    <x v="12"/>
    <n v="30018.667280000001"/>
    <n v="20240.36"/>
    <x v="616"/>
    <n v="0.32574088612237684"/>
  </r>
  <r>
    <x v="616"/>
    <d v="2025-07-11T00:00:00"/>
    <s v="Jul-2025"/>
    <s v="Q3-2025"/>
    <m/>
    <d v="2025-07-16T00:00:00"/>
    <d v="2025-07-11T00:00:00"/>
    <n v="5"/>
    <s v="Europe"/>
    <s v="United Kingdom"/>
    <s v="London"/>
    <m/>
    <s v="Enterprise"/>
    <s v="Online"/>
    <x v="10"/>
    <x v="0"/>
    <m/>
    <x v="615"/>
    <n v="930.03"/>
    <n v="1086.68"/>
    <n v="1086.68"/>
    <n v="0.109"/>
    <n v="0.109"/>
    <x v="29"/>
    <n v="25174.028880000002"/>
    <n v="24180.78"/>
    <x v="617"/>
    <n v="3.9455300728168656E-2"/>
  </r>
  <r>
    <x v="617"/>
    <d v="2024-10-13T00:00:00"/>
    <s v="Oct-2024"/>
    <s v="Q4-2024"/>
    <m/>
    <d v="2024-10-24T00:00:00"/>
    <d v="2024-10-13T00:00:00"/>
    <n v="11"/>
    <s v="Europe"/>
    <s v="France"/>
    <s v="Paris"/>
    <m/>
    <s v="Education"/>
    <s v="Distributor"/>
    <x v="8"/>
    <x v="5"/>
    <m/>
    <x v="616"/>
    <n v="816.7"/>
    <n v="1010.75"/>
    <n v="1010.75"/>
    <n v="4.7E-2"/>
    <n v="4.7E-2"/>
    <x v="44"/>
    <n v="41419.524249999995"/>
    <n v="35118.1"/>
    <x v="618"/>
    <n v="0.15213656757537472"/>
  </r>
  <r>
    <x v="618"/>
    <d v="2023-09-08T00:00:00"/>
    <s v="Sep-2023"/>
    <s v="Q3-2023"/>
    <m/>
    <d v="2023-09-14T00:00:00"/>
    <d v="2023-09-08T00:00:00"/>
    <n v="6"/>
    <s v="Africa"/>
    <s v="Kenya"/>
    <s v="Nakuru"/>
    <m/>
    <s v="Education"/>
    <s v="Direct"/>
    <x v="1"/>
    <x v="6"/>
    <m/>
    <x v="617"/>
    <n v="251.03"/>
    <n v="411.48"/>
    <n v="411.48"/>
    <n v="0.16500000000000001"/>
    <n v="0.16500000000000001"/>
    <x v="28"/>
    <n v="1030.7574"/>
    <n v="753.09"/>
    <x v="619"/>
    <n v="0.26938191275658069"/>
  </r>
  <r>
    <x v="619"/>
    <d v="2025-04-17T00:00:00"/>
    <s v="Apr-2025"/>
    <s v="Q2-2025"/>
    <m/>
    <d v="2025-05-03T00:00:00"/>
    <d v="2025-04-17T00:00:00"/>
    <n v="16"/>
    <s v="Americas"/>
    <s v="Brazil"/>
    <s v="Rio de Janeiro"/>
    <m/>
    <s v="Consumer"/>
    <s v="Marketplace"/>
    <x v="0"/>
    <x v="1"/>
    <m/>
    <x v="618"/>
    <n v="168.68"/>
    <n v="413.34"/>
    <n v="413.34"/>
    <n v="0.186"/>
    <n v="0.186"/>
    <x v="4"/>
    <n v="2355.2113199999999"/>
    <n v="1180.76"/>
    <x v="620"/>
    <n v="0.49866069767361682"/>
  </r>
  <r>
    <x v="620"/>
    <d v="2024-07-28T00:00:00"/>
    <s v="Jul-2024"/>
    <s v="Q3-2024"/>
    <m/>
    <d v="2024-08-23T00:00:00"/>
    <d v="2024-07-28T00:00:00"/>
    <n v="26"/>
    <s v="Asia"/>
    <s v="India"/>
    <s v="Hyderabad"/>
    <m/>
    <s v="Corporate"/>
    <s v="Retail"/>
    <x v="0"/>
    <x v="1"/>
    <m/>
    <x v="619"/>
    <n v="1339.24"/>
    <n v="1558.89"/>
    <n v="1558.89"/>
    <n v="0.192"/>
    <n v="0.192"/>
    <x v="22"/>
    <n v="30229.994880000002"/>
    <n v="32141.760000000002"/>
    <x v="621"/>
    <n v="-6.3240669659021781E-2"/>
  </r>
  <r>
    <x v="621"/>
    <d v="2025-07-19T00:00:00"/>
    <s v="Jul-2025"/>
    <s v="Q3-2025"/>
    <m/>
    <d v="2025-07-31T00:00:00"/>
    <d v="2025-07-19T00:00:00"/>
    <n v="12"/>
    <s v="Africa"/>
    <s v="Kenya"/>
    <s v="Nairobi"/>
    <m/>
    <s v="Small Business"/>
    <s v="Marketplace"/>
    <x v="6"/>
    <x v="6"/>
    <m/>
    <x v="620"/>
    <n v="619.64"/>
    <n v="861.16"/>
    <n v="861.16"/>
    <n v="0.113"/>
    <n v="0.113"/>
    <x v="16"/>
    <n v="10693.88488"/>
    <n v="8674.9599999999991"/>
    <x v="622"/>
    <n v="0.18879246435276761"/>
  </r>
  <r>
    <x v="622"/>
    <d v="2023-08-03T00:00:00"/>
    <s v="Aug-2023"/>
    <s v="Q3-2023"/>
    <m/>
    <d v="2023-08-02T00:00:00"/>
    <d v="2023-08-10T00:00:00"/>
    <n v="-8"/>
    <s v="Asia"/>
    <s v="China"/>
    <s v="Shanghai"/>
    <m/>
    <s v="Non-Profit"/>
    <s v="Direct"/>
    <x v="0"/>
    <x v="1"/>
    <m/>
    <x v="621"/>
    <n v="1021.97"/>
    <n v="2296.25"/>
    <n v="2296.25"/>
    <n v="0.161"/>
    <n v="0.161"/>
    <x v="29"/>
    <n v="50090.397499999999"/>
    <n v="26571.22"/>
    <x v="623"/>
    <n v="0.46953465482081669"/>
  </r>
  <r>
    <x v="623"/>
    <d v="2023-11-19T00:00:00"/>
    <s v="Nov-2023"/>
    <s v="Q4-2023"/>
    <m/>
    <d v="2023-12-12T00:00:00"/>
    <d v="2023-11-19T00:00:00"/>
    <n v="23"/>
    <s v="Asia"/>
    <s v="India"/>
    <s v="Delhi"/>
    <m/>
    <s v="Small Business"/>
    <s v="Direct"/>
    <x v="11"/>
    <x v="1"/>
    <m/>
    <x v="622"/>
    <n v="1349.04"/>
    <n v="2636.6"/>
    <n v="2636.6"/>
    <n v="0.114"/>
    <n v="0.114"/>
    <x v="16"/>
    <n v="32704.386400000003"/>
    <n v="18886.559999999998"/>
    <x v="624"/>
    <n v="0.42250682312143928"/>
  </r>
  <r>
    <x v="624"/>
    <d v="2023-12-22T00:00:00"/>
    <s v="Dec-2023"/>
    <s v="Q4-2023"/>
    <m/>
    <d v="2024-01-16T00:00:00"/>
    <d v="2023-12-22T00:00:00"/>
    <n v="25"/>
    <s v="Asia"/>
    <s v="India"/>
    <s v="Hyderabad"/>
    <m/>
    <s v="Small Business"/>
    <s v="Retail"/>
    <x v="7"/>
    <x v="5"/>
    <m/>
    <x v="623"/>
    <n v="1346.81"/>
    <n v="978.09"/>
    <n v="978.09"/>
    <n v="0.159"/>
    <n v="0.159"/>
    <x v="17"/>
    <n v="13983.752729999998"/>
    <n v="22895.77"/>
    <x v="625"/>
    <n v="-0.6373122753293996"/>
  </r>
  <r>
    <x v="625"/>
    <d v="2023-08-03T00:00:00"/>
    <s v="Aug-2023"/>
    <s v="Q3-2023"/>
    <m/>
    <d v="2023-08-30T00:00:00"/>
    <d v="2023-08-03T00:00:00"/>
    <n v="27"/>
    <s v="Asia"/>
    <s v="China"/>
    <s v="Shanghai"/>
    <m/>
    <s v="Consumer"/>
    <s v="Distributor"/>
    <x v="13"/>
    <x v="4"/>
    <m/>
    <x v="624"/>
    <n v="226.04"/>
    <n v="545.72"/>
    <n v="545.72"/>
    <n v="0.151"/>
    <n v="0.151"/>
    <x v="21"/>
    <n v="5096.4790800000001"/>
    <n v="2486.44"/>
    <x v="626"/>
    <n v="0.51212592831834014"/>
  </r>
  <r>
    <x v="626"/>
    <d v="2023-06-23T00:00:00"/>
    <s v="Jun-2023"/>
    <s v="Q2-2023"/>
    <m/>
    <d v="2023-07-18T00:00:00"/>
    <d v="2023-06-23T00:00:00"/>
    <n v="25"/>
    <s v="Americas"/>
    <s v="Canada"/>
    <s v="Vancouver"/>
    <m/>
    <s v="Enterprise"/>
    <s v="Online"/>
    <x v="13"/>
    <x v="2"/>
    <m/>
    <x v="625"/>
    <n v="807.02"/>
    <n v="1435.54"/>
    <n v="1435.54"/>
    <n v="0"/>
    <n v="0"/>
    <x v="8"/>
    <n v="33017.42"/>
    <n v="18561.46"/>
    <x v="627"/>
    <n v="0.43782827368098415"/>
  </r>
  <r>
    <x v="627"/>
    <d v="2023-12-07T00:00:00"/>
    <s v="Dec-2023"/>
    <s v="Q4-2023"/>
    <m/>
    <d v="2024-01-02T00:00:00"/>
    <d v="2023-12-07T00:00:00"/>
    <n v="26"/>
    <s v="Europe"/>
    <s v="Germany"/>
    <s v="Frankfurt"/>
    <m/>
    <s v="Enterprise"/>
    <s v="Distributor"/>
    <x v="5"/>
    <x v="5"/>
    <m/>
    <x v="626"/>
    <n v="1071.99"/>
    <n v="2397.3000000000002"/>
    <n v="2397.3000000000002"/>
    <n v="6.2E-2"/>
    <n v="6.2E-2"/>
    <x v="6"/>
    <n v="40476.013200000001"/>
    <n v="19295.82"/>
    <x v="628"/>
    <n v="0.52327765324476183"/>
  </r>
  <r>
    <x v="628"/>
    <d v="2023-11-19T00:00:00"/>
    <s v="Nov-2023"/>
    <s v="Q4-2023"/>
    <m/>
    <d v="2023-12-19T00:00:00"/>
    <d v="2023-11-19T00:00:00"/>
    <n v="30"/>
    <s v="Asia"/>
    <s v="Japan"/>
    <s v="Nagoya"/>
    <m/>
    <s v="Consumer"/>
    <s v="Retail"/>
    <x v="15"/>
    <x v="2"/>
    <m/>
    <x v="627"/>
    <n v="807.11"/>
    <n v="1853.86"/>
    <n v="1853.86"/>
    <n v="0.13900000000000001"/>
    <n v="0.13900000000000001"/>
    <x v="15"/>
    <n v="12769.38768"/>
    <n v="6456.88"/>
    <x v="629"/>
    <n v="0.49434693645388639"/>
  </r>
  <r>
    <x v="629"/>
    <d v="2025-02-28T00:00:00"/>
    <s v="Feb-2025"/>
    <s v="Q1-2025"/>
    <m/>
    <d v="2025-03-10T00:00:00"/>
    <d v="2025-02-28T00:00:00"/>
    <n v="10"/>
    <s v="Asia"/>
    <s v="Japan"/>
    <s v="Osaka"/>
    <m/>
    <s v="Education"/>
    <s v="Distributor"/>
    <x v="13"/>
    <x v="3"/>
    <m/>
    <x v="628"/>
    <n v="51.86"/>
    <n v="45.98"/>
    <n v="45.98"/>
    <n v="0.17299999999999999"/>
    <n v="0.17299999999999999"/>
    <x v="4"/>
    <n v="266.17821999999995"/>
    <n v="363.02"/>
    <x v="630"/>
    <n v="-0.3638230806412337"/>
  </r>
  <r>
    <x v="630"/>
    <m/>
    <m/>
    <m/>
    <m/>
    <m/>
    <m/>
    <m/>
    <m/>
    <m/>
    <m/>
    <m/>
    <m/>
    <m/>
    <x v="16"/>
    <x v="7"/>
    <m/>
    <x v="629"/>
    <m/>
    <m/>
    <m/>
    <m/>
    <m/>
    <x v="52"/>
    <m/>
    <m/>
    <x v="631"/>
    <m/>
  </r>
  <r>
    <x v="630"/>
    <d v="2023-12-06T00:00:00"/>
    <m/>
    <m/>
    <m/>
    <m/>
    <m/>
    <m/>
    <m/>
    <m/>
    <m/>
    <m/>
    <m/>
    <m/>
    <x v="16"/>
    <x v="7"/>
    <m/>
    <x v="629"/>
    <m/>
    <n v="1193.865"/>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6"/>
    <x v="7"/>
    <m/>
    <x v="629"/>
    <m/>
    <m/>
    <m/>
    <b v="0"/>
    <m/>
    <x v="52"/>
    <m/>
    <m/>
    <x v="631"/>
    <m/>
  </r>
  <r>
    <x v="630"/>
    <m/>
    <m/>
    <m/>
    <m/>
    <m/>
    <m/>
    <m/>
    <m/>
    <m/>
    <m/>
    <m/>
    <m/>
    <m/>
    <x v="15"/>
    <x v="7"/>
    <m/>
    <x v="629"/>
    <m/>
    <m/>
    <m/>
    <b v="0"/>
    <m/>
    <x v="52"/>
    <m/>
    <m/>
    <x v="631"/>
    <m/>
  </r>
  <r>
    <x v="630"/>
    <m/>
    <m/>
    <m/>
    <m/>
    <m/>
    <m/>
    <m/>
    <m/>
    <m/>
    <m/>
    <m/>
    <m/>
    <m/>
    <x v="15"/>
    <x v="7"/>
    <m/>
    <x v="629"/>
    <m/>
    <m/>
    <m/>
    <b v="0"/>
    <m/>
    <x v="52"/>
    <m/>
    <m/>
    <x v="631"/>
    <m/>
  </r>
  <r>
    <x v="630"/>
    <m/>
    <m/>
    <m/>
    <m/>
    <m/>
    <m/>
    <m/>
    <m/>
    <m/>
    <m/>
    <m/>
    <m/>
    <m/>
    <x v="16"/>
    <x v="7"/>
    <m/>
    <x v="629"/>
    <m/>
    <m/>
    <m/>
    <b v="0"/>
    <m/>
    <x v="52"/>
    <m/>
    <m/>
    <x v="631"/>
    <m/>
  </r>
  <r>
    <x v="630"/>
    <m/>
    <m/>
    <m/>
    <m/>
    <m/>
    <m/>
    <m/>
    <m/>
    <m/>
    <m/>
    <m/>
    <m/>
    <m/>
    <x v="16"/>
    <x v="7"/>
    <m/>
    <x v="629"/>
    <m/>
    <m/>
    <m/>
    <m/>
    <m/>
    <x v="52"/>
    <m/>
    <m/>
    <x v="63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6">
  <r>
    <x v="0"/>
    <x v="0"/>
    <x v="0"/>
    <s v="Q1-2024"/>
    <n v="45388"/>
    <n v="45362"/>
    <n v="26"/>
    <x v="0"/>
    <n v="0"/>
    <x v="0"/>
    <x v="0"/>
    <x v="0"/>
    <s v="Corporate"/>
    <x v="0"/>
    <x v="0"/>
    <x v="0"/>
    <s v="Low"/>
    <x v="0"/>
    <n v="279.24"/>
    <n v="608.9"/>
    <n v="608.9"/>
    <x v="0"/>
    <n v="0.112"/>
    <x v="0"/>
    <n v="9"/>
    <x v="0"/>
    <n v="2513.16"/>
    <n v="2353.1687999999995"/>
    <n v="0.48356140670149533"/>
  </r>
  <r>
    <x v="1"/>
    <x v="1"/>
    <x v="1"/>
    <s v="Q4-2024"/>
    <n v="45587"/>
    <n v="45595"/>
    <n v="-8"/>
    <x v="1"/>
    <n v="1"/>
    <x v="0"/>
    <x v="1"/>
    <x v="1"/>
    <s v="Education"/>
    <x v="1"/>
    <x v="1"/>
    <x v="1"/>
    <s v="High"/>
    <x v="1"/>
    <n v="1084.3900000000001"/>
    <n v="759.33"/>
    <n v="759.33"/>
    <x v="1"/>
    <n v="0.23699999999999999"/>
    <x v="1"/>
    <n v="31"/>
    <x v="1"/>
    <n v="33616.090000000004"/>
    <n v="-15655.657510000005"/>
    <n v="-0.87167486187856302"/>
  </r>
  <r>
    <x v="2"/>
    <x v="2"/>
    <x v="2"/>
    <s v="Q1-2023"/>
    <d v="2023-03-25T00:00:00"/>
    <d v="2023-02-28T00:00:00"/>
    <n v="25"/>
    <x v="0"/>
    <n v="0"/>
    <x v="0"/>
    <x v="0"/>
    <x v="2"/>
    <s v="Corporate"/>
    <x v="0"/>
    <x v="2"/>
    <x v="2"/>
    <s v="High"/>
    <x v="2"/>
    <n v="1460.76"/>
    <n v="-30.66"/>
    <s v="1193.87"/>
    <x v="2"/>
    <n v="0.13100000000000001"/>
    <x v="0"/>
    <n v="12"/>
    <x v="2"/>
    <n v="17529.12"/>
    <n v="-5079.4436399999995"/>
    <n v="-0.40799804694682035"/>
  </r>
  <r>
    <x v="3"/>
    <x v="3"/>
    <x v="3"/>
    <s v="Q1-2025"/>
    <d v="2025-04-02T00:00:00"/>
    <d v="2025-03-29T00:00:00"/>
    <n v="4"/>
    <x v="1"/>
    <n v="1"/>
    <x v="0"/>
    <x v="1"/>
    <x v="3"/>
    <s v="Non-Profit"/>
    <x v="2"/>
    <x v="3"/>
    <x v="3"/>
    <s v="Low"/>
    <x v="3"/>
    <n v="259.93"/>
    <n v="255.94"/>
    <n v="255.94"/>
    <x v="3"/>
    <n v="7.1999999999999995E-2"/>
    <x v="0"/>
    <n v="22"/>
    <x v="3"/>
    <n v="5718.46"/>
    <n v="-493.1889599999995"/>
    <n v="-9.4385335463861311E-2"/>
  </r>
  <r>
    <x v="4"/>
    <x v="4"/>
    <x v="4"/>
    <s v="Q4-2023"/>
    <d v="2023-12-31T00:00:00"/>
    <d v="2023-12-06T00:00:00"/>
    <n v="25"/>
    <x v="0"/>
    <n v="0"/>
    <x v="1"/>
    <x v="2"/>
    <x v="4"/>
    <s v="Consumer"/>
    <x v="0"/>
    <x v="4"/>
    <x v="1"/>
    <s v="High"/>
    <x v="4"/>
    <n v="663.03"/>
    <n v="813.51"/>
    <n v="813.51"/>
    <x v="4"/>
    <n v="0.10199999999999999"/>
    <x v="0"/>
    <n v="15"/>
    <x v="4"/>
    <n v="9945.4499999999989"/>
    <n v="1012.529700000001"/>
    <n v="9.2401129379715952E-2"/>
  </r>
  <r>
    <x v="5"/>
    <x v="5"/>
    <x v="5"/>
    <s v="Q1-2023"/>
    <d v="2023-01-05T00:00:00"/>
    <d v="2023-01-02T00:00:00"/>
    <n v="3"/>
    <x v="1"/>
    <n v="1"/>
    <x v="2"/>
    <x v="3"/>
    <x v="5"/>
    <s v="Corporate"/>
    <x v="3"/>
    <x v="5"/>
    <x v="4"/>
    <s v="Low"/>
    <x v="5"/>
    <n v="315.87"/>
    <n v="591.67999999999995"/>
    <n v="591.67999999999995"/>
    <x v="5"/>
    <n v="0"/>
    <x v="0"/>
    <n v="7"/>
    <x v="5"/>
    <n v="2211.09"/>
    <n v="1930.6699999999992"/>
    <n v="0.46614724175229844"/>
  </r>
  <r>
    <x v="6"/>
    <x v="6"/>
    <x v="6"/>
    <s v="Q4-2024"/>
    <d v="2025-01-14T00:00:00"/>
    <d v="2024-12-27T00:00:00"/>
    <n v="18"/>
    <x v="0"/>
    <n v="0"/>
    <x v="1"/>
    <x v="4"/>
    <x v="6"/>
    <s v="Small Business"/>
    <x v="2"/>
    <x v="6"/>
    <x v="5"/>
    <s v="High"/>
    <x v="6"/>
    <n v="586.07000000000005"/>
    <n v="845.97"/>
    <n v="845.97"/>
    <x v="6"/>
    <n v="0.14699999999999999"/>
    <x v="0"/>
    <n v="4"/>
    <x v="6"/>
    <n v="2344.2800000000002"/>
    <n v="542.16963999999962"/>
    <n v="0.18783270370862928"/>
  </r>
  <r>
    <x v="7"/>
    <x v="7"/>
    <x v="5"/>
    <s v="Q1-2023"/>
    <d v="2023-01-13T00:00:00"/>
    <d v="2023-01-22T00:00:00"/>
    <n v="-9"/>
    <x v="1"/>
    <n v="1"/>
    <x v="0"/>
    <x v="1"/>
    <x v="7"/>
    <s v="Education"/>
    <x v="1"/>
    <x v="7"/>
    <x v="1"/>
    <s v="Low"/>
    <x v="7"/>
    <n v="28.38"/>
    <n v="47.22"/>
    <n v="47.22"/>
    <x v="7"/>
    <n v="0.19400000000000001"/>
    <x v="0"/>
    <n v="18"/>
    <x v="7"/>
    <n v="510.84"/>
    <n v="174.22776000000005"/>
    <n v="0.25432193743871417"/>
  </r>
  <r>
    <x v="8"/>
    <x v="8"/>
    <x v="7"/>
    <s v="Q2-2024"/>
    <d v="2024-05-29T00:00:00"/>
    <d v="2024-05-04T00:00:00"/>
    <n v="25"/>
    <x v="0"/>
    <n v="0"/>
    <x v="0"/>
    <x v="1"/>
    <x v="7"/>
    <s v="Non-Profit"/>
    <x v="2"/>
    <x v="7"/>
    <x v="5"/>
    <s v="High"/>
    <x v="8"/>
    <n v="1295.3399999999999"/>
    <n v="2530.81"/>
    <n v="2530.81"/>
    <x v="8"/>
    <n v="3.1E-2"/>
    <x v="0"/>
    <n v="6"/>
    <x v="8"/>
    <n v="7772.0399999999991"/>
    <n v="6942.0893400000004"/>
    <n v="0.4717974933880798"/>
  </r>
  <r>
    <x v="9"/>
    <x v="9"/>
    <x v="8"/>
    <s v="Q2-2025"/>
    <d v="2025-06-09T00:00:00"/>
    <d v="2025-05-21T00:00:00"/>
    <n v="19"/>
    <x v="0"/>
    <n v="0"/>
    <x v="2"/>
    <x v="5"/>
    <x v="8"/>
    <s v="Non-Profit"/>
    <x v="1"/>
    <x v="8"/>
    <x v="0"/>
    <s v="High"/>
    <x v="9"/>
    <n v="1331.38"/>
    <n v="2309.56"/>
    <n v="2309.56"/>
    <x v="9"/>
    <n v="0.14899999999999999"/>
    <x v="0"/>
    <n v="31"/>
    <x v="9"/>
    <n v="41272.780000000006"/>
    <n v="19655.722359999992"/>
    <n v="0.32260307735553528"/>
  </r>
  <r>
    <x v="10"/>
    <x v="10"/>
    <x v="9"/>
    <s v="Q1-2024"/>
    <d v="2024-02-09T00:00:00"/>
    <d v="2024-01-28T00:00:00"/>
    <n v="12"/>
    <x v="0"/>
    <n v="0"/>
    <x v="3"/>
    <x v="6"/>
    <x v="9"/>
    <s v="Corporate"/>
    <x v="1"/>
    <x v="3"/>
    <x v="6"/>
    <s v="High"/>
    <x v="10"/>
    <n v="644.16999999999996"/>
    <n v="700.12"/>
    <n v="700.12"/>
    <x v="10"/>
    <n v="6.0000000000000001E-3"/>
    <x v="0"/>
    <n v="23"/>
    <x v="10"/>
    <n v="14815.91"/>
    <n v="1190.23344"/>
    <n v="7.436103796405813E-2"/>
  </r>
  <r>
    <x v="11"/>
    <x v="11"/>
    <x v="10"/>
    <s v="Q1-2025"/>
    <d v="2025-01-23T00:00:00"/>
    <d v="2025-01-03T00:00:00"/>
    <n v="20"/>
    <x v="0"/>
    <n v="0"/>
    <x v="1"/>
    <x v="2"/>
    <x v="4"/>
    <s v="Corporate"/>
    <x v="3"/>
    <x v="9"/>
    <x v="3"/>
    <s v="High"/>
    <x v="11"/>
    <n v="908.6"/>
    <n v="691.37"/>
    <n v="691.37"/>
    <x v="11"/>
    <n v="0.25"/>
    <x v="1"/>
    <n v="20"/>
    <x v="11"/>
    <n v="18172"/>
    <n v="-7801.4500000000007"/>
    <n v="-0.75226964818645115"/>
  </r>
  <r>
    <x v="12"/>
    <x v="12"/>
    <x v="3"/>
    <s v="Q1-2025"/>
    <d v="2025-03-31T00:00:00"/>
    <d v="2025-03-06T00:00:00"/>
    <n v="25"/>
    <x v="0"/>
    <n v="0"/>
    <x v="2"/>
    <x v="5"/>
    <x v="10"/>
    <s v="Non-Profit"/>
    <x v="1"/>
    <x v="1"/>
    <x v="0"/>
    <s v="Low"/>
    <x v="12"/>
    <n v="331.57"/>
    <n v="548.4"/>
    <n v="548.4"/>
    <x v="12"/>
    <n v="9.4E-2"/>
    <x v="0"/>
    <n v="10"/>
    <x v="12"/>
    <n v="3315.7"/>
    <n v="1652.8040000000001"/>
    <n v="0.33265626836568918"/>
  </r>
  <r>
    <x v="13"/>
    <x v="13"/>
    <x v="9"/>
    <s v="Q1-2024"/>
    <d v="2024-02-13T00:00:00"/>
    <d v="2024-01-20T00:00:00"/>
    <n v="24"/>
    <x v="0"/>
    <n v="0"/>
    <x v="3"/>
    <x v="7"/>
    <x v="11"/>
    <s v="Corporate"/>
    <x v="0"/>
    <x v="10"/>
    <x v="1"/>
    <s v="High"/>
    <x v="13"/>
    <n v="643.53"/>
    <n v="1439.01"/>
    <n v="1439.01"/>
    <x v="5"/>
    <n v="0"/>
    <x v="0"/>
    <n v="15"/>
    <x v="13"/>
    <n v="9652.9499999999989"/>
    <n v="11932.200000000003"/>
    <n v="0.55279671440782208"/>
  </r>
  <r>
    <x v="14"/>
    <x v="14"/>
    <x v="11"/>
    <s v="Q3-2025"/>
    <d v="2025-09-30T00:00:00"/>
    <d v="2025-09-01T00:00:00"/>
    <n v="29"/>
    <x v="0"/>
    <n v="0"/>
    <x v="2"/>
    <x v="5"/>
    <x v="10"/>
    <s v="Education"/>
    <x v="0"/>
    <x v="11"/>
    <x v="6"/>
    <s v="High"/>
    <x v="14"/>
    <n v="780.59"/>
    <n v="631.57000000000005"/>
    <n v="631.57000000000005"/>
    <x v="5"/>
    <n v="0"/>
    <x v="0"/>
    <n v="12"/>
    <x v="14"/>
    <n v="9367.08"/>
    <n v="-1788.2399999999998"/>
    <n v="-0.23595167598207639"/>
  </r>
  <r>
    <x v="15"/>
    <x v="15"/>
    <x v="12"/>
    <s v="Q2-2023"/>
    <d v="2023-04-22T00:00:00"/>
    <d v="2023-04-30T00:00:00"/>
    <n v="-8"/>
    <x v="1"/>
    <n v="1"/>
    <x v="0"/>
    <x v="0"/>
    <x v="2"/>
    <s v="Small Business"/>
    <x v="4"/>
    <x v="6"/>
    <x v="4"/>
    <s v="High"/>
    <x v="15"/>
    <n v="756.51"/>
    <n v="850.8"/>
    <n v="850.8"/>
    <x v="13"/>
    <n v="7.3999999999999996E-2"/>
    <x v="0"/>
    <n v="9"/>
    <x v="15"/>
    <n v="6808.59"/>
    <n v="281.97720000000027"/>
    <n v="3.9767932810791252E-2"/>
  </r>
  <r>
    <x v="16"/>
    <x v="16"/>
    <x v="6"/>
    <s v="Q4-2024"/>
    <d v="2025-01-08T00:00:00"/>
    <d v="2024-12-10T00:00:00"/>
    <n v="29"/>
    <x v="0"/>
    <n v="0"/>
    <x v="3"/>
    <x v="7"/>
    <x v="11"/>
    <s v="Small Business"/>
    <x v="0"/>
    <x v="11"/>
    <x v="1"/>
    <s v="High"/>
    <x v="16"/>
    <n v="891.08"/>
    <n v="1040.0999999999999"/>
    <n v="1040.0999999999999"/>
    <x v="14"/>
    <n v="0.109"/>
    <x v="0"/>
    <n v="28"/>
    <x v="16"/>
    <n v="24950.240000000002"/>
    <n v="998.17479999999341"/>
    <n v="3.8467660074556598E-2"/>
  </r>
  <r>
    <x v="17"/>
    <x v="17"/>
    <x v="11"/>
    <s v="Q3-2025"/>
    <d v="2025-09-16T00:00:00"/>
    <d v="2025-09-08T00:00:00"/>
    <n v="8"/>
    <x v="0"/>
    <n v="0"/>
    <x v="1"/>
    <x v="2"/>
    <x v="4"/>
    <s v="Corporate"/>
    <x v="3"/>
    <x v="0"/>
    <x v="3"/>
    <s v="High"/>
    <x v="17"/>
    <n v="1225.57"/>
    <n v="2705.57"/>
    <n v="2705.57"/>
    <x v="15"/>
    <n v="0.183"/>
    <x v="0"/>
    <n v="16"/>
    <x v="17"/>
    <n v="19609.12"/>
    <n v="15758.091040000003"/>
    <n v="0.44555650775453404"/>
  </r>
  <r>
    <x v="18"/>
    <x v="18"/>
    <x v="13"/>
    <s v="Q3-2025"/>
    <d v="2025-08-05T00:00:00"/>
    <d v="2025-07-20T00:00:00"/>
    <n v="16"/>
    <x v="0"/>
    <n v="0"/>
    <x v="2"/>
    <x v="5"/>
    <x v="10"/>
    <s v="Enterprise"/>
    <x v="2"/>
    <x v="3"/>
    <x v="6"/>
    <s v="High"/>
    <x v="18"/>
    <n v="1068.17"/>
    <n v="2375.37"/>
    <n v="2375.37"/>
    <x v="14"/>
    <n v="0.109"/>
    <x v="0"/>
    <n v="18"/>
    <x v="18"/>
    <n v="19227.060000000001"/>
    <n v="18869.124059999998"/>
    <n v="0.49530220744108822"/>
  </r>
  <r>
    <x v="19"/>
    <x v="9"/>
    <x v="8"/>
    <s v="Q2-2025"/>
    <d v="2025-05-19T00:00:00"/>
    <d v="2025-05-28T00:00:00"/>
    <n v="-9"/>
    <x v="1"/>
    <n v="1"/>
    <x v="3"/>
    <x v="8"/>
    <x v="12"/>
    <s v="Enterprise"/>
    <x v="1"/>
    <x v="12"/>
    <x v="4"/>
    <s v="High"/>
    <x v="19"/>
    <n v="1015.16"/>
    <n v="2148.14"/>
    <n v="2148.14"/>
    <x v="16"/>
    <n v="3.7999999999999999E-2"/>
    <x v="0"/>
    <n v="19"/>
    <x v="19"/>
    <n v="19288.04"/>
    <n v="19975.662919999995"/>
    <n v="0.50875647059322227"/>
  </r>
  <r>
    <x v="20"/>
    <x v="19"/>
    <x v="14"/>
    <s v="Q3-2024"/>
    <d v="2024-07-24T00:00:00"/>
    <d v="2024-08-01T00:00:00"/>
    <n v="-8"/>
    <x v="1"/>
    <n v="1"/>
    <x v="0"/>
    <x v="0"/>
    <x v="13"/>
    <s v="Non-Profit"/>
    <x v="4"/>
    <x v="1"/>
    <x v="4"/>
    <s v="High"/>
    <x v="20"/>
    <n v="1494.4"/>
    <n v="3661.07"/>
    <n v="3661.07"/>
    <x v="3"/>
    <n v="7.1999999999999995E-2"/>
    <x v="0"/>
    <n v="7"/>
    <x v="20"/>
    <n v="10460.800000000001"/>
    <n v="13321.51072"/>
    <n v="0.56014366630897339"/>
  </r>
  <r>
    <x v="21"/>
    <x v="20"/>
    <x v="15"/>
    <s v="Q2-2023"/>
    <d v="2023-05-28T00:00:00"/>
    <d v="2023-05-11T00:00:00"/>
    <n v="17"/>
    <x v="0"/>
    <n v="0"/>
    <x v="1"/>
    <x v="9"/>
    <x v="14"/>
    <s v="Enterprise"/>
    <x v="2"/>
    <x v="6"/>
    <x v="2"/>
    <s v="High"/>
    <x v="21"/>
    <n v="1331.19"/>
    <n v="2903.09"/>
    <n v="2903.09"/>
    <x v="17"/>
    <n v="0.14299999999999999"/>
    <x v="0"/>
    <n v="8"/>
    <x v="21"/>
    <n v="10649.52"/>
    <n v="9254.0650400000013"/>
    <n v="0.46494463290920784"/>
  </r>
  <r>
    <x v="22"/>
    <x v="21"/>
    <x v="16"/>
    <s v="Q2-2025"/>
    <d v="2025-06-29T00:00:00"/>
    <d v="2025-06-14T00:00:00"/>
    <n v="15"/>
    <x v="0"/>
    <n v="0"/>
    <x v="0"/>
    <x v="1"/>
    <x v="1"/>
    <s v="Consumer"/>
    <x v="2"/>
    <x v="12"/>
    <x v="6"/>
    <s v="High"/>
    <x v="22"/>
    <n v="730.99"/>
    <n v="1242.8399999999999"/>
    <n v="1242.8399999999999"/>
    <x v="18"/>
    <n v="0.12"/>
    <x v="0"/>
    <n v="10"/>
    <x v="22"/>
    <n v="7309.9"/>
    <n v="3627.0920000000006"/>
    <n v="0.33163524303574515"/>
  </r>
  <r>
    <x v="23"/>
    <x v="22"/>
    <x v="7"/>
    <s v="Q2-2024"/>
    <d v="2024-05-23T00:00:00"/>
    <d v="2024-05-18T00:00:00"/>
    <n v="5"/>
    <x v="1"/>
    <n v="1"/>
    <x v="2"/>
    <x v="10"/>
    <x v="15"/>
    <s v="Enterprise"/>
    <x v="0"/>
    <x v="10"/>
    <x v="4"/>
    <s v="High"/>
    <x v="23"/>
    <n v="1274.5899999999999"/>
    <n v="2553.69"/>
    <n v="2553.69"/>
    <x v="19"/>
    <n v="0.01"/>
    <x v="0"/>
    <n v="8"/>
    <x v="23"/>
    <n v="10196.719999999999"/>
    <n v="10028.504800000001"/>
    <n v="0.49584145042481803"/>
  </r>
  <r>
    <x v="24"/>
    <x v="23"/>
    <x v="2"/>
    <s v="Q1-2023"/>
    <d v="2023-02-12T00:00:00"/>
    <d v="2023-02-07T00:00:00"/>
    <n v="5"/>
    <x v="1"/>
    <n v="1"/>
    <x v="2"/>
    <x v="5"/>
    <x v="8"/>
    <s v="Education"/>
    <x v="1"/>
    <x v="13"/>
    <x v="0"/>
    <s v="High"/>
    <x v="24"/>
    <n v="948.55"/>
    <n v="2089.16"/>
    <n v="2089.16"/>
    <x v="20"/>
    <n v="7.0000000000000001E-3"/>
    <x v="0"/>
    <n v="12"/>
    <x v="24"/>
    <n v="11382.599999999999"/>
    <n v="13511.830559999999"/>
    <n v="0.54276519912492427"/>
  </r>
  <r>
    <x v="25"/>
    <x v="24"/>
    <x v="17"/>
    <s v="Q2-2024"/>
    <d v="2024-07-14T00:00:00"/>
    <d v="2024-06-30T00:00:00"/>
    <n v="14"/>
    <x v="0"/>
    <n v="0"/>
    <x v="2"/>
    <x v="5"/>
    <x v="10"/>
    <s v="Education"/>
    <x v="0"/>
    <x v="0"/>
    <x v="6"/>
    <s v="High"/>
    <x v="25"/>
    <n v="1491.85"/>
    <n v="2583.02"/>
    <n v="2583.02"/>
    <x v="21"/>
    <n v="0.16800000000000001"/>
    <x v="0"/>
    <n v="4"/>
    <x v="25"/>
    <n v="5967.4"/>
    <n v="2628.8905599999998"/>
    <n v="0.30581685689321325"/>
  </r>
  <r>
    <x v="26"/>
    <x v="25"/>
    <x v="18"/>
    <s v="Q4-2024"/>
    <d v="2024-12-30T00:00:00"/>
    <d v="2024-11-30T00:00:00"/>
    <n v="30"/>
    <x v="0"/>
    <n v="0"/>
    <x v="3"/>
    <x v="7"/>
    <x v="11"/>
    <s v="Consumer"/>
    <x v="2"/>
    <x v="9"/>
    <x v="1"/>
    <s v="Low"/>
    <x v="26"/>
    <n v="117.64"/>
    <n v="175.67"/>
    <n v="175.67"/>
    <x v="5"/>
    <n v="0"/>
    <x v="0"/>
    <n v="10"/>
    <x v="26"/>
    <n v="1176.4000000000001"/>
    <n v="580.29999999999973"/>
    <n v="0.33033528775545046"/>
  </r>
  <r>
    <x v="27"/>
    <x v="26"/>
    <x v="14"/>
    <s v="Q3-2024"/>
    <d v="2024-07-19T00:00:00"/>
    <d v="2024-07-19T00:00:00"/>
    <n v="0"/>
    <x v="1"/>
    <n v="1"/>
    <x v="0"/>
    <x v="0"/>
    <x v="0"/>
    <s v="Small Business"/>
    <x v="0"/>
    <x v="8"/>
    <x v="3"/>
    <s v="High"/>
    <x v="27"/>
    <n v="857.24"/>
    <n v="758.23"/>
    <n v="758.23"/>
    <x v="22"/>
    <n v="0.125"/>
    <x v="0"/>
    <n v="6"/>
    <x v="27"/>
    <n v="5143.4400000000005"/>
    <n v="-1162.7325000000005"/>
    <n v="-0.29209192084572921"/>
  </r>
  <r>
    <x v="28"/>
    <x v="27"/>
    <x v="12"/>
    <s v="Q2-2023"/>
    <d v="2023-05-14T00:00:00"/>
    <d v="2023-04-14T00:00:00"/>
    <n v="30"/>
    <x v="0"/>
    <n v="0"/>
    <x v="0"/>
    <x v="0"/>
    <x v="16"/>
    <s v="Consumer"/>
    <x v="2"/>
    <x v="12"/>
    <x v="3"/>
    <s v="Low"/>
    <x v="28"/>
    <n v="209.25"/>
    <n v="434.8"/>
    <n v="434.8"/>
    <x v="5"/>
    <n v="0"/>
    <x v="0"/>
    <n v="9"/>
    <x v="28"/>
    <n v="1883.25"/>
    <n v="2029.9500000000003"/>
    <n v="0.51874425022999082"/>
  </r>
  <r>
    <x v="29"/>
    <x v="28"/>
    <x v="19"/>
    <s v="Q2-2025"/>
    <d v="2025-04-11T00:00:00"/>
    <d v="2025-04-07T00:00:00"/>
    <n v="4"/>
    <x v="1"/>
    <n v="1"/>
    <x v="3"/>
    <x v="7"/>
    <x v="17"/>
    <s v="Education"/>
    <x v="0"/>
    <x v="6"/>
    <x v="2"/>
    <s v="High"/>
    <x v="29"/>
    <n v="754.77"/>
    <n v="1666.18"/>
    <n v="1666.18"/>
    <x v="23"/>
    <n v="0.13900000000000001"/>
    <x v="0"/>
    <n v="14"/>
    <x v="29"/>
    <n v="10566.779999999999"/>
    <n v="9517.3537200000028"/>
    <n v="0.47387424584424653"/>
  </r>
  <r>
    <x v="30"/>
    <x v="6"/>
    <x v="6"/>
    <s v="Q4-2024"/>
    <d v="2025-01-15T00:00:00"/>
    <d v="2024-12-27T00:00:00"/>
    <n v="19"/>
    <x v="0"/>
    <n v="0"/>
    <x v="1"/>
    <x v="4"/>
    <x v="18"/>
    <s v="Non-Profit"/>
    <x v="3"/>
    <x v="3"/>
    <x v="0"/>
    <s v="High"/>
    <x v="30"/>
    <n v="495.59"/>
    <n v="631.78"/>
    <n v="631.78"/>
    <x v="24"/>
    <n v="8.6999999999999994E-2"/>
    <x v="0"/>
    <n v="17"/>
    <x v="30"/>
    <n v="8425.0299999999988"/>
    <n v="1380.8273800000024"/>
    <n v="0.14081658813601899"/>
  </r>
  <r>
    <x v="31"/>
    <x v="29"/>
    <x v="2"/>
    <s v="Q1-2023"/>
    <d v="2023-03-25T00:00:00"/>
    <d v="2023-02-23T00:00:00"/>
    <n v="30"/>
    <x v="0"/>
    <n v="0"/>
    <x v="2"/>
    <x v="3"/>
    <x v="19"/>
    <s v="Enterprise"/>
    <x v="1"/>
    <x v="14"/>
    <x v="3"/>
    <s v="High"/>
    <x v="31"/>
    <n v="1242.6600000000001"/>
    <n v="1794.07"/>
    <n v="1794.07"/>
    <x v="25"/>
    <n v="8.8999999999999996E-2"/>
    <x v="0"/>
    <n v="16"/>
    <x v="31"/>
    <n v="19882.560000000001"/>
    <n v="6267.8043199999993"/>
    <n v="0.23968325042440553"/>
  </r>
  <r>
    <x v="32"/>
    <x v="30"/>
    <x v="13"/>
    <s v="Q3-2025"/>
    <d v="2025-08-06T00:00:00"/>
    <d v="2025-07-24T00:00:00"/>
    <n v="13"/>
    <x v="0"/>
    <n v="0"/>
    <x v="0"/>
    <x v="11"/>
    <x v="20"/>
    <s v="Education"/>
    <x v="2"/>
    <x v="14"/>
    <x v="2"/>
    <s v="High"/>
    <x v="32"/>
    <n v="1463.9"/>
    <n v="2633.02"/>
    <n v="2633.02"/>
    <x v="26"/>
    <n v="8.4000000000000005E-2"/>
    <x v="0"/>
    <n v="4"/>
    <x v="32"/>
    <n v="5855.6"/>
    <n v="3791.7852800000001"/>
    <n v="0.39303761277791527"/>
  </r>
  <r>
    <x v="33"/>
    <x v="31"/>
    <x v="20"/>
    <s v="Q2-2024"/>
    <d v="2024-05-08T00:00:00"/>
    <d v="2024-04-18T00:00:00"/>
    <n v="20"/>
    <x v="0"/>
    <n v="0"/>
    <x v="3"/>
    <x v="8"/>
    <x v="21"/>
    <s v="Non-Profit"/>
    <x v="5"/>
    <x v="14"/>
    <x v="4"/>
    <s v="High"/>
    <x v="33"/>
    <n v="645.33000000000004"/>
    <n v="1321.85"/>
    <n v="1321.85"/>
    <x v="5"/>
    <n v="0"/>
    <x v="0"/>
    <n v="10"/>
    <x v="33"/>
    <n v="6453.3"/>
    <n v="6765.2"/>
    <n v="0.51179785906116426"/>
  </r>
  <r>
    <x v="34"/>
    <x v="32"/>
    <x v="21"/>
    <s v="Q3-2024"/>
    <d v="2024-08-21T00:00:00"/>
    <d v="2024-08-30T00:00:00"/>
    <n v="-9"/>
    <x v="1"/>
    <n v="1"/>
    <x v="0"/>
    <x v="11"/>
    <x v="20"/>
    <s v="Education"/>
    <x v="0"/>
    <x v="6"/>
    <x v="0"/>
    <s v="High"/>
    <x v="34"/>
    <n v="1432.52"/>
    <n v="3036.87"/>
    <n v="3036.87"/>
    <x v="5"/>
    <n v="0"/>
    <x v="0"/>
    <n v="9"/>
    <x v="34"/>
    <n v="12892.68"/>
    <n v="14439.149999999998"/>
    <n v="0.52829064135112791"/>
  </r>
  <r>
    <x v="35"/>
    <x v="33"/>
    <x v="22"/>
    <s v="Q1-2023"/>
    <d v="2023-04-22T00:00:00"/>
    <d v="2023-03-27T00:00:00"/>
    <n v="26"/>
    <x v="0"/>
    <n v="0"/>
    <x v="1"/>
    <x v="4"/>
    <x v="18"/>
    <s v="Non-Profit"/>
    <x v="2"/>
    <x v="1"/>
    <x v="1"/>
    <s v="Low"/>
    <x v="35"/>
    <n v="178.53"/>
    <n v="199.37"/>
    <n v="199.37"/>
    <x v="27"/>
    <n v="0.10100000000000001"/>
    <x v="0"/>
    <n v="37"/>
    <x v="35"/>
    <n v="6605.61"/>
    <n v="26.034310000000914"/>
    <n v="3.9257699573457538E-3"/>
  </r>
  <r>
    <x v="36"/>
    <x v="34"/>
    <x v="0"/>
    <s v="Q1-2024"/>
    <d v="2024-03-25T00:00:00"/>
    <d v="2024-03-07T00:00:00"/>
    <n v="18"/>
    <x v="0"/>
    <n v="0"/>
    <x v="3"/>
    <x v="6"/>
    <x v="22"/>
    <s v="Corporate"/>
    <x v="1"/>
    <x v="5"/>
    <x v="0"/>
    <s v="High"/>
    <x v="36"/>
    <n v="712.84"/>
    <n v="927.51"/>
    <n v="927.51"/>
    <x v="28"/>
    <n v="0.24299999999999999"/>
    <x v="1"/>
    <n v="27"/>
    <x v="36"/>
    <n v="19246.68"/>
    <n v="-289.30311000000074"/>
    <n v="-1.5260714163076427E-2"/>
  </r>
  <r>
    <x v="37"/>
    <x v="35"/>
    <x v="16"/>
    <s v="Q2-2025"/>
    <d v="2025-07-10T00:00:00"/>
    <d v="2025-06-24T00:00:00"/>
    <n v="16"/>
    <x v="0"/>
    <n v="0"/>
    <x v="1"/>
    <x v="9"/>
    <x v="23"/>
    <s v="Enterprise"/>
    <x v="4"/>
    <x v="13"/>
    <x v="0"/>
    <s v="High"/>
    <x v="37"/>
    <n v="757.19"/>
    <n v="1735.41"/>
    <n v="1735.41"/>
    <x v="29"/>
    <n v="0.13600000000000001"/>
    <x v="0"/>
    <n v="8"/>
    <x v="37"/>
    <n v="6057.52"/>
    <n v="5937.6339200000002"/>
    <n v="0.4950027285685718"/>
  </r>
  <r>
    <x v="38"/>
    <x v="36"/>
    <x v="20"/>
    <s v="Q2-2024"/>
    <d v="2024-05-06T00:00:00"/>
    <d v="2024-04-19T00:00:00"/>
    <n v="17"/>
    <x v="0"/>
    <n v="0"/>
    <x v="0"/>
    <x v="1"/>
    <x v="1"/>
    <s v="Non-Profit"/>
    <x v="1"/>
    <x v="8"/>
    <x v="1"/>
    <s v="High"/>
    <x v="38"/>
    <n v="865.33"/>
    <n v="1395.64"/>
    <n v="1395.64"/>
    <x v="30"/>
    <n v="0.17499999999999999"/>
    <x v="0"/>
    <n v="13"/>
    <x v="38"/>
    <n v="11249.29"/>
    <n v="3718.9489999999987"/>
    <n v="0.24845601409758347"/>
  </r>
  <r>
    <x v="39"/>
    <x v="37"/>
    <x v="23"/>
    <s v="Q2-2023"/>
    <d v="2023-06-24T00:00:00"/>
    <d v="2023-06-17T00:00:00"/>
    <n v="7"/>
    <x v="1"/>
    <n v="1"/>
    <x v="2"/>
    <x v="10"/>
    <x v="24"/>
    <s v="Corporate"/>
    <x v="0"/>
    <x v="2"/>
    <x v="1"/>
    <s v="Low"/>
    <x v="39"/>
    <n v="313.99"/>
    <n v="454.42"/>
    <n v="454.42"/>
    <x v="31"/>
    <n v="0.129"/>
    <x v="0"/>
    <n v="9"/>
    <x v="39"/>
    <n v="2825.91"/>
    <n v="736.28838000000042"/>
    <n v="0.20669493988147858"/>
  </r>
  <r>
    <x v="40"/>
    <x v="38"/>
    <x v="21"/>
    <s v="Q3-2024"/>
    <d v="2024-09-19T00:00:00"/>
    <d v="2024-08-27T00:00:00"/>
    <n v="23"/>
    <x v="0"/>
    <n v="0"/>
    <x v="3"/>
    <x v="6"/>
    <x v="9"/>
    <s v="Small Business"/>
    <x v="4"/>
    <x v="14"/>
    <x v="5"/>
    <s v="High"/>
    <x v="40"/>
    <n v="1024.01"/>
    <n v="1580.97"/>
    <n v="1580.97"/>
    <x v="32"/>
    <n v="3.6999999999999998E-2"/>
    <x v="0"/>
    <n v="27"/>
    <x v="40"/>
    <n v="27648.27"/>
    <n v="13458.530970000003"/>
    <n v="0.3274039976942531"/>
  </r>
  <r>
    <x v="41"/>
    <x v="39"/>
    <x v="9"/>
    <s v="Q1-2024"/>
    <d v="2024-02-02T00:00:00"/>
    <d v="2024-01-11T00:00:00"/>
    <n v="22"/>
    <x v="0"/>
    <n v="0"/>
    <x v="0"/>
    <x v="11"/>
    <x v="25"/>
    <s v="Consumer"/>
    <x v="1"/>
    <x v="11"/>
    <x v="2"/>
    <s v="High"/>
    <x v="41"/>
    <n v="1206.2"/>
    <n v="1759.79"/>
    <n v="1759.79"/>
    <x v="5"/>
    <n v="0"/>
    <x v="0"/>
    <n v="6"/>
    <x v="41"/>
    <n v="7237.2000000000007"/>
    <n v="3321.5399999999991"/>
    <n v="0.31457730751964713"/>
  </r>
  <r>
    <x v="42"/>
    <x v="40"/>
    <x v="1"/>
    <s v="Q4-2024"/>
    <d v="2024-11-14T00:00:00"/>
    <d v="2024-10-25T00:00:00"/>
    <n v="20"/>
    <x v="0"/>
    <n v="0"/>
    <x v="0"/>
    <x v="0"/>
    <x v="13"/>
    <s v="Corporate"/>
    <x v="4"/>
    <x v="10"/>
    <x v="1"/>
    <s v="High"/>
    <x v="42"/>
    <n v="1396.48"/>
    <n v="3204.5"/>
    <n v="3204.5"/>
    <x v="33"/>
    <n v="0.318"/>
    <x v="1"/>
    <n v="14"/>
    <x v="42"/>
    <n v="19550.72"/>
    <n v="11045.845999999998"/>
    <n v="0.36101587348070363"/>
  </r>
  <r>
    <x v="43"/>
    <x v="41"/>
    <x v="8"/>
    <s v="Q2-2025"/>
    <d v="2025-06-20T00:00:00"/>
    <d v="2025-05-29T00:00:00"/>
    <n v="22"/>
    <x v="0"/>
    <n v="0"/>
    <x v="3"/>
    <x v="6"/>
    <x v="9"/>
    <s v="Corporate"/>
    <x v="4"/>
    <x v="8"/>
    <x v="1"/>
    <s v="High"/>
    <x v="43"/>
    <n v="483.47"/>
    <n v="1135.43"/>
    <n v="1135.43"/>
    <x v="34"/>
    <n v="0.14599999999999999"/>
    <x v="0"/>
    <n v="11"/>
    <x v="43"/>
    <n v="5318.17"/>
    <n v="5348.0594200000014"/>
    <n v="0.50140112399719983"/>
  </r>
  <r>
    <x v="44"/>
    <x v="42"/>
    <x v="7"/>
    <s v="Q2-2024"/>
    <d v="2024-06-02T00:00:00"/>
    <d v="2024-05-20T00:00:00"/>
    <n v="13"/>
    <x v="0"/>
    <n v="0"/>
    <x v="2"/>
    <x v="3"/>
    <x v="26"/>
    <s v="Enterprise"/>
    <x v="2"/>
    <x v="11"/>
    <x v="0"/>
    <s v="High"/>
    <x v="44"/>
    <n v="675.43"/>
    <n v="996.36"/>
    <n v="996.36"/>
    <x v="35"/>
    <n v="0.182"/>
    <x v="0"/>
    <n v="22"/>
    <x v="44"/>
    <n v="14859.46"/>
    <n v="3071.0345600000037"/>
    <n v="0.17127439233332575"/>
  </r>
  <r>
    <x v="45"/>
    <x v="43"/>
    <x v="12"/>
    <s v="Q2-2023"/>
    <d v="2023-04-30T00:00:00"/>
    <d v="2023-04-19T00:00:00"/>
    <n v="11"/>
    <x v="0"/>
    <n v="0"/>
    <x v="1"/>
    <x v="4"/>
    <x v="18"/>
    <s v="Small Business"/>
    <x v="0"/>
    <x v="8"/>
    <x v="2"/>
    <s v="High"/>
    <x v="45"/>
    <n v="826.55"/>
    <n v="1397.05"/>
    <n v="1397.05"/>
    <x v="36"/>
    <n v="0.16900000000000001"/>
    <x v="0"/>
    <n v="28"/>
    <x v="45"/>
    <n v="23143.399999999998"/>
    <n v="9363.1594000000005"/>
    <n v="0.28803907804527601"/>
  </r>
  <r>
    <x v="46"/>
    <x v="44"/>
    <x v="23"/>
    <s v="Q2-2023"/>
    <d v="2023-07-03T00:00:00"/>
    <d v="2023-06-23T00:00:00"/>
    <n v="10"/>
    <x v="0"/>
    <n v="0"/>
    <x v="0"/>
    <x v="1"/>
    <x v="7"/>
    <s v="Consumer"/>
    <x v="1"/>
    <x v="1"/>
    <x v="1"/>
    <s v="Low"/>
    <x v="46"/>
    <n v="337.75"/>
    <n v="548.89"/>
    <n v="548.89"/>
    <x v="5"/>
    <n v="0"/>
    <x v="0"/>
    <n v="13"/>
    <x v="46"/>
    <n v="4390.75"/>
    <n v="2744.8199999999997"/>
    <n v="0.38466723751571352"/>
  </r>
  <r>
    <x v="47"/>
    <x v="45"/>
    <x v="7"/>
    <s v="Q2-2024"/>
    <d v="2024-05-28T00:00:00"/>
    <d v="2024-05-14T00:00:00"/>
    <n v="14"/>
    <x v="0"/>
    <n v="0"/>
    <x v="3"/>
    <x v="8"/>
    <x v="12"/>
    <s v="Consumer"/>
    <x v="0"/>
    <x v="5"/>
    <x v="2"/>
    <s v="High"/>
    <x v="47"/>
    <n v="1421.14"/>
    <n v="3524"/>
    <n v="3524"/>
    <x v="5"/>
    <n v="0"/>
    <x v="0"/>
    <n v="31"/>
    <x v="47"/>
    <n v="44055.340000000004"/>
    <n v="65188.659999999996"/>
    <n v="0.59672531214528945"/>
  </r>
  <r>
    <x v="48"/>
    <x v="46"/>
    <x v="1"/>
    <s v="Q4-2024"/>
    <d v="2024-11-08T00:00:00"/>
    <d v="2024-10-14T00:00:00"/>
    <n v="25"/>
    <x v="0"/>
    <n v="0"/>
    <x v="0"/>
    <x v="1"/>
    <x v="3"/>
    <s v="Enterprise"/>
    <x v="1"/>
    <x v="7"/>
    <x v="2"/>
    <s v="High"/>
    <x v="48"/>
    <n v="859.35"/>
    <n v="1825.61"/>
    <n v="1825.61"/>
    <x v="37"/>
    <n v="0.187"/>
    <x v="0"/>
    <n v="24"/>
    <x v="48"/>
    <n v="20624.400000000001"/>
    <n v="14996.902319999994"/>
    <n v="0.42100937762681989"/>
  </r>
  <r>
    <x v="49"/>
    <x v="47"/>
    <x v="24"/>
    <s v="Q3-2023"/>
    <d v="2023-08-01T00:00:00"/>
    <d v="2023-07-10T00:00:00"/>
    <n v="22"/>
    <x v="0"/>
    <n v="0"/>
    <x v="3"/>
    <x v="7"/>
    <x v="11"/>
    <s v="Consumer"/>
    <x v="2"/>
    <x v="5"/>
    <x v="1"/>
    <s v="High"/>
    <x v="49"/>
    <n v="1303.56"/>
    <n v="1791.37"/>
    <n v="1791.37"/>
    <x v="38"/>
    <n v="0.126"/>
    <x v="0"/>
    <n v="22"/>
    <x v="49"/>
    <n v="28678.32"/>
    <n v="5766.142359999998"/>
    <n v="0.16740404596055358"/>
  </r>
  <r>
    <x v="50"/>
    <x v="48"/>
    <x v="18"/>
    <s v="Q4-2024"/>
    <d v="2024-11-22T00:00:00"/>
    <d v="2024-11-06T00:00:00"/>
    <n v="16"/>
    <x v="0"/>
    <n v="0"/>
    <x v="2"/>
    <x v="3"/>
    <x v="5"/>
    <s v="Non-Profit"/>
    <x v="3"/>
    <x v="14"/>
    <x v="6"/>
    <s v="High"/>
    <x v="50"/>
    <n v="1454.11"/>
    <n v="2629.75"/>
    <n v="2629.75"/>
    <x v="39"/>
    <n v="0.29199999999999998"/>
    <x v="1"/>
    <n v="8"/>
    <x v="50"/>
    <n v="11632.88"/>
    <n v="3262.0239999999994"/>
    <n v="0.21900268709351867"/>
  </r>
  <r>
    <x v="51"/>
    <x v="49"/>
    <x v="1"/>
    <s v="Q4-2024"/>
    <d v="2024-11-06T00:00:00"/>
    <d v="2024-10-17T00:00:00"/>
    <n v="20"/>
    <x v="0"/>
    <n v="0"/>
    <x v="1"/>
    <x v="4"/>
    <x v="6"/>
    <s v="Enterprise"/>
    <x v="3"/>
    <x v="7"/>
    <x v="5"/>
    <s v="Low"/>
    <x v="51"/>
    <n v="72.94"/>
    <n v="106.3"/>
    <n v="106.3"/>
    <x v="40"/>
    <n v="0.29499999999999998"/>
    <x v="1"/>
    <n v="8"/>
    <x v="51"/>
    <n v="583.52"/>
    <n v="16.012000000000057"/>
    <n v="2.6707498515508857E-2"/>
  </r>
  <r>
    <x v="52"/>
    <x v="50"/>
    <x v="22"/>
    <s v="Q1-2023"/>
    <d v="2023-04-05T00:00:00"/>
    <d v="2023-03-31T00:00:00"/>
    <n v="5"/>
    <x v="1"/>
    <n v="1"/>
    <x v="0"/>
    <x v="0"/>
    <x v="16"/>
    <s v="Education"/>
    <x v="2"/>
    <x v="5"/>
    <x v="4"/>
    <s v="Low"/>
    <x v="52"/>
    <n v="533.26"/>
    <n v="385.72"/>
    <n v="385.72"/>
    <x v="5"/>
    <n v="0"/>
    <x v="0"/>
    <n v="15"/>
    <x v="52"/>
    <n v="7998.9"/>
    <n v="-2213.0999999999995"/>
    <n v="-0.38250544436378708"/>
  </r>
  <r>
    <x v="53"/>
    <x v="51"/>
    <x v="10"/>
    <s v="Q1-2025"/>
    <d v="2025-02-16T00:00:00"/>
    <d v="2025-01-21T00:00:00"/>
    <n v="26"/>
    <x v="0"/>
    <n v="0"/>
    <x v="3"/>
    <x v="7"/>
    <x v="17"/>
    <s v="Corporate"/>
    <x v="3"/>
    <x v="7"/>
    <x v="4"/>
    <s v="Low"/>
    <x v="53"/>
    <n v="204.11"/>
    <n v="236.87"/>
    <n v="236.87"/>
    <x v="35"/>
    <n v="0.182"/>
    <x v="0"/>
    <n v="13"/>
    <x v="53"/>
    <n v="2653.4300000000003"/>
    <n v="-134.55441999999994"/>
    <n v="-5.3418446337075494E-2"/>
  </r>
  <r>
    <x v="54"/>
    <x v="52"/>
    <x v="25"/>
    <s v="Q3-2023"/>
    <d v="2023-09-01T00:00:00"/>
    <d v="2023-08-30T00:00:00"/>
    <n v="2"/>
    <x v="1"/>
    <n v="1"/>
    <x v="3"/>
    <x v="6"/>
    <x v="22"/>
    <s v="Corporate"/>
    <x v="4"/>
    <x v="13"/>
    <x v="2"/>
    <s v="Low"/>
    <x v="54"/>
    <n v="44.42"/>
    <n v="41.9"/>
    <n v="41.9"/>
    <x v="41"/>
    <n v="0.14399999999999999"/>
    <x v="0"/>
    <n v="6"/>
    <x v="54"/>
    <n v="266.52"/>
    <n v="-51.321600000000018"/>
    <n v="-0.23848504449847224"/>
  </r>
  <r>
    <x v="55"/>
    <x v="53"/>
    <x v="19"/>
    <s v="Q2-2025"/>
    <d v="2025-04-30T00:00:00"/>
    <d v="2025-04-06T00:00:00"/>
    <n v="24"/>
    <x v="0"/>
    <n v="0"/>
    <x v="2"/>
    <x v="5"/>
    <x v="10"/>
    <s v="Education"/>
    <x v="1"/>
    <x v="11"/>
    <x v="5"/>
    <s v="High"/>
    <x v="55"/>
    <n v="855.78"/>
    <n v="977.38"/>
    <n v="977.38"/>
    <x v="6"/>
    <n v="0.14699999999999999"/>
    <x v="0"/>
    <n v="38"/>
    <x v="55"/>
    <n v="32519.64"/>
    <n v="-838.84467999999833"/>
    <n v="-2.6478018355506307E-2"/>
  </r>
  <r>
    <x v="56"/>
    <x v="54"/>
    <x v="26"/>
    <s v="Q1-2025"/>
    <d v="2025-03-01T00:00:00"/>
    <d v="2025-02-09T00:00:00"/>
    <n v="20"/>
    <x v="0"/>
    <n v="0"/>
    <x v="2"/>
    <x v="5"/>
    <x v="8"/>
    <s v="Corporate"/>
    <x v="3"/>
    <x v="5"/>
    <x v="4"/>
    <s v="High"/>
    <x v="56"/>
    <n v="1154.6400000000001"/>
    <n v="2794.13"/>
    <n v="2794.13"/>
    <x v="42"/>
    <n v="3.5000000000000003E-2"/>
    <x v="0"/>
    <n v="11"/>
    <x v="56"/>
    <n v="12701.04"/>
    <n v="16958.649949999999"/>
    <n v="0.57177435025749479"/>
  </r>
  <r>
    <x v="57"/>
    <x v="55"/>
    <x v="6"/>
    <s v="Q4-2024"/>
    <d v="2024-12-18T00:00:00"/>
    <d v="2024-12-17T00:00:00"/>
    <n v="1"/>
    <x v="1"/>
    <n v="1"/>
    <x v="3"/>
    <x v="6"/>
    <x v="22"/>
    <s v="Education"/>
    <x v="0"/>
    <x v="4"/>
    <x v="6"/>
    <s v="High"/>
    <x v="57"/>
    <n v="346.82"/>
    <n v="701.95"/>
    <n v="701.95"/>
    <x v="6"/>
    <n v="0.14699999999999999"/>
    <x v="0"/>
    <n v="8"/>
    <x v="57"/>
    <n v="2774.56"/>
    <n v="2015.5468000000005"/>
    <n v="0.42077283120284509"/>
  </r>
  <r>
    <x v="58"/>
    <x v="56"/>
    <x v="16"/>
    <s v="Q2-2025"/>
    <d v="2025-06-18T00:00:00"/>
    <d v="2025-06-09T00:00:00"/>
    <n v="9"/>
    <x v="0"/>
    <n v="0"/>
    <x v="3"/>
    <x v="7"/>
    <x v="11"/>
    <s v="Small Business"/>
    <x v="2"/>
    <x v="10"/>
    <x v="6"/>
    <s v="High"/>
    <x v="58"/>
    <n v="1225.5"/>
    <n v="-5.27"/>
    <s v="1193.87"/>
    <x v="43"/>
    <n v="7.4999999999999997E-2"/>
    <x v="0"/>
    <n v="56"/>
    <x v="58"/>
    <n v="68628"/>
    <n v="-6785.5339999999924"/>
    <n v="-0.10972288847601891"/>
  </r>
  <r>
    <x v="59"/>
    <x v="57"/>
    <x v="8"/>
    <s v="Q2-2025"/>
    <d v="2025-05-13T00:00:00"/>
    <d v="2025-05-02T00:00:00"/>
    <n v="11"/>
    <x v="0"/>
    <n v="0"/>
    <x v="0"/>
    <x v="0"/>
    <x v="16"/>
    <s v="Small Business"/>
    <x v="1"/>
    <x v="8"/>
    <x v="6"/>
    <s v="High"/>
    <x v="59"/>
    <n v="1057.5999999999999"/>
    <n v="1437.06"/>
    <n v="1437.06"/>
    <x v="44"/>
    <n v="0.20499999999999999"/>
    <x v="1"/>
    <n v="4"/>
    <x v="59"/>
    <n v="4230.3999999999996"/>
    <n v="339.45080000000053"/>
    <n v="7.4280499485891424E-2"/>
  </r>
  <r>
    <x v="60"/>
    <x v="58"/>
    <x v="0"/>
    <s v="Q1-2024"/>
    <d v="2024-04-09T00:00:00"/>
    <d v="2024-03-10T00:00:00"/>
    <n v="30"/>
    <x v="0"/>
    <n v="0"/>
    <x v="3"/>
    <x v="7"/>
    <x v="17"/>
    <s v="Corporate"/>
    <x v="4"/>
    <x v="2"/>
    <x v="0"/>
    <s v="High"/>
    <x v="60"/>
    <n v="1176.56"/>
    <n v="1911.89"/>
    <n v="1911.89"/>
    <x v="45"/>
    <n v="0.11899999999999999"/>
    <x v="0"/>
    <n v="20"/>
    <x v="60"/>
    <n v="23531.199999999997"/>
    <n v="10156.301800000008"/>
    <n v="0.30148575160892477"/>
  </r>
  <r>
    <x v="61"/>
    <x v="59"/>
    <x v="11"/>
    <s v="Q3-2025"/>
    <d v="2025-09-12T00:00:00"/>
    <d v="2025-09-10T00:00:00"/>
    <n v="2"/>
    <x v="1"/>
    <n v="1"/>
    <x v="1"/>
    <x v="2"/>
    <x v="27"/>
    <s v="Consumer"/>
    <x v="1"/>
    <x v="7"/>
    <x v="0"/>
    <s v="High"/>
    <x v="61"/>
    <n v="1470.15"/>
    <n v="2593.7800000000002"/>
    <n v="2593.7800000000002"/>
    <x v="46"/>
    <n v="0.11"/>
    <x v="0"/>
    <n v="12"/>
    <x v="61"/>
    <n v="17641.800000000003"/>
    <n v="10059.770399999998"/>
    <n v="0.36314801849645306"/>
  </r>
  <r>
    <x v="62"/>
    <x v="60"/>
    <x v="19"/>
    <s v="Q2-2025"/>
    <d v="2025-05-25T00:00:00"/>
    <d v="2025-04-27T00:00:00"/>
    <n v="28"/>
    <x v="0"/>
    <n v="0"/>
    <x v="3"/>
    <x v="7"/>
    <x v="28"/>
    <s v="Small Business"/>
    <x v="2"/>
    <x v="2"/>
    <x v="3"/>
    <s v="High"/>
    <x v="62"/>
    <n v="603.45000000000005"/>
    <n v="1244.08"/>
    <n v="1244.08"/>
    <x v="47"/>
    <n v="0.2"/>
    <x v="0"/>
    <n v="11"/>
    <x v="62"/>
    <n v="6637.9500000000007"/>
    <n v="4309.9539999999997"/>
    <n v="0.39367846119220623"/>
  </r>
  <r>
    <x v="63"/>
    <x v="61"/>
    <x v="18"/>
    <s v="Q4-2024"/>
    <d v="2024-11-18T00:00:00"/>
    <d v="2024-11-02T00:00:00"/>
    <n v="16"/>
    <x v="0"/>
    <n v="0"/>
    <x v="1"/>
    <x v="4"/>
    <x v="29"/>
    <s v="Small Business"/>
    <x v="3"/>
    <x v="7"/>
    <x v="5"/>
    <s v="High"/>
    <x v="63"/>
    <n v="1233.58"/>
    <n v="1912.51"/>
    <n v="1912.51"/>
    <x v="48"/>
    <n v="0.255"/>
    <x v="1"/>
    <n v="51"/>
    <x v="63"/>
    <n v="62912.579999999994"/>
    <n v="9753.2374500000078"/>
    <n v="0.134220432553601"/>
  </r>
  <r>
    <x v="64"/>
    <x v="62"/>
    <x v="2"/>
    <s v="Q1-2023"/>
    <d v="2023-02-26T00:00:00"/>
    <d v="2023-02-15T00:00:00"/>
    <n v="11"/>
    <x v="0"/>
    <n v="0"/>
    <x v="0"/>
    <x v="11"/>
    <x v="20"/>
    <s v="Non-Profit"/>
    <x v="0"/>
    <x v="11"/>
    <x v="4"/>
    <s v="High"/>
    <x v="64"/>
    <n v="498.5"/>
    <n v="755.87"/>
    <n v="755.87"/>
    <x v="49"/>
    <n v="0.13"/>
    <x v="0"/>
    <n v="40"/>
    <x v="64"/>
    <n v="19940"/>
    <n v="6364.275999999998"/>
    <n v="0.24194834330357537"/>
  </r>
  <r>
    <x v="65"/>
    <x v="63"/>
    <x v="4"/>
    <s v="Q4-2023"/>
    <d v="2023-12-26T00:00:00"/>
    <d v="2023-12-03T00:00:00"/>
    <n v="23"/>
    <x v="0"/>
    <n v="0"/>
    <x v="2"/>
    <x v="5"/>
    <x v="30"/>
    <s v="Education"/>
    <x v="0"/>
    <x v="7"/>
    <x v="3"/>
    <s v="High"/>
    <x v="65"/>
    <n v="1303.1099999999999"/>
    <n v="1145.67"/>
    <n v="1145.67"/>
    <x v="50"/>
    <n v="0.184"/>
    <x v="0"/>
    <n v="13"/>
    <x v="65"/>
    <n v="16940.43"/>
    <n v="-4787.1626399999986"/>
    <n v="-0.39389922875851208"/>
  </r>
  <r>
    <x v="66"/>
    <x v="64"/>
    <x v="22"/>
    <s v="Q1-2023"/>
    <d v="2023-04-09T00:00:00"/>
    <d v="2023-03-19T00:00:00"/>
    <n v="21"/>
    <x v="0"/>
    <n v="0"/>
    <x v="3"/>
    <x v="8"/>
    <x v="31"/>
    <s v="Consumer"/>
    <x v="0"/>
    <x v="4"/>
    <x v="6"/>
    <s v="High"/>
    <x v="66"/>
    <n v="1082.17"/>
    <n v="1234.0999999999999"/>
    <n v="1234.0999999999999"/>
    <x v="51"/>
    <n v="0.189"/>
    <x v="0"/>
    <n v="16"/>
    <x v="66"/>
    <n v="17314.72"/>
    <n v="-1301.0384000000031"/>
    <n v="-8.124542703534228E-2"/>
  </r>
  <r>
    <x v="67"/>
    <x v="65"/>
    <x v="7"/>
    <s v="Q2-2024"/>
    <d v="2024-06-06T00:00:00"/>
    <d v="2024-05-22T00:00:00"/>
    <n v="15"/>
    <x v="0"/>
    <n v="0"/>
    <x v="1"/>
    <x v="2"/>
    <x v="32"/>
    <s v="Corporate"/>
    <x v="3"/>
    <x v="0"/>
    <x v="5"/>
    <s v="High"/>
    <x v="67"/>
    <n v="673.88"/>
    <n v="1228.01"/>
    <n v="1228.01"/>
    <x v="52"/>
    <n v="0.105"/>
    <x v="0"/>
    <n v="13"/>
    <x v="67"/>
    <n v="8760.44"/>
    <n v="5527.4563499999986"/>
    <n v="0.38686285332689996"/>
  </r>
  <r>
    <x v="68"/>
    <x v="66"/>
    <x v="25"/>
    <s v="Q3-2023"/>
    <d v="2023-09-07T00:00:00"/>
    <d v="2023-08-19T00:00:00"/>
    <n v="19"/>
    <x v="0"/>
    <n v="0"/>
    <x v="0"/>
    <x v="11"/>
    <x v="20"/>
    <s v="Enterprise"/>
    <x v="0"/>
    <x v="14"/>
    <x v="5"/>
    <s v="Low"/>
    <x v="68"/>
    <n v="494.61"/>
    <n v="605.23"/>
    <n v="605.23"/>
    <x v="53"/>
    <n v="0.20399999999999999"/>
    <x v="1"/>
    <n v="18"/>
    <x v="68"/>
    <n v="8902.98"/>
    <n v="-231.24455999999918"/>
    <n v="-2.6666468505639647E-2"/>
  </r>
  <r>
    <x v="69"/>
    <x v="67"/>
    <x v="12"/>
    <s v="Q2-2023"/>
    <d v="2023-05-10T00:00:00"/>
    <d v="2023-04-21T00:00:00"/>
    <n v="19"/>
    <x v="0"/>
    <n v="0"/>
    <x v="1"/>
    <x v="9"/>
    <x v="23"/>
    <s v="Corporate"/>
    <x v="0"/>
    <x v="8"/>
    <x v="0"/>
    <s v="High"/>
    <x v="69"/>
    <n v="882.33"/>
    <n v="1880.15"/>
    <n v="1880.15"/>
    <x v="54"/>
    <n v="0.05"/>
    <x v="0"/>
    <n v="5"/>
    <x v="69"/>
    <n v="4411.6500000000005"/>
    <n v="4519.0624999999991"/>
    <n v="0.50601365792482955"/>
  </r>
  <r>
    <x v="70"/>
    <x v="68"/>
    <x v="0"/>
    <s v="Q1-2024"/>
    <d v="2024-03-21T00:00:00"/>
    <d v="2024-03-18T00:00:00"/>
    <n v="3"/>
    <x v="1"/>
    <n v="1"/>
    <x v="3"/>
    <x v="6"/>
    <x v="22"/>
    <s v="Small Business"/>
    <x v="1"/>
    <x v="12"/>
    <x v="6"/>
    <s v="High"/>
    <x v="70"/>
    <n v="910.63"/>
    <n v="1269.4000000000001"/>
    <n v="1269.4000000000001"/>
    <x v="55"/>
    <n v="6.8000000000000005E-2"/>
    <x v="0"/>
    <n v="9"/>
    <x v="70"/>
    <n v="8195.67"/>
    <n v="2452.0571999999993"/>
    <n v="0.23028925834989455"/>
  </r>
  <r>
    <x v="71"/>
    <x v="69"/>
    <x v="19"/>
    <s v="Q2-2025"/>
    <d v="2025-05-06T00:00:00"/>
    <d v="2025-04-09T00:00:00"/>
    <n v="27"/>
    <x v="0"/>
    <n v="0"/>
    <x v="2"/>
    <x v="5"/>
    <x v="10"/>
    <s v="Enterprise"/>
    <x v="2"/>
    <x v="9"/>
    <x v="4"/>
    <s v="High"/>
    <x v="71"/>
    <n v="264.19"/>
    <n v="620.92999999999995"/>
    <n v="620.92999999999995"/>
    <x v="56"/>
    <n v="0.14199999999999999"/>
    <x v="0"/>
    <n v="12"/>
    <x v="71"/>
    <n v="3170.2799999999997"/>
    <n v="3222.8152799999998"/>
    <n v="0.50410875152794532"/>
  </r>
  <r>
    <x v="72"/>
    <x v="70"/>
    <x v="20"/>
    <s v="Q2-2024"/>
    <d v="2024-05-07T00:00:00"/>
    <d v="2024-04-12T00:00:00"/>
    <n v="25"/>
    <x v="0"/>
    <n v="0"/>
    <x v="0"/>
    <x v="11"/>
    <x v="20"/>
    <s v="Education"/>
    <x v="3"/>
    <x v="8"/>
    <x v="4"/>
    <s v="High"/>
    <x v="72"/>
    <n v="1376.51"/>
    <n v="1455.91"/>
    <n v="1455.91"/>
    <x v="57"/>
    <n v="0.185"/>
    <x v="0"/>
    <n v="17"/>
    <x v="72"/>
    <n v="23400.67"/>
    <n v="-3229.0369499999979"/>
    <n v="-0.1600781127634085"/>
  </r>
  <r>
    <x v="73"/>
    <x v="71"/>
    <x v="6"/>
    <s v="Q4-2024"/>
    <d v="2024-12-20T00:00:00"/>
    <d v="2024-12-15T00:00:00"/>
    <n v="5"/>
    <x v="1"/>
    <n v="1"/>
    <x v="1"/>
    <x v="9"/>
    <x v="14"/>
    <s v="Small Business"/>
    <x v="4"/>
    <x v="1"/>
    <x v="2"/>
    <s v="Low"/>
    <x v="73"/>
    <n v="717.55"/>
    <n v="546.42999999999995"/>
    <n v="546.42999999999995"/>
    <x v="58"/>
    <n v="4.7E-2"/>
    <x v="0"/>
    <n v="18"/>
    <x v="73"/>
    <n v="12915.9"/>
    <n v="-3542.4397800000006"/>
    <n v="-0.37792231437026369"/>
  </r>
  <r>
    <x v="74"/>
    <x v="72"/>
    <x v="15"/>
    <s v="Q2-2023"/>
    <d v="2023-05-18T00:00:00"/>
    <d v="2023-05-27T00:00:00"/>
    <n v="-9"/>
    <x v="1"/>
    <n v="1"/>
    <x v="0"/>
    <x v="11"/>
    <x v="25"/>
    <s v="Corporate"/>
    <x v="3"/>
    <x v="8"/>
    <x v="0"/>
    <s v="High"/>
    <x v="74"/>
    <n v="917.88"/>
    <n v="1347.92"/>
    <n v="1347.92"/>
    <x v="59"/>
    <n v="0.34300000000000003"/>
    <x v="1"/>
    <n v="5"/>
    <x v="74"/>
    <n v="4589.3999999999996"/>
    <n v="-161.48279999999886"/>
    <n v="-3.6469245630880096E-2"/>
  </r>
  <r>
    <x v="75"/>
    <x v="73"/>
    <x v="27"/>
    <s v="Q3-2023"/>
    <d v="2023-10-08T00:00:00"/>
    <d v="2023-09-18T00:00:00"/>
    <n v="20"/>
    <x v="0"/>
    <n v="0"/>
    <x v="1"/>
    <x v="4"/>
    <x v="18"/>
    <s v="Small Business"/>
    <x v="4"/>
    <x v="5"/>
    <x v="0"/>
    <s v="High"/>
    <x v="75"/>
    <n v="825.64"/>
    <n v="1108.43"/>
    <n v="1108.43"/>
    <x v="60"/>
    <n v="0.114"/>
    <x v="0"/>
    <n v="7"/>
    <x v="75"/>
    <n v="5779.48"/>
    <n v="1095.0028600000005"/>
    <n v="0.15928512475773349"/>
  </r>
  <r>
    <x v="76"/>
    <x v="74"/>
    <x v="21"/>
    <s v="Q3-2024"/>
    <d v="2024-09-25T00:00:00"/>
    <d v="2024-08-28T00:00:00"/>
    <n v="28"/>
    <x v="0"/>
    <n v="0"/>
    <x v="2"/>
    <x v="5"/>
    <x v="30"/>
    <s v="Non-Profit"/>
    <x v="1"/>
    <x v="15"/>
    <x v="6"/>
    <s v="High"/>
    <x v="76"/>
    <n v="1394.65"/>
    <n v="3144.1"/>
    <n v="3144.1"/>
    <x v="61"/>
    <n v="0.13400000000000001"/>
    <x v="0"/>
    <n v="13"/>
    <x v="76"/>
    <n v="18130.45"/>
    <n v="17265.827799999995"/>
    <n v="0.4877865378263021"/>
  </r>
  <r>
    <x v="77"/>
    <x v="24"/>
    <x v="17"/>
    <s v="Q2-2024"/>
    <d v="2024-06-28T00:00:00"/>
    <d v="2024-07-07T00:00:00"/>
    <n v="-9"/>
    <x v="1"/>
    <n v="1"/>
    <x v="2"/>
    <x v="5"/>
    <x v="30"/>
    <s v="Small Business"/>
    <x v="4"/>
    <x v="4"/>
    <x v="6"/>
    <s v="High"/>
    <x v="77"/>
    <n v="1112.98"/>
    <n v="2095.73"/>
    <n v="2095.73"/>
    <x v="3"/>
    <n v="7.1999999999999995E-2"/>
    <x v="0"/>
    <n v="17"/>
    <x v="77"/>
    <n v="18920.66"/>
    <n v="14141.576480000007"/>
    <n v="0.42772594916724777"/>
  </r>
  <r>
    <x v="78"/>
    <x v="75"/>
    <x v="23"/>
    <s v="Q2-2023"/>
    <d v="2023-06-16T00:00:00"/>
    <d v="2023-06-14T00:00:00"/>
    <n v="2"/>
    <x v="1"/>
    <n v="1"/>
    <x v="3"/>
    <x v="8"/>
    <x v="31"/>
    <s v="Non-Profit"/>
    <x v="4"/>
    <x v="11"/>
    <x v="0"/>
    <s v="High"/>
    <x v="78"/>
    <n v="357.36"/>
    <n v="703.62"/>
    <n v="703.62"/>
    <x v="62"/>
    <n v="0.25700000000000001"/>
    <x v="1"/>
    <n v="20"/>
    <x v="78"/>
    <n v="7147.2000000000007"/>
    <n v="3308.5931999999993"/>
    <n v="0.31643636563125593"/>
  </r>
  <r>
    <x v="79"/>
    <x v="76"/>
    <x v="18"/>
    <s v="Q4-2024"/>
    <d v="2024-12-21T00:00:00"/>
    <d v="2024-11-21T00:00:00"/>
    <n v="30"/>
    <x v="0"/>
    <n v="0"/>
    <x v="3"/>
    <x v="7"/>
    <x v="11"/>
    <s v="Small Business"/>
    <x v="4"/>
    <x v="2"/>
    <x v="5"/>
    <s v="High"/>
    <x v="79"/>
    <n v="1122.68"/>
    <n v="1997.19"/>
    <n v="1997.19"/>
    <x v="63"/>
    <n v="0.186"/>
    <x v="0"/>
    <n v="3"/>
    <x v="79"/>
    <n v="3368.04"/>
    <n v="1509.0979800000005"/>
    <n v="0.30942285951073306"/>
  </r>
  <r>
    <x v="80"/>
    <x v="77"/>
    <x v="2"/>
    <s v="Q1-2023"/>
    <d v="2023-02-11T00:00:00"/>
    <d v="2023-02-08T00:00:00"/>
    <n v="3"/>
    <x v="1"/>
    <n v="1"/>
    <x v="0"/>
    <x v="11"/>
    <x v="33"/>
    <s v="Corporate"/>
    <x v="4"/>
    <x v="12"/>
    <x v="2"/>
    <s v="High"/>
    <x v="80"/>
    <n v="1410.05"/>
    <n v="2763.95"/>
    <n v="2763.95"/>
    <x v="64"/>
    <n v="0.161"/>
    <x v="0"/>
    <n v="26"/>
    <x v="80"/>
    <n v="36661.299999999996"/>
    <n v="23631.505299999997"/>
    <n v="0.39194569206750779"/>
  </r>
  <r>
    <x v="81"/>
    <x v="66"/>
    <x v="25"/>
    <s v="Q3-2023"/>
    <d v="2023-09-12T00:00:00"/>
    <d v="2023-08-19T00:00:00"/>
    <n v="24"/>
    <x v="0"/>
    <n v="0"/>
    <x v="2"/>
    <x v="3"/>
    <x v="26"/>
    <s v="Enterprise"/>
    <x v="0"/>
    <x v="2"/>
    <x v="1"/>
    <s v="High"/>
    <x v="81"/>
    <n v="1183.95"/>
    <n v="1503.53"/>
    <n v="1503.53"/>
    <x v="65"/>
    <n v="0.24099999999999999"/>
    <x v="1"/>
    <n v="16"/>
    <x v="81"/>
    <n v="18943.2"/>
    <n v="-684.33167999999932"/>
    <n v="-3.7479413729623705E-2"/>
  </r>
  <r>
    <x v="82"/>
    <x v="78"/>
    <x v="8"/>
    <s v="Q2-2025"/>
    <d v="2025-05-24T00:00:00"/>
    <d v="2025-05-14T00:00:00"/>
    <n v="10"/>
    <x v="0"/>
    <n v="0"/>
    <x v="3"/>
    <x v="7"/>
    <x v="28"/>
    <s v="Small Business"/>
    <x v="2"/>
    <x v="11"/>
    <x v="0"/>
    <s v="Low"/>
    <x v="82"/>
    <n v="170.39"/>
    <n v="388.04"/>
    <n v="388.04"/>
    <x v="26"/>
    <n v="8.4000000000000005E-2"/>
    <x v="0"/>
    <n v="15"/>
    <x v="82"/>
    <n v="2555.85"/>
    <n v="2775.8196000000003"/>
    <n v="0.52062858508711796"/>
  </r>
  <r>
    <x v="83"/>
    <x v="79"/>
    <x v="19"/>
    <s v="Q2-2025"/>
    <d v="2025-04-22T00:00:00"/>
    <d v="2025-04-30T00:00:00"/>
    <n v="-8"/>
    <x v="1"/>
    <n v="1"/>
    <x v="2"/>
    <x v="10"/>
    <x v="24"/>
    <s v="Non-Profit"/>
    <x v="3"/>
    <x v="14"/>
    <x v="5"/>
    <s v="Low"/>
    <x v="83"/>
    <n v="23.24"/>
    <n v="44.57"/>
    <n v="44.57"/>
    <x v="66"/>
    <n v="0.215"/>
    <x v="1"/>
    <n v="15"/>
    <x v="83"/>
    <n v="348.59999999999997"/>
    <n v="176.21174999999999"/>
    <n v="0.33576182316802167"/>
  </r>
  <r>
    <x v="84"/>
    <x v="80"/>
    <x v="3"/>
    <s v="Q1-2025"/>
    <d v="2025-04-17T00:00:00"/>
    <d v="2025-03-25T00:00:00"/>
    <n v="23"/>
    <x v="0"/>
    <n v="0"/>
    <x v="3"/>
    <x v="8"/>
    <x v="21"/>
    <s v="Consumer"/>
    <x v="0"/>
    <x v="10"/>
    <x v="2"/>
    <s v="High"/>
    <x v="84"/>
    <n v="1421.19"/>
    <n v="1808.26"/>
    <n v="1808.26"/>
    <x v="67"/>
    <n v="0.104"/>
    <x v="0"/>
    <n v="13"/>
    <x v="84"/>
    <n v="18475.47"/>
    <n v="2587.1424799999986"/>
    <n v="0.12283103449093123"/>
  </r>
  <r>
    <x v="85"/>
    <x v="81"/>
    <x v="4"/>
    <s v="Q4-2023"/>
    <d v="2023-12-23T00:00:00"/>
    <d v="2023-12-22T00:00:00"/>
    <n v="1"/>
    <x v="1"/>
    <n v="1"/>
    <x v="0"/>
    <x v="11"/>
    <x v="33"/>
    <s v="Non-Profit"/>
    <x v="2"/>
    <x v="14"/>
    <x v="0"/>
    <s v="High"/>
    <x v="85"/>
    <n v="1186.18"/>
    <n v="1285.0899999999999"/>
    <n v="1285.0899999999999"/>
    <x v="68"/>
    <n v="7.0000000000000007E-2"/>
    <x v="0"/>
    <n v="11"/>
    <x v="85"/>
    <n v="13047.980000000001"/>
    <n v="98.49069999999665"/>
    <n v="7.4917977796121861E-3"/>
  </r>
  <r>
    <x v="86"/>
    <x v="82"/>
    <x v="20"/>
    <s v="Q2-2024"/>
    <d v="2024-04-25T00:00:00"/>
    <d v="2024-04-06T00:00:00"/>
    <n v="19"/>
    <x v="0"/>
    <n v="0"/>
    <x v="1"/>
    <x v="9"/>
    <x v="23"/>
    <s v="Corporate"/>
    <x v="0"/>
    <x v="11"/>
    <x v="0"/>
    <s v="High"/>
    <x v="86"/>
    <n v="1366.48"/>
    <n v="1678.14"/>
    <n v="1678.14"/>
    <x v="69"/>
    <n v="0.154"/>
    <x v="0"/>
    <n v="10"/>
    <x v="86"/>
    <n v="13664.8"/>
    <n v="532.26440000000184"/>
    <n v="3.7491159087790132E-2"/>
  </r>
  <r>
    <x v="87"/>
    <x v="83"/>
    <x v="28"/>
    <s v="Q3-2025"/>
    <d v="2025-08-19T00:00:00"/>
    <d v="2025-08-07T00:00:00"/>
    <n v="12"/>
    <x v="0"/>
    <n v="0"/>
    <x v="0"/>
    <x v="0"/>
    <x v="16"/>
    <s v="Corporate"/>
    <x v="5"/>
    <x v="12"/>
    <x v="0"/>
    <s v="High"/>
    <x v="87"/>
    <n v="601.51"/>
    <n v="679.35"/>
    <n v="679.35"/>
    <x v="70"/>
    <n v="0.188"/>
    <x v="0"/>
    <n v="3"/>
    <x v="87"/>
    <n v="1804.53"/>
    <n v="-149.63339999999971"/>
    <n v="-9.0418579626062243E-2"/>
  </r>
  <r>
    <x v="88"/>
    <x v="84"/>
    <x v="9"/>
    <s v="Q1-2024"/>
    <d v="2024-01-25T00:00:00"/>
    <d v="2024-01-21T00:00:00"/>
    <n v="4"/>
    <x v="1"/>
    <n v="1"/>
    <x v="1"/>
    <x v="4"/>
    <x v="18"/>
    <s v="Consumer"/>
    <x v="4"/>
    <x v="0"/>
    <x v="5"/>
    <s v="High"/>
    <x v="88"/>
    <n v="523.70000000000005"/>
    <n v="1109.92"/>
    <n v="1109.92"/>
    <x v="71"/>
    <n v="0.03"/>
    <x v="0"/>
    <n v="11"/>
    <x v="88"/>
    <n v="5760.7000000000007"/>
    <n v="6082.1463999999996"/>
    <n v="0.51357133197302973"/>
  </r>
  <r>
    <x v="89"/>
    <x v="85"/>
    <x v="23"/>
    <s v="Q2-2023"/>
    <d v="2023-07-02T00:00:00"/>
    <d v="2023-06-29T00:00:00"/>
    <n v="3"/>
    <x v="1"/>
    <n v="1"/>
    <x v="1"/>
    <x v="2"/>
    <x v="32"/>
    <s v="Education"/>
    <x v="2"/>
    <x v="9"/>
    <x v="5"/>
    <s v="Low"/>
    <x v="89"/>
    <n v="55.65"/>
    <n v="83.57"/>
    <n v="83.57"/>
    <x v="72"/>
    <n v="6.6000000000000003E-2"/>
    <x v="0"/>
    <n v="8"/>
    <x v="89"/>
    <n v="445.2"/>
    <n v="179.23503999999997"/>
    <n v="0.2870355257449998"/>
  </r>
  <r>
    <x v="90"/>
    <x v="86"/>
    <x v="19"/>
    <s v="Q2-2025"/>
    <d v="2025-05-15T00:00:00"/>
    <d v="2025-04-28T00:00:00"/>
    <n v="17"/>
    <x v="0"/>
    <n v="0"/>
    <x v="1"/>
    <x v="2"/>
    <x v="32"/>
    <s v="Education"/>
    <x v="4"/>
    <x v="13"/>
    <x v="2"/>
    <s v="High"/>
    <x v="90"/>
    <n v="691.19"/>
    <n v="1284.3"/>
    <n v="1284.3"/>
    <x v="13"/>
    <n v="7.3999999999999996E-2"/>
    <x v="0"/>
    <n v="7"/>
    <x v="90"/>
    <n v="4838.33"/>
    <n v="3486.5026000000016"/>
    <n v="0.41880753253825198"/>
  </r>
  <r>
    <x v="91"/>
    <x v="56"/>
    <x v="16"/>
    <s v="Q2-2025"/>
    <d v="2025-06-25T00:00:00"/>
    <d v="2025-06-09T00:00:00"/>
    <n v="16"/>
    <x v="0"/>
    <n v="0"/>
    <x v="1"/>
    <x v="4"/>
    <x v="34"/>
    <s v="Enterprise"/>
    <x v="3"/>
    <x v="12"/>
    <x v="3"/>
    <s v="High"/>
    <x v="91"/>
    <n v="527.33000000000004"/>
    <n v="911.72"/>
    <n v="911.72"/>
    <x v="41"/>
    <n v="0.14399999999999999"/>
    <x v="0"/>
    <n v="25"/>
    <x v="91"/>
    <n v="13183.250000000002"/>
    <n v="6327.5579999999991"/>
    <n v="0.32431040272652978"/>
  </r>
  <r>
    <x v="92"/>
    <x v="87"/>
    <x v="23"/>
    <s v="Q2-2023"/>
    <d v="2023-06-23T00:00:00"/>
    <d v="2023-07-01T00:00:00"/>
    <n v="-8"/>
    <x v="1"/>
    <n v="1"/>
    <x v="2"/>
    <x v="5"/>
    <x v="30"/>
    <s v="Non-Profit"/>
    <x v="0"/>
    <x v="6"/>
    <x v="1"/>
    <s v="High"/>
    <x v="92"/>
    <n v="804.01"/>
    <n v="1405.07"/>
    <n v="1405.07"/>
    <x v="73"/>
    <n v="9.6000000000000002E-2"/>
    <x v="0"/>
    <n v="8"/>
    <x v="92"/>
    <n v="6432.08"/>
    <n v="3729.3862399999998"/>
    <n v="0.36701260939287439"/>
  </r>
  <r>
    <x v="93"/>
    <x v="88"/>
    <x v="1"/>
    <s v="Q4-2024"/>
    <d v="2024-11-02T00:00:00"/>
    <d v="2024-10-04T00:00:00"/>
    <n v="29"/>
    <x v="0"/>
    <n v="0"/>
    <x v="0"/>
    <x v="1"/>
    <x v="7"/>
    <s v="Corporate"/>
    <x v="3"/>
    <x v="9"/>
    <x v="6"/>
    <s v="High"/>
    <x v="93"/>
    <n v="412.09"/>
    <n v="968.94"/>
    <n v="968.94"/>
    <x v="74"/>
    <n v="9.9000000000000005E-2"/>
    <x v="0"/>
    <n v="23"/>
    <x v="93"/>
    <n v="9478.07"/>
    <n v="10601.273620000004"/>
    <n v="0.52796913189137418"/>
  </r>
  <r>
    <x v="94"/>
    <x v="59"/>
    <x v="11"/>
    <s v="Q3-2025"/>
    <d v="2025-09-30T00:00:00"/>
    <d v="2025-09-10T00:00:00"/>
    <n v="20"/>
    <x v="0"/>
    <n v="0"/>
    <x v="0"/>
    <x v="0"/>
    <x v="13"/>
    <s v="Corporate"/>
    <x v="4"/>
    <x v="4"/>
    <x v="3"/>
    <s v="High"/>
    <x v="94"/>
    <n v="1009.48"/>
    <n v="1088.81"/>
    <n v="1088.81"/>
    <x v="75"/>
    <n v="0.16"/>
    <x v="0"/>
    <n v="6"/>
    <x v="94"/>
    <n v="6056.88"/>
    <n v="-569.27760000000035"/>
    <n v="-0.10373885688219693"/>
  </r>
  <r>
    <x v="95"/>
    <x v="89"/>
    <x v="12"/>
    <s v="Q2-2023"/>
    <d v="2023-04-27T00:00:00"/>
    <d v="2023-04-06T00:00:00"/>
    <n v="21"/>
    <x v="0"/>
    <n v="0"/>
    <x v="3"/>
    <x v="8"/>
    <x v="31"/>
    <s v="Enterprise"/>
    <x v="3"/>
    <x v="2"/>
    <x v="1"/>
    <s v="High"/>
    <x v="95"/>
    <n v="1084.79"/>
    <n v="2484.9899999999998"/>
    <n v="2484.9899999999998"/>
    <x v="76"/>
    <n v="3.4000000000000002E-2"/>
    <x v="0"/>
    <n v="18"/>
    <x v="95"/>
    <n v="19526.22"/>
    <n v="23682.78611999999"/>
    <n v="0.54809837685755114"/>
  </r>
  <r>
    <x v="96"/>
    <x v="90"/>
    <x v="28"/>
    <s v="Q3-2025"/>
    <d v="2025-08-16T00:00:00"/>
    <d v="2025-08-01T00:00:00"/>
    <n v="15"/>
    <x v="0"/>
    <n v="0"/>
    <x v="1"/>
    <x v="4"/>
    <x v="35"/>
    <s v="Enterprise"/>
    <x v="4"/>
    <x v="7"/>
    <x v="5"/>
    <s v="Low"/>
    <x v="96"/>
    <n v="24.44"/>
    <n v="28.69"/>
    <n v="28.69"/>
    <x v="34"/>
    <n v="0.14599999999999999"/>
    <x v="0"/>
    <n v="6"/>
    <x v="96"/>
    <n v="146.64000000000001"/>
    <n v="0.36755999999999744"/>
    <n v="2.5002795774584476E-3"/>
  </r>
  <r>
    <x v="97"/>
    <x v="91"/>
    <x v="7"/>
    <s v="Q2-2024"/>
    <d v="2024-05-26T00:00:00"/>
    <d v="2024-06-04T00:00:00"/>
    <n v="-9"/>
    <x v="1"/>
    <n v="1"/>
    <x v="0"/>
    <x v="1"/>
    <x v="7"/>
    <s v="Enterprise"/>
    <x v="1"/>
    <x v="9"/>
    <x v="6"/>
    <s v="High"/>
    <x v="97"/>
    <n v="1227.08"/>
    <n v="1896.62"/>
    <n v="1896.62"/>
    <x v="5"/>
    <n v="0"/>
    <x v="0"/>
    <n v="18"/>
    <x v="97"/>
    <n v="22087.439999999999"/>
    <n v="12051.719999999998"/>
    <n v="0.353017473189147"/>
  </r>
  <r>
    <x v="98"/>
    <x v="92"/>
    <x v="13"/>
    <s v="Q3-2025"/>
    <d v="2025-08-18T00:00:00"/>
    <d v="2025-07-22T00:00:00"/>
    <n v="27"/>
    <x v="0"/>
    <n v="0"/>
    <x v="1"/>
    <x v="9"/>
    <x v="14"/>
    <s v="Non-Profit"/>
    <x v="2"/>
    <x v="12"/>
    <x v="2"/>
    <s v="Low"/>
    <x v="98"/>
    <n v="547.32000000000005"/>
    <n v="419.17"/>
    <n v="419.17"/>
    <x v="77"/>
    <n v="9.1999999999999998E-2"/>
    <x v="0"/>
    <n v="14"/>
    <x v="98"/>
    <n v="7662.4800000000005"/>
    <n v="-2333.9909600000001"/>
    <n v="-0.43802116181137907"/>
  </r>
  <r>
    <x v="99"/>
    <x v="2"/>
    <x v="2"/>
    <s v="Q1-2023"/>
    <d v="2023-03-20T00:00:00"/>
    <d v="2023-02-28T00:00:00"/>
    <n v="20"/>
    <x v="0"/>
    <n v="0"/>
    <x v="3"/>
    <x v="6"/>
    <x v="9"/>
    <s v="Small Business"/>
    <x v="4"/>
    <x v="10"/>
    <x v="4"/>
    <s v="High"/>
    <x v="99"/>
    <n v="1200.78"/>
    <n v="2001.17"/>
    <n v="2001.17"/>
    <x v="39"/>
    <n v="0.29199999999999998"/>
    <x v="1"/>
    <n v="18"/>
    <x v="99"/>
    <n v="21614.04"/>
    <n v="3888.8704799999978"/>
    <n v="0.15248732034132906"/>
  </r>
  <r>
    <x v="100"/>
    <x v="93"/>
    <x v="10"/>
    <s v="Q1-2025"/>
    <d v="2025-02-15T00:00:00"/>
    <d v="2025-01-27T00:00:00"/>
    <n v="19"/>
    <x v="0"/>
    <n v="0"/>
    <x v="1"/>
    <x v="9"/>
    <x v="14"/>
    <s v="Non-Profit"/>
    <x v="4"/>
    <x v="4"/>
    <x v="3"/>
    <s v="High"/>
    <x v="100"/>
    <n v="1253.22"/>
    <n v="3104.71"/>
    <n v="3104.71"/>
    <x v="5"/>
    <n v="0"/>
    <x v="0"/>
    <n v="17"/>
    <x v="100"/>
    <n v="21304.74"/>
    <n v="31475.329999999998"/>
    <n v="0.59634877331538205"/>
  </r>
  <r>
    <x v="101"/>
    <x v="94"/>
    <x v="9"/>
    <s v="Q1-2024"/>
    <d v="2024-01-22T00:00:00"/>
    <d v="2024-01-13T00:00:00"/>
    <n v="9"/>
    <x v="0"/>
    <n v="0"/>
    <x v="1"/>
    <x v="4"/>
    <x v="29"/>
    <s v="Enterprise"/>
    <x v="2"/>
    <x v="1"/>
    <x v="0"/>
    <s v="Low"/>
    <x v="101"/>
    <n v="313.60000000000002"/>
    <n v="334.28"/>
    <n v="334.28"/>
    <x v="78"/>
    <n v="0.14000000000000001"/>
    <x v="0"/>
    <n v="22"/>
    <x v="101"/>
    <n v="6899.2000000000007"/>
    <n v="-574.62240000000111"/>
    <n v="-9.0855458868905517E-2"/>
  </r>
  <r>
    <x v="102"/>
    <x v="95"/>
    <x v="3"/>
    <s v="Q1-2025"/>
    <d v="2025-04-04T00:00:00"/>
    <d v="2025-03-31T00:00:00"/>
    <n v="4"/>
    <x v="1"/>
    <n v="1"/>
    <x v="0"/>
    <x v="0"/>
    <x v="16"/>
    <s v="Corporate"/>
    <x v="4"/>
    <x v="0"/>
    <x v="4"/>
    <s v="High"/>
    <x v="102"/>
    <n v="862.08"/>
    <n v="1952.83"/>
    <n v="1952.83"/>
    <x v="5"/>
    <n v="0"/>
    <x v="0"/>
    <n v="7"/>
    <x v="102"/>
    <n v="6034.56"/>
    <n v="7635.2499999999991"/>
    <n v="0.5585483631447693"/>
  </r>
  <r>
    <x v="103"/>
    <x v="96"/>
    <x v="6"/>
    <s v="Q4-2024"/>
    <d v="2024-12-28T00:00:00"/>
    <d v="2024-12-05T00:00:00"/>
    <n v="23"/>
    <x v="0"/>
    <n v="0"/>
    <x v="2"/>
    <x v="3"/>
    <x v="26"/>
    <s v="Corporate"/>
    <x v="4"/>
    <x v="9"/>
    <x v="6"/>
    <s v="Low"/>
    <x v="103"/>
    <n v="107.03"/>
    <n v="242.29"/>
    <n v="242.29"/>
    <x v="79"/>
    <n v="0.18"/>
    <x v="0"/>
    <n v="30"/>
    <x v="103"/>
    <n v="3210.9"/>
    <n v="2749.4340000000007"/>
    <n v="0.46128857879440988"/>
  </r>
  <r>
    <x v="104"/>
    <x v="97"/>
    <x v="29"/>
    <s v="Q3-2024"/>
    <d v="2024-10-05T00:00:00"/>
    <d v="2024-09-14T00:00:00"/>
    <n v="21"/>
    <x v="0"/>
    <n v="0"/>
    <x v="1"/>
    <x v="9"/>
    <x v="23"/>
    <s v="Small Business"/>
    <x v="1"/>
    <x v="10"/>
    <x v="4"/>
    <s v="High"/>
    <x v="104"/>
    <n v="1405.56"/>
    <n v="2968.87"/>
    <n v="2968.87"/>
    <x v="36"/>
    <n v="0.16900000000000001"/>
    <x v="0"/>
    <n v="5"/>
    <x v="104"/>
    <n v="7027.7999999999993"/>
    <n v="5307.8548499999997"/>
    <n v="0.4302856163327235"/>
  </r>
  <r>
    <x v="105"/>
    <x v="98"/>
    <x v="7"/>
    <s v="Q2-2024"/>
    <d v="2024-05-27T00:00:00"/>
    <d v="2024-05-21T00:00:00"/>
    <n v="6"/>
    <x v="1"/>
    <n v="1"/>
    <x v="0"/>
    <x v="11"/>
    <x v="20"/>
    <s v="Non-Profit"/>
    <x v="1"/>
    <x v="12"/>
    <x v="0"/>
    <s v="High"/>
    <x v="105"/>
    <n v="1157.51"/>
    <n v="1394.3"/>
    <n v="1394.3"/>
    <x v="80"/>
    <n v="0.27800000000000002"/>
    <x v="1"/>
    <n v="12"/>
    <x v="105"/>
    <n v="13890.119999999999"/>
    <n v="-1809.9048000000003"/>
    <n v="-0.14982388724333326"/>
  </r>
  <r>
    <x v="106"/>
    <x v="20"/>
    <x v="15"/>
    <s v="Q2-2023"/>
    <d v="2023-06-07T00:00:00"/>
    <d v="2023-05-11T00:00:00"/>
    <n v="27"/>
    <x v="0"/>
    <n v="0"/>
    <x v="0"/>
    <x v="0"/>
    <x v="13"/>
    <s v="Corporate"/>
    <x v="1"/>
    <x v="1"/>
    <x v="3"/>
    <s v="Low"/>
    <x v="106"/>
    <n v="12.85"/>
    <n v="15.41"/>
    <n v="15.41"/>
    <x v="81"/>
    <n v="0.13700000000000001"/>
    <x v="0"/>
    <n v="39"/>
    <x v="106"/>
    <n v="501.15"/>
    <n v="17.504369999999994"/>
    <n v="3.3749585489851353E-2"/>
  </r>
  <r>
    <x v="107"/>
    <x v="99"/>
    <x v="21"/>
    <s v="Q3-2024"/>
    <d v="2024-09-04T00:00:00"/>
    <d v="2024-08-14T00:00:00"/>
    <n v="21"/>
    <x v="0"/>
    <n v="0"/>
    <x v="3"/>
    <x v="8"/>
    <x v="31"/>
    <s v="Non-Profit"/>
    <x v="1"/>
    <x v="1"/>
    <x v="3"/>
    <s v="High"/>
    <x v="107"/>
    <n v="1138.8"/>
    <n v="2250.81"/>
    <n v="2250.81"/>
    <x v="82"/>
    <n v="0.123"/>
    <x v="0"/>
    <n v="12"/>
    <x v="107"/>
    <n v="13665.599999999999"/>
    <n v="10021.924440000003"/>
    <n v="0.42308872188756258"/>
  </r>
  <r>
    <x v="108"/>
    <x v="100"/>
    <x v="1"/>
    <s v="Q4-2024"/>
    <d v="2024-11-08T00:00:00"/>
    <d v="2024-10-16T00:00:00"/>
    <n v="23"/>
    <x v="0"/>
    <n v="0"/>
    <x v="1"/>
    <x v="2"/>
    <x v="4"/>
    <s v="Small Business"/>
    <x v="0"/>
    <x v="1"/>
    <x v="2"/>
    <s v="Low"/>
    <x v="108"/>
    <n v="82.14"/>
    <n v="166.04"/>
    <n v="166.04"/>
    <x v="5"/>
    <n v="0"/>
    <x v="0"/>
    <n v="10"/>
    <x v="108"/>
    <n v="821.4"/>
    <n v="838.99999999999989"/>
    <n v="0.50529992772825827"/>
  </r>
  <r>
    <x v="109"/>
    <x v="101"/>
    <x v="17"/>
    <s v="Q2-2024"/>
    <d v="2024-06-08T00:00:00"/>
    <d v="2024-06-02T00:00:00"/>
    <n v="6"/>
    <x v="1"/>
    <n v="1"/>
    <x v="0"/>
    <x v="0"/>
    <x v="0"/>
    <s v="Consumer"/>
    <x v="2"/>
    <x v="8"/>
    <x v="6"/>
    <s v="Low"/>
    <x v="109"/>
    <n v="292.94"/>
    <n v="356.55"/>
    <n v="356.55"/>
    <x v="83"/>
    <n v="0.22900000000000001"/>
    <x v="1"/>
    <n v="2"/>
    <x v="109"/>
    <n v="585.88"/>
    <n v="-36.079899999999952"/>
    <n v="-6.5623669402751925E-2"/>
  </r>
  <r>
    <x v="110"/>
    <x v="102"/>
    <x v="17"/>
    <s v="Q2-2024"/>
    <d v="2024-07-07T00:00:00"/>
    <d v="2024-06-09T00:00:00"/>
    <n v="28"/>
    <x v="0"/>
    <n v="0"/>
    <x v="1"/>
    <x v="9"/>
    <x v="14"/>
    <s v="Corporate"/>
    <x v="1"/>
    <x v="1"/>
    <x v="0"/>
    <s v="High"/>
    <x v="110"/>
    <n v="550.22"/>
    <n v="1025.05"/>
    <n v="1025.05"/>
    <x v="5"/>
    <n v="0"/>
    <x v="0"/>
    <n v="27"/>
    <x v="110"/>
    <n v="14855.94"/>
    <n v="12820.409999999998"/>
    <n v="0.46322618408858102"/>
  </r>
  <r>
    <x v="111"/>
    <x v="103"/>
    <x v="17"/>
    <s v="Q2-2024"/>
    <d v="2024-06-11T00:00:00"/>
    <d v="2024-06-10T00:00:00"/>
    <n v="1"/>
    <x v="1"/>
    <n v="1"/>
    <x v="3"/>
    <x v="8"/>
    <x v="12"/>
    <s v="Small Business"/>
    <x v="2"/>
    <x v="12"/>
    <x v="4"/>
    <s v="High"/>
    <x v="111"/>
    <n v="1187.1300000000001"/>
    <n v="1795.17"/>
    <n v="1795.17"/>
    <x v="84"/>
    <n v="1.2E-2"/>
    <x v="0"/>
    <n v="17"/>
    <x v="111"/>
    <n v="20181.210000000003"/>
    <n v="9970.4653199999957"/>
    <n v="0.33067699271046663"/>
  </r>
  <r>
    <x v="112"/>
    <x v="104"/>
    <x v="17"/>
    <s v="Q2-2024"/>
    <d v="2024-07-26T00:00:00"/>
    <d v="2024-06-29T00:00:00"/>
    <n v="27"/>
    <x v="0"/>
    <n v="0"/>
    <x v="0"/>
    <x v="11"/>
    <x v="25"/>
    <s v="Enterprise"/>
    <x v="3"/>
    <x v="5"/>
    <x v="2"/>
    <s v="Low"/>
    <x v="112"/>
    <n v="5.36"/>
    <n v="4.37"/>
    <n v="4.37"/>
    <x v="85"/>
    <n v="0.11799999999999999"/>
    <x v="0"/>
    <n v="9"/>
    <x v="112"/>
    <n v="48.24"/>
    <n v="-13.550940000000004"/>
    <n v="-0.39064016148030545"/>
  </r>
  <r>
    <x v="113"/>
    <x v="105"/>
    <x v="10"/>
    <s v="Q1-2025"/>
    <d v="2025-01-24T00:00:00"/>
    <d v="2025-01-17T00:00:00"/>
    <n v="7"/>
    <x v="1"/>
    <n v="1"/>
    <x v="2"/>
    <x v="10"/>
    <x v="36"/>
    <s v="Enterprise"/>
    <x v="1"/>
    <x v="3"/>
    <x v="6"/>
    <s v="Low"/>
    <x v="113"/>
    <n v="142.09"/>
    <n v="218.5"/>
    <n v="218.5"/>
    <x v="45"/>
    <n v="0.11899999999999999"/>
    <x v="0"/>
    <n v="11"/>
    <x v="113"/>
    <n v="1562.99"/>
    <n v="554.49349999999981"/>
    <n v="0.26186437816398561"/>
  </r>
  <r>
    <x v="114"/>
    <x v="106"/>
    <x v="30"/>
    <s v="Q4-2023"/>
    <d v="2023-12-05T00:00:00"/>
    <d v="2023-11-20T00:00:00"/>
    <n v="15"/>
    <x v="0"/>
    <n v="0"/>
    <x v="1"/>
    <x v="2"/>
    <x v="27"/>
    <s v="Enterprise"/>
    <x v="0"/>
    <x v="4"/>
    <x v="2"/>
    <s v="Low"/>
    <x v="114"/>
    <n v="354.24"/>
    <n v="249.87"/>
    <n v="249.87"/>
    <x v="5"/>
    <n v="0"/>
    <x v="0"/>
    <n v="6"/>
    <x v="114"/>
    <n v="2125.44"/>
    <n v="-626.22"/>
    <n v="-0.41769720254532355"/>
  </r>
  <r>
    <x v="115"/>
    <x v="107"/>
    <x v="22"/>
    <s v="Q1-2023"/>
    <d v="2023-03-05T00:00:00"/>
    <d v="2023-03-02T00:00:00"/>
    <n v="3"/>
    <x v="1"/>
    <n v="1"/>
    <x v="2"/>
    <x v="5"/>
    <x v="10"/>
    <s v="Enterprise"/>
    <x v="4"/>
    <x v="3"/>
    <x v="5"/>
    <s v="High"/>
    <x v="115"/>
    <n v="1473.58"/>
    <n v="3436.52"/>
    <n v="3436.52"/>
    <x v="86"/>
    <n v="0.108"/>
    <x v="0"/>
    <n v="8"/>
    <x v="115"/>
    <n v="11788.64"/>
    <n v="12734.366720000002"/>
    <n v="0.51928243813652564"/>
  </r>
  <r>
    <x v="116"/>
    <x v="108"/>
    <x v="16"/>
    <s v="Q2-2025"/>
    <d v="2025-06-10T00:00:00"/>
    <d v="2025-06-03T00:00:00"/>
    <n v="7"/>
    <x v="1"/>
    <n v="1"/>
    <x v="2"/>
    <x v="3"/>
    <x v="5"/>
    <s v="Consumer"/>
    <x v="3"/>
    <x v="7"/>
    <x v="1"/>
    <s v="Low"/>
    <x v="116"/>
    <n v="75.180000000000007"/>
    <n v="53.45"/>
    <n v="53.45"/>
    <x v="87"/>
    <n v="0.157"/>
    <x v="0"/>
    <n v="17"/>
    <x v="116"/>
    <n v="1278.0600000000002"/>
    <n v="-512.06805000000008"/>
    <n v="-0.66850317421743144"/>
  </r>
  <r>
    <x v="117"/>
    <x v="6"/>
    <x v="6"/>
    <s v="Q4-2024"/>
    <d v="2025-01-02T00:00:00"/>
    <d v="2024-12-27T00:00:00"/>
    <n v="6"/>
    <x v="1"/>
    <n v="1"/>
    <x v="3"/>
    <x v="6"/>
    <x v="37"/>
    <s v="Education"/>
    <x v="4"/>
    <x v="9"/>
    <x v="4"/>
    <s v="High"/>
    <x v="117"/>
    <n v="1391.99"/>
    <n v="3469.7"/>
    <n v="3469.7"/>
    <x v="50"/>
    <n v="0.184"/>
    <x v="0"/>
    <n v="23"/>
    <x v="117"/>
    <n v="32015.77"/>
    <n v="33103.559599999993"/>
    <n v="0.50835227886006973"/>
  </r>
  <r>
    <x v="118"/>
    <x v="109"/>
    <x v="23"/>
    <s v="Q2-2023"/>
    <d v="2023-06-19T00:00:00"/>
    <d v="2023-06-09T00:00:00"/>
    <n v="10"/>
    <x v="0"/>
    <n v="0"/>
    <x v="1"/>
    <x v="9"/>
    <x v="38"/>
    <s v="Enterprise"/>
    <x v="0"/>
    <x v="9"/>
    <x v="5"/>
    <s v="High"/>
    <x v="118"/>
    <n v="339.61"/>
    <n v="621.02"/>
    <n v="621.02"/>
    <x v="88"/>
    <n v="7.0999999999999994E-2"/>
    <x v="0"/>
    <n v="10"/>
    <x v="118"/>
    <n v="3396.1000000000004"/>
    <n v="2373.1758"/>
    <n v="0.41134726129750981"/>
  </r>
  <r>
    <x v="119"/>
    <x v="110"/>
    <x v="13"/>
    <s v="Q3-2025"/>
    <d v="2025-07-18T00:00:00"/>
    <d v="2025-07-09T00:00:00"/>
    <n v="9"/>
    <x v="0"/>
    <n v="0"/>
    <x v="2"/>
    <x v="3"/>
    <x v="26"/>
    <s v="Education"/>
    <x v="3"/>
    <x v="2"/>
    <x v="4"/>
    <s v="Low"/>
    <x v="119"/>
    <n v="57.96"/>
    <n v="88.51"/>
    <n v="88.51"/>
    <x v="89"/>
    <n v="4.2999999999999997E-2"/>
    <x v="0"/>
    <n v="7"/>
    <x v="119"/>
    <n v="405.72"/>
    <n v="187.20848999999998"/>
    <n v="0.3157353595877978"/>
  </r>
  <r>
    <x v="120"/>
    <x v="111"/>
    <x v="16"/>
    <s v="Q2-2025"/>
    <d v="2025-07-12T00:00:00"/>
    <d v="2025-06-19T00:00:00"/>
    <n v="23"/>
    <x v="0"/>
    <n v="0"/>
    <x v="3"/>
    <x v="8"/>
    <x v="35"/>
    <s v="Non-Profit"/>
    <x v="4"/>
    <x v="15"/>
    <x v="2"/>
    <s v="High"/>
    <x v="120"/>
    <n v="801.24"/>
    <n v="1959.09"/>
    <n v="1959.09"/>
    <x v="82"/>
    <n v="0.123"/>
    <x v="0"/>
    <n v="23"/>
    <x v="120"/>
    <n v="18428.52"/>
    <n v="21088.284389999997"/>
    <n v="0.53365358650651762"/>
  </r>
  <r>
    <x v="121"/>
    <x v="112"/>
    <x v="30"/>
    <s v="Q4-2023"/>
    <d v="2023-12-13T00:00:00"/>
    <d v="2023-11-19T00:00:00"/>
    <n v="24"/>
    <x v="0"/>
    <n v="0"/>
    <x v="3"/>
    <x v="7"/>
    <x v="17"/>
    <s v="Non-Profit"/>
    <x v="4"/>
    <x v="10"/>
    <x v="5"/>
    <s v="High"/>
    <x v="121"/>
    <n v="1297.42"/>
    <n v="2742.97"/>
    <n v="2742.97"/>
    <x v="90"/>
    <n v="6.9000000000000006E-2"/>
    <x v="0"/>
    <n v="9"/>
    <x v="121"/>
    <n v="11676.78"/>
    <n v="11306.565629999999"/>
    <n v="0.49194602961727291"/>
  </r>
  <r>
    <x v="122"/>
    <x v="113"/>
    <x v="4"/>
    <s v="Q4-2023"/>
    <d v="2024-01-20T00:00:00"/>
    <d v="2023-12-29T00:00:00"/>
    <n v="22"/>
    <x v="0"/>
    <n v="0"/>
    <x v="0"/>
    <x v="0"/>
    <x v="0"/>
    <s v="Corporate"/>
    <x v="4"/>
    <x v="4"/>
    <x v="3"/>
    <s v="High"/>
    <x v="122"/>
    <n v="1395.49"/>
    <n v="1679.42"/>
    <n v="1679.42"/>
    <x v="91"/>
    <n v="0.20300000000000001"/>
    <x v="1"/>
    <n v="12"/>
    <x v="122"/>
    <n v="16745.88"/>
    <n v="-683.90712000000167"/>
    <n v="-4.2579272490964493E-2"/>
  </r>
  <r>
    <x v="123"/>
    <x v="61"/>
    <x v="18"/>
    <s v="Q4-2024"/>
    <d v="2024-11-29T00:00:00"/>
    <d v="2024-11-02T00:00:00"/>
    <n v="27"/>
    <x v="0"/>
    <n v="0"/>
    <x v="2"/>
    <x v="5"/>
    <x v="10"/>
    <s v="Small Business"/>
    <x v="4"/>
    <x v="2"/>
    <x v="2"/>
    <s v="High"/>
    <x v="123"/>
    <n v="1363.51"/>
    <n v="1433.9"/>
    <n v="1433.9"/>
    <x v="92"/>
    <n v="5.7000000000000002E-2"/>
    <x v="0"/>
    <n v="8"/>
    <x v="123"/>
    <n v="10908.08"/>
    <n v="-90.738400000000183"/>
    <n v="-8.3882346842037592E-3"/>
  </r>
  <r>
    <x v="124"/>
    <x v="114"/>
    <x v="25"/>
    <s v="Q3-2023"/>
    <d v="2023-09-04T00:00:00"/>
    <d v="2023-08-21T00:00:00"/>
    <n v="14"/>
    <x v="0"/>
    <n v="0"/>
    <x v="2"/>
    <x v="3"/>
    <x v="19"/>
    <s v="Education"/>
    <x v="3"/>
    <x v="9"/>
    <x v="0"/>
    <s v="Low"/>
    <x v="124"/>
    <n v="178.19"/>
    <n v="284.43"/>
    <n v="284.43"/>
    <x v="25"/>
    <n v="8.8999999999999996E-2"/>
    <x v="0"/>
    <n v="8"/>
    <x v="124"/>
    <n v="1425.52"/>
    <n v="647.40584000000035"/>
    <n v="0.31231500302972742"/>
  </r>
  <r>
    <x v="125"/>
    <x v="115"/>
    <x v="25"/>
    <s v="Q3-2023"/>
    <d v="2023-09-06T00:00:00"/>
    <d v="2023-08-12T00:00:00"/>
    <n v="25"/>
    <x v="0"/>
    <n v="0"/>
    <x v="1"/>
    <x v="9"/>
    <x v="23"/>
    <s v="Small Business"/>
    <x v="0"/>
    <x v="5"/>
    <x v="0"/>
    <s v="High"/>
    <x v="125"/>
    <n v="950.77"/>
    <n v="694.78"/>
    <n v="694.78"/>
    <x v="26"/>
    <n v="8.4000000000000005E-2"/>
    <x v="0"/>
    <n v="14"/>
    <x v="125"/>
    <n v="13310.779999999999"/>
    <n v="-4400.9212799999987"/>
    <n v="-0.49393839097821279"/>
  </r>
  <r>
    <x v="126"/>
    <x v="116"/>
    <x v="17"/>
    <s v="Q2-2024"/>
    <d v="2024-06-26T00:00:00"/>
    <d v="2024-06-07T00:00:00"/>
    <n v="19"/>
    <x v="0"/>
    <n v="0"/>
    <x v="3"/>
    <x v="6"/>
    <x v="9"/>
    <s v="Non-Profit"/>
    <x v="2"/>
    <x v="12"/>
    <x v="0"/>
    <s v="High"/>
    <x v="126"/>
    <n v="1064.32"/>
    <n v="1848.39"/>
    <n v="1848.39"/>
    <x v="93"/>
    <n v="7.2999999999999995E-2"/>
    <x v="0"/>
    <n v="38"/>
    <x v="126"/>
    <n v="40444.159999999996"/>
    <n v="24667.226140000013"/>
    <n v="0.3788465827921631"/>
  </r>
  <r>
    <x v="127"/>
    <x v="117"/>
    <x v="28"/>
    <s v="Q3-2025"/>
    <d v="2025-08-14T00:00:00"/>
    <d v="2025-08-05T00:00:00"/>
    <n v="9"/>
    <x v="0"/>
    <n v="0"/>
    <x v="3"/>
    <x v="8"/>
    <x v="21"/>
    <s v="Non-Profit"/>
    <x v="4"/>
    <x v="6"/>
    <x v="0"/>
    <s v="Low"/>
    <x v="127"/>
    <n v="41.76"/>
    <n v="45.19"/>
    <n v="45.19"/>
    <x v="94"/>
    <n v="0.17899999999999999"/>
    <x v="0"/>
    <n v="23"/>
    <x v="127"/>
    <n v="960.4799999999999"/>
    <n v="-107.15723000000003"/>
    <n v="-0.12557643340514638"/>
  </r>
  <r>
    <x v="128"/>
    <x v="118"/>
    <x v="7"/>
    <s v="Q2-2024"/>
    <d v="2024-06-13T00:00:00"/>
    <d v="2024-05-30T00:00:00"/>
    <n v="14"/>
    <x v="0"/>
    <n v="0"/>
    <x v="2"/>
    <x v="10"/>
    <x v="24"/>
    <s v="Small Business"/>
    <x v="0"/>
    <x v="9"/>
    <x v="3"/>
    <s v="Low"/>
    <x v="128"/>
    <n v="157.78"/>
    <n v="361.1"/>
    <n v="361.1"/>
    <x v="37"/>
    <n v="0.187"/>
    <x v="0"/>
    <n v="9"/>
    <x v="128"/>
    <n v="1420.02"/>
    <n v="1222.1486999999997"/>
    <n v="0.46255513510549112"/>
  </r>
  <r>
    <x v="129"/>
    <x v="119"/>
    <x v="5"/>
    <s v="Q1-2023"/>
    <d v="2023-01-30T00:00:00"/>
    <d v="2023-01-22T00:00:00"/>
    <n v="8"/>
    <x v="0"/>
    <n v="0"/>
    <x v="2"/>
    <x v="10"/>
    <x v="24"/>
    <s v="Small Business"/>
    <x v="1"/>
    <x v="8"/>
    <x v="2"/>
    <s v="High"/>
    <x v="129"/>
    <n v="413.52"/>
    <n v="1004.34"/>
    <n v="1004.34"/>
    <x v="95"/>
    <n v="0.111"/>
    <x v="0"/>
    <n v="18"/>
    <x v="129"/>
    <n v="7443.36"/>
    <n v="8628.0886800000007"/>
    <n v="0.53685817948304593"/>
  </r>
  <r>
    <x v="130"/>
    <x v="120"/>
    <x v="26"/>
    <s v="Q1-2025"/>
    <d v="2025-02-28T00:00:00"/>
    <d v="2025-02-12T00:00:00"/>
    <n v="16"/>
    <x v="0"/>
    <n v="0"/>
    <x v="2"/>
    <x v="5"/>
    <x v="8"/>
    <s v="Non-Profit"/>
    <x v="4"/>
    <x v="5"/>
    <x v="5"/>
    <s v="High"/>
    <x v="130"/>
    <n v="414.95"/>
    <n v="1027.73"/>
    <n v="1027.73"/>
    <x v="96"/>
    <n v="6.3E-2"/>
    <x v="0"/>
    <n v="8"/>
    <x v="130"/>
    <n v="3319.6"/>
    <n v="4384.2640800000008"/>
    <n v="0.56909935513815568"/>
  </r>
  <r>
    <x v="131"/>
    <x v="121"/>
    <x v="3"/>
    <s v="Q1-2025"/>
    <d v="2025-03-24T00:00:00"/>
    <d v="2025-03-03T00:00:00"/>
    <n v="21"/>
    <x v="0"/>
    <n v="0"/>
    <x v="0"/>
    <x v="1"/>
    <x v="7"/>
    <s v="Enterprise"/>
    <x v="4"/>
    <x v="10"/>
    <x v="6"/>
    <s v="Low"/>
    <x v="131"/>
    <n v="555.95000000000005"/>
    <n v="468.09"/>
    <n v="468.09"/>
    <x v="56"/>
    <n v="0.14199999999999999"/>
    <x v="0"/>
    <n v="11"/>
    <x v="131"/>
    <n v="6115.4500000000007"/>
    <n v="-1697.6165800000008"/>
    <n v="-0.38426450674095375"/>
  </r>
  <r>
    <x v="132"/>
    <x v="122"/>
    <x v="5"/>
    <s v="Q1-2023"/>
    <d v="2023-01-31T00:00:00"/>
    <d v="2023-01-27T00:00:00"/>
    <n v="4"/>
    <x v="1"/>
    <n v="1"/>
    <x v="3"/>
    <x v="8"/>
    <x v="31"/>
    <s v="Enterprise"/>
    <x v="1"/>
    <x v="13"/>
    <x v="4"/>
    <s v="High"/>
    <x v="132"/>
    <n v="941.2"/>
    <n v="668.02"/>
    <n v="668.02"/>
    <x v="97"/>
    <n v="0.22"/>
    <x v="1"/>
    <n v="16"/>
    <x v="132"/>
    <n v="15059.2"/>
    <n v="-6722.3104000000003"/>
    <n v="-0.80633314371825193"/>
  </r>
  <r>
    <x v="133"/>
    <x v="123"/>
    <x v="10"/>
    <s v="Q1-2025"/>
    <d v="2025-01-15T00:00:00"/>
    <d v="2025-01-09T00:00:00"/>
    <n v="6"/>
    <x v="1"/>
    <n v="1"/>
    <x v="1"/>
    <x v="9"/>
    <x v="38"/>
    <s v="Education"/>
    <x v="1"/>
    <x v="0"/>
    <x v="3"/>
    <s v="Low"/>
    <x v="133"/>
    <n v="304.77999999999997"/>
    <n v="537.27"/>
    <n v="537.27"/>
    <x v="37"/>
    <n v="0.187"/>
    <x v="0"/>
    <n v="8"/>
    <x v="133"/>
    <n v="2438.2399999999998"/>
    <n v="1056.16408"/>
    <n v="0.3022444044307549"/>
  </r>
  <r>
    <x v="134"/>
    <x v="124"/>
    <x v="6"/>
    <s v="Q4-2024"/>
    <d v="2024-12-26T00:00:00"/>
    <d v="2024-12-21T00:00:00"/>
    <n v="5"/>
    <x v="1"/>
    <n v="1"/>
    <x v="2"/>
    <x v="10"/>
    <x v="24"/>
    <s v="Consumer"/>
    <x v="2"/>
    <x v="12"/>
    <x v="1"/>
    <s v="Low"/>
    <x v="134"/>
    <n v="699.57"/>
    <n v="572.71"/>
    <n v="572.71"/>
    <x v="98"/>
    <n v="0.192"/>
    <x v="0"/>
    <n v="26"/>
    <x v="134"/>
    <n v="18188.82"/>
    <n v="-6157.3283199999987"/>
    <n v="-0.51176765805651114"/>
  </r>
  <r>
    <x v="135"/>
    <x v="125"/>
    <x v="12"/>
    <s v="Q2-2023"/>
    <d v="2023-04-17T00:00:00"/>
    <d v="2023-04-12T00:00:00"/>
    <n v="5"/>
    <x v="1"/>
    <n v="1"/>
    <x v="3"/>
    <x v="7"/>
    <x v="17"/>
    <s v="Enterprise"/>
    <x v="4"/>
    <x v="6"/>
    <x v="5"/>
    <s v="High"/>
    <x v="135"/>
    <n v="1087.81"/>
    <n v="2323.87"/>
    <n v="2323.87"/>
    <x v="12"/>
    <n v="9.4E-2"/>
    <x v="0"/>
    <n v="13"/>
    <x v="135"/>
    <n v="14141.529999999999"/>
    <n v="13229.010859999999"/>
    <n v="0.48333026839572651"/>
  </r>
  <r>
    <x v="136"/>
    <x v="126"/>
    <x v="6"/>
    <s v="Q4-2024"/>
    <d v="2025-01-12T00:00:00"/>
    <d v="2024-12-14T00:00:00"/>
    <n v="29"/>
    <x v="0"/>
    <n v="0"/>
    <x v="1"/>
    <x v="9"/>
    <x v="14"/>
    <s v="Education"/>
    <x v="1"/>
    <x v="1"/>
    <x v="0"/>
    <s v="High"/>
    <x v="136"/>
    <n v="1412.15"/>
    <n v="1631.04"/>
    <n v="1631.04"/>
    <x v="99"/>
    <n v="8.9999999999999993E-3"/>
    <x v="0"/>
    <n v="6"/>
    <x v="136"/>
    <n v="8472.9000000000015"/>
    <n v="1225.2638399999978"/>
    <n v="0.12633977526203535"/>
  </r>
  <r>
    <x v="137"/>
    <x v="50"/>
    <x v="22"/>
    <s v="Q1-2023"/>
    <d v="2023-04-12T00:00:00"/>
    <d v="2023-03-31T00:00:00"/>
    <n v="12"/>
    <x v="0"/>
    <n v="0"/>
    <x v="0"/>
    <x v="0"/>
    <x v="13"/>
    <s v="Small Business"/>
    <x v="1"/>
    <x v="0"/>
    <x v="3"/>
    <s v="Low"/>
    <x v="137"/>
    <n v="304.22000000000003"/>
    <n v="393.31"/>
    <n v="393.31"/>
    <x v="100"/>
    <n v="0.26500000000000001"/>
    <x v="1"/>
    <n v="15"/>
    <x v="137"/>
    <n v="4563.3"/>
    <n v="-227.05725000000075"/>
    <n v="-5.2362670424759034E-2"/>
  </r>
  <r>
    <x v="138"/>
    <x v="127"/>
    <x v="18"/>
    <s v="Q4-2024"/>
    <d v="2024-12-15T00:00:00"/>
    <d v="2024-11-20T00:00:00"/>
    <n v="25"/>
    <x v="0"/>
    <n v="0"/>
    <x v="3"/>
    <x v="7"/>
    <x v="28"/>
    <s v="Corporate"/>
    <x v="1"/>
    <x v="3"/>
    <x v="1"/>
    <s v="High"/>
    <x v="138"/>
    <n v="1203.58"/>
    <n v="1856.16"/>
    <n v="1856.16"/>
    <x v="31"/>
    <n v="0.129"/>
    <x v="0"/>
    <n v="22"/>
    <x v="138"/>
    <n v="26478.76"/>
    <n v="9088.9779200000085"/>
    <n v="0.25553994860295032"/>
  </r>
  <r>
    <x v="139"/>
    <x v="128"/>
    <x v="31"/>
    <s v="Q1-2024"/>
    <d v="2024-02-14T00:00:00"/>
    <d v="2024-02-14T00:00:00"/>
    <n v="0"/>
    <x v="1"/>
    <n v="1"/>
    <x v="1"/>
    <x v="9"/>
    <x v="38"/>
    <s v="Corporate"/>
    <x v="3"/>
    <x v="4"/>
    <x v="6"/>
    <s v="Low"/>
    <x v="139"/>
    <n v="65.930000000000007"/>
    <n v="84.9"/>
    <n v="84.9"/>
    <x v="101"/>
    <n v="0.25900000000000001"/>
    <x v="1"/>
    <n v="23"/>
    <x v="139"/>
    <n v="1516.39"/>
    <n v="-69.439300000000003"/>
    <n v="-4.7990093926489688E-2"/>
  </r>
  <r>
    <x v="140"/>
    <x v="129"/>
    <x v="15"/>
    <s v="Q2-2023"/>
    <d v="2023-05-18T00:00:00"/>
    <d v="2023-05-02T00:00:00"/>
    <n v="16"/>
    <x v="0"/>
    <n v="0"/>
    <x v="1"/>
    <x v="4"/>
    <x v="18"/>
    <s v="Small Business"/>
    <x v="2"/>
    <x v="11"/>
    <x v="5"/>
    <s v="High"/>
    <x v="140"/>
    <n v="1463.92"/>
    <n v="2252.2399999999998"/>
    <n v="2252.2399999999998"/>
    <x v="85"/>
    <n v="0.11799999999999999"/>
    <x v="0"/>
    <n v="44"/>
    <x v="140"/>
    <n v="64412.480000000003"/>
    <n v="22992.449919999992"/>
    <n v="0.26305667130040061"/>
  </r>
  <r>
    <x v="141"/>
    <x v="130"/>
    <x v="6"/>
    <s v="Q4-2024"/>
    <d v="2025-01-11T00:00:00"/>
    <d v="2024-12-23T00:00:00"/>
    <n v="19"/>
    <x v="0"/>
    <n v="0"/>
    <x v="3"/>
    <x v="6"/>
    <x v="9"/>
    <s v="Education"/>
    <x v="0"/>
    <x v="11"/>
    <x v="3"/>
    <s v="High"/>
    <x v="141"/>
    <n v="501.81"/>
    <n v="921.62"/>
    <n v="921.62"/>
    <x v="19"/>
    <n v="0.01"/>
    <x v="0"/>
    <n v="9"/>
    <x v="141"/>
    <n v="4516.29"/>
    <n v="3695.3442000000005"/>
    <n v="0.45001325071202031"/>
  </r>
  <r>
    <x v="142"/>
    <x v="131"/>
    <x v="24"/>
    <s v="Q3-2023"/>
    <d v="2023-08-25T00:00:00"/>
    <d v="2023-07-26T00:00:00"/>
    <n v="30"/>
    <x v="0"/>
    <n v="0"/>
    <x v="2"/>
    <x v="10"/>
    <x v="39"/>
    <s v="Consumer"/>
    <x v="0"/>
    <x v="12"/>
    <x v="6"/>
    <s v="High"/>
    <x v="142"/>
    <n v="1261.48"/>
    <n v="1643.18"/>
    <n v="1643.18"/>
    <x v="102"/>
    <n v="0.151"/>
    <x v="0"/>
    <n v="23"/>
    <x v="142"/>
    <n v="29014.04"/>
    <n v="3072.3358599999992"/>
    <n v="9.5752037357079045E-2"/>
  </r>
  <r>
    <x v="143"/>
    <x v="132"/>
    <x v="17"/>
    <s v="Q2-2024"/>
    <d v="2024-07-06T00:00:00"/>
    <d v="2024-06-15T00:00:00"/>
    <n v="21"/>
    <x v="0"/>
    <n v="0"/>
    <x v="2"/>
    <x v="3"/>
    <x v="5"/>
    <s v="Enterprise"/>
    <x v="3"/>
    <x v="4"/>
    <x v="1"/>
    <s v="High"/>
    <x v="143"/>
    <n v="817.23"/>
    <n v="1467.17"/>
    <n v="1467.17"/>
    <x v="103"/>
    <n v="0.245"/>
    <x v="1"/>
    <n v="9"/>
    <x v="143"/>
    <n v="7355.07"/>
    <n v="2614.3501500000002"/>
    <n v="0.26223693160328893"/>
  </r>
  <r>
    <x v="144"/>
    <x v="133"/>
    <x v="24"/>
    <s v="Q3-2023"/>
    <d v="2023-07-14T00:00:00"/>
    <d v="2023-07-05T00:00:00"/>
    <n v="9"/>
    <x v="0"/>
    <n v="0"/>
    <x v="2"/>
    <x v="5"/>
    <x v="10"/>
    <s v="Enterprise"/>
    <x v="4"/>
    <x v="5"/>
    <x v="2"/>
    <s v="High"/>
    <x v="144"/>
    <n v="578.85"/>
    <n v="998.76"/>
    <n v="998.76"/>
    <x v="104"/>
    <n v="8.2000000000000003E-2"/>
    <x v="0"/>
    <n v="28"/>
    <x v="144"/>
    <n v="16207.800000000001"/>
    <n v="9464.3270399999983"/>
    <n v="0.36866158480960831"/>
  </r>
  <r>
    <x v="145"/>
    <x v="134"/>
    <x v="30"/>
    <s v="Q4-2023"/>
    <d v="2023-11-29T00:00:00"/>
    <d v="2023-12-07T00:00:00"/>
    <n v="-8"/>
    <x v="1"/>
    <n v="1"/>
    <x v="0"/>
    <x v="11"/>
    <x v="25"/>
    <s v="Small Business"/>
    <x v="2"/>
    <x v="6"/>
    <x v="4"/>
    <s v="High"/>
    <x v="145"/>
    <n v="275.56"/>
    <n v="630.72"/>
    <n v="630.72"/>
    <x v="105"/>
    <n v="0.107"/>
    <x v="0"/>
    <n v="23"/>
    <x v="145"/>
    <n v="6337.88"/>
    <n v="6616.4780800000017"/>
    <n v="0.5107530638831933"/>
  </r>
  <r>
    <x v="146"/>
    <x v="135"/>
    <x v="11"/>
    <s v="Q3-2025"/>
    <d v="2025-09-28T00:00:00"/>
    <d v="2025-09-11T00:00:00"/>
    <n v="17"/>
    <x v="0"/>
    <n v="0"/>
    <x v="0"/>
    <x v="0"/>
    <x v="2"/>
    <s v="Non-Profit"/>
    <x v="3"/>
    <x v="1"/>
    <x v="4"/>
    <s v="High"/>
    <x v="146"/>
    <n v="891.46"/>
    <n v="728.61"/>
    <n v="728.61"/>
    <x v="57"/>
    <n v="0.185"/>
    <x v="0"/>
    <n v="6"/>
    <x v="146"/>
    <n v="5348.76"/>
    <n v="-1785.8571000000006"/>
    <n v="-0.50123653383874167"/>
  </r>
  <r>
    <x v="147"/>
    <x v="136"/>
    <x v="20"/>
    <s v="Q2-2024"/>
    <d v="2024-04-24T00:00:00"/>
    <d v="2024-04-04T00:00:00"/>
    <n v="20"/>
    <x v="0"/>
    <n v="0"/>
    <x v="3"/>
    <x v="6"/>
    <x v="37"/>
    <s v="Non-Profit"/>
    <x v="4"/>
    <x v="7"/>
    <x v="6"/>
    <s v="High"/>
    <x v="147"/>
    <n v="683.42"/>
    <n v="951.51"/>
    <n v="951.51"/>
    <x v="5"/>
    <n v="0"/>
    <x v="0"/>
    <n v="14"/>
    <x v="147"/>
    <n v="9567.8799999999992"/>
    <n v="3753.26"/>
    <n v="0.28175216235247136"/>
  </r>
  <r>
    <x v="148"/>
    <x v="137"/>
    <x v="27"/>
    <s v="Q3-2023"/>
    <d v="2023-09-16T00:00:00"/>
    <d v="2023-09-14T00:00:00"/>
    <n v="2"/>
    <x v="1"/>
    <n v="1"/>
    <x v="3"/>
    <x v="7"/>
    <x v="17"/>
    <s v="Non-Profit"/>
    <x v="4"/>
    <x v="5"/>
    <x v="1"/>
    <s v="High"/>
    <x v="148"/>
    <n v="376.83"/>
    <n v="732.88"/>
    <n v="732.88"/>
    <x v="70"/>
    <n v="0.188"/>
    <x v="0"/>
    <n v="25"/>
    <x v="148"/>
    <n v="9420.75"/>
    <n v="5456.7140000000018"/>
    <n v="0.36677716040852132"/>
  </r>
  <r>
    <x v="149"/>
    <x v="138"/>
    <x v="29"/>
    <s v="Q3-2024"/>
    <d v="2024-10-18T00:00:00"/>
    <d v="2024-09-23T00:00:00"/>
    <n v="25"/>
    <x v="0"/>
    <n v="0"/>
    <x v="2"/>
    <x v="3"/>
    <x v="26"/>
    <s v="Small Business"/>
    <x v="1"/>
    <x v="13"/>
    <x v="3"/>
    <s v="High"/>
    <x v="149"/>
    <n v="1297"/>
    <n v="2411.52"/>
    <n v="2411.52"/>
    <x v="106"/>
    <n v="2.1000000000000001E-2"/>
    <x v="0"/>
    <n v="18"/>
    <x v="149"/>
    <n v="23346"/>
    <n v="19149.805439999996"/>
    <n v="0.45062813239385913"/>
  </r>
  <r>
    <x v="150"/>
    <x v="139"/>
    <x v="19"/>
    <s v="Q2-2025"/>
    <d v="2025-05-16T00:00:00"/>
    <d v="2025-04-16T00:00:00"/>
    <n v="30"/>
    <x v="0"/>
    <n v="0"/>
    <x v="2"/>
    <x v="3"/>
    <x v="19"/>
    <s v="Enterprise"/>
    <x v="3"/>
    <x v="11"/>
    <x v="1"/>
    <s v="Low"/>
    <x v="150"/>
    <n v="763.32"/>
    <n v="568.29"/>
    <n v="568.29"/>
    <x v="2"/>
    <n v="0.13100000000000001"/>
    <x v="0"/>
    <n v="16"/>
    <x v="150"/>
    <n v="12213.12"/>
    <n v="-4311.6158400000013"/>
    <n v="-0.54567026134426555"/>
  </r>
  <r>
    <x v="151"/>
    <x v="140"/>
    <x v="24"/>
    <s v="Q3-2023"/>
    <d v="2023-07-23T00:00:00"/>
    <d v="2023-07-03T00:00:00"/>
    <n v="20"/>
    <x v="0"/>
    <n v="0"/>
    <x v="0"/>
    <x v="11"/>
    <x v="20"/>
    <s v="Small Business"/>
    <x v="3"/>
    <x v="9"/>
    <x v="4"/>
    <s v="High"/>
    <x v="151"/>
    <n v="1001.96"/>
    <n v="1254.95"/>
    <n v="1254.95"/>
    <x v="107"/>
    <n v="4.4999999999999998E-2"/>
    <x v="0"/>
    <n v="18"/>
    <x v="151"/>
    <n v="18035.28"/>
    <n v="3537.3105000000032"/>
    <n v="0.16397244920585699"/>
  </r>
  <r>
    <x v="152"/>
    <x v="141"/>
    <x v="4"/>
    <s v="Q4-2023"/>
    <d v="2023-12-05T00:00:00"/>
    <d v="2023-12-14T00:00:00"/>
    <n v="-9"/>
    <x v="1"/>
    <n v="1"/>
    <x v="1"/>
    <x v="2"/>
    <x v="27"/>
    <s v="Non-Profit"/>
    <x v="2"/>
    <x v="10"/>
    <x v="1"/>
    <s v="High"/>
    <x v="152"/>
    <n v="1097.5899999999999"/>
    <n v="845.55"/>
    <n v="845.55"/>
    <x v="50"/>
    <n v="0.184"/>
    <x v="0"/>
    <n v="6"/>
    <x v="152"/>
    <n v="6585.5399999999991"/>
    <n v="-2445.7271999999994"/>
    <n v="-0.59078207594314402"/>
  </r>
  <r>
    <x v="153"/>
    <x v="142"/>
    <x v="31"/>
    <s v="Q1-2024"/>
    <d v="2024-03-04T00:00:00"/>
    <d v="2024-02-18T00:00:00"/>
    <n v="15"/>
    <x v="0"/>
    <n v="0"/>
    <x v="0"/>
    <x v="0"/>
    <x v="0"/>
    <s v="Education"/>
    <x v="4"/>
    <x v="11"/>
    <x v="1"/>
    <s v="High"/>
    <x v="153"/>
    <n v="928.68"/>
    <n v="2145.17"/>
    <n v="2145.17"/>
    <x v="29"/>
    <n v="0.13600000000000001"/>
    <x v="0"/>
    <n v="16"/>
    <x v="153"/>
    <n v="14858.88"/>
    <n v="14795.950080000001"/>
    <n v="0.49893896003062177"/>
  </r>
  <r>
    <x v="154"/>
    <x v="143"/>
    <x v="32"/>
    <s v="Q4-2023"/>
    <d v="2023-11-02T00:00:00"/>
    <d v="2023-10-31T00:00:00"/>
    <n v="2"/>
    <x v="1"/>
    <n v="1"/>
    <x v="0"/>
    <x v="0"/>
    <x v="0"/>
    <s v="Education"/>
    <x v="0"/>
    <x v="7"/>
    <x v="6"/>
    <s v="High"/>
    <x v="154"/>
    <n v="867.89"/>
    <n v="1349.94"/>
    <n v="1349.94"/>
    <x v="50"/>
    <n v="0.184"/>
    <x v="0"/>
    <n v="10"/>
    <x v="154"/>
    <n v="8678.9"/>
    <n v="2336.6104000000032"/>
    <n v="0.21212003031652557"/>
  </r>
  <r>
    <x v="155"/>
    <x v="144"/>
    <x v="21"/>
    <s v="Q3-2024"/>
    <d v="2024-08-17T00:00:00"/>
    <d v="2024-08-07T00:00:00"/>
    <n v="10"/>
    <x v="0"/>
    <n v="0"/>
    <x v="1"/>
    <x v="2"/>
    <x v="4"/>
    <s v="Consumer"/>
    <x v="1"/>
    <x v="11"/>
    <x v="2"/>
    <s v="Low"/>
    <x v="155"/>
    <n v="436.58"/>
    <n v="527.48"/>
    <n v="527.48"/>
    <x v="95"/>
    <n v="0.111"/>
    <x v="0"/>
    <n v="19"/>
    <x v="155"/>
    <n v="8295.02"/>
    <n v="614.64468000000124"/>
    <n v="6.8986286473802644E-2"/>
  </r>
  <r>
    <x v="156"/>
    <x v="145"/>
    <x v="31"/>
    <s v="Q1-2024"/>
    <d v="2024-02-21T00:00:00"/>
    <d v="2024-02-01T00:00:00"/>
    <n v="20"/>
    <x v="0"/>
    <n v="0"/>
    <x v="3"/>
    <x v="7"/>
    <x v="28"/>
    <s v="Small Business"/>
    <x v="2"/>
    <x v="8"/>
    <x v="2"/>
    <s v="High"/>
    <x v="156"/>
    <n v="656.2"/>
    <n v="1467.17"/>
    <n v="1467.17"/>
    <x v="108"/>
    <n v="1.7999999999999999E-2"/>
    <x v="0"/>
    <n v="5"/>
    <x v="156"/>
    <n v="3281"/>
    <n v="3922.8047000000006"/>
    <n v="0.54454623124360946"/>
  </r>
  <r>
    <x v="157"/>
    <x v="38"/>
    <x v="21"/>
    <s v="Q3-2024"/>
    <d v="2024-09-18T00:00:00"/>
    <d v="2024-08-27T00:00:00"/>
    <n v="22"/>
    <x v="0"/>
    <n v="0"/>
    <x v="1"/>
    <x v="4"/>
    <x v="18"/>
    <s v="Consumer"/>
    <x v="4"/>
    <x v="5"/>
    <x v="0"/>
    <s v="High"/>
    <x v="157"/>
    <n v="896.75"/>
    <n v="1651.14"/>
    <n v="1651.14"/>
    <x v="109"/>
    <n v="2.5000000000000001E-2"/>
    <x v="0"/>
    <n v="15"/>
    <x v="157"/>
    <n v="13451.25"/>
    <n v="10696.672500000001"/>
    <n v="0.44296450346815552"/>
  </r>
  <r>
    <x v="158"/>
    <x v="146"/>
    <x v="26"/>
    <s v="Q1-2025"/>
    <d v="2025-02-15T00:00:00"/>
    <d v="2025-02-15T00:00:00"/>
    <n v="0"/>
    <x v="1"/>
    <n v="1"/>
    <x v="3"/>
    <x v="6"/>
    <x v="37"/>
    <s v="Small Business"/>
    <x v="2"/>
    <x v="4"/>
    <x v="6"/>
    <s v="High"/>
    <x v="158"/>
    <n v="815.83"/>
    <n v="1982.18"/>
    <n v="1982.18"/>
    <x v="110"/>
    <n v="0.127"/>
    <x v="0"/>
    <n v="6"/>
    <x v="158"/>
    <n v="4894.9800000000005"/>
    <n v="5487.6788399999996"/>
    <n v="0.52854272923408507"/>
  </r>
  <r>
    <x v="159"/>
    <x v="90"/>
    <x v="28"/>
    <s v="Q3-2025"/>
    <d v="2025-08-21T00:00:00"/>
    <d v="2025-08-01T00:00:00"/>
    <n v="20"/>
    <x v="0"/>
    <n v="0"/>
    <x v="1"/>
    <x v="9"/>
    <x v="23"/>
    <s v="Corporate"/>
    <x v="4"/>
    <x v="2"/>
    <x v="3"/>
    <s v="High"/>
    <x v="159"/>
    <n v="1220.4100000000001"/>
    <n v="2552.2199999999998"/>
    <n v="2552.2199999999998"/>
    <x v="111"/>
    <n v="0.18099999999999999"/>
    <x v="0"/>
    <n v="14"/>
    <x v="159"/>
    <n v="17085.740000000002"/>
    <n v="12178.014519999993"/>
    <n v="0.41614668793360271"/>
  </r>
  <r>
    <x v="160"/>
    <x v="147"/>
    <x v="2"/>
    <s v="Q1-2023"/>
    <d v="2023-03-04T00:00:00"/>
    <d v="2023-02-20T00:00:00"/>
    <n v="12"/>
    <x v="0"/>
    <n v="0"/>
    <x v="1"/>
    <x v="4"/>
    <x v="18"/>
    <s v="Consumer"/>
    <x v="3"/>
    <x v="12"/>
    <x v="5"/>
    <s v="Low"/>
    <x v="160"/>
    <n v="299.75"/>
    <n v="523.01"/>
    <n v="523.01"/>
    <x v="87"/>
    <n v="0.157"/>
    <x v="0"/>
    <n v="50"/>
    <x v="160"/>
    <n v="14987.5"/>
    <n v="7057.3714999999975"/>
    <n v="0.32013665854210122"/>
  </r>
  <r>
    <x v="161"/>
    <x v="148"/>
    <x v="1"/>
    <s v="Q4-2024"/>
    <d v="2024-11-24T00:00:00"/>
    <d v="2024-10-30T00:00:00"/>
    <n v="25"/>
    <x v="0"/>
    <n v="0"/>
    <x v="1"/>
    <x v="9"/>
    <x v="14"/>
    <s v="Small Business"/>
    <x v="1"/>
    <x v="6"/>
    <x v="0"/>
    <s v="High"/>
    <x v="161"/>
    <n v="811.05"/>
    <n v="1217.71"/>
    <n v="1217.71"/>
    <x v="3"/>
    <n v="7.1999999999999995E-2"/>
    <x v="0"/>
    <n v="5"/>
    <x v="161"/>
    <n v="4055.25"/>
    <n v="1594.9244000000008"/>
    <n v="0.28227879125288602"/>
  </r>
  <r>
    <x v="162"/>
    <x v="149"/>
    <x v="20"/>
    <s v="Q2-2024"/>
    <d v="2024-04-07T00:00:00"/>
    <d v="2024-04-03T00:00:00"/>
    <n v="4"/>
    <x v="1"/>
    <n v="1"/>
    <x v="2"/>
    <x v="5"/>
    <x v="10"/>
    <s v="Non-Profit"/>
    <x v="4"/>
    <x v="13"/>
    <x v="3"/>
    <s v="High"/>
    <x v="162"/>
    <n v="1023.27"/>
    <n v="1343.64"/>
    <n v="1343.64"/>
    <x v="112"/>
    <n v="0.13300000000000001"/>
    <x v="0"/>
    <n v="7"/>
    <x v="162"/>
    <n v="7162.8899999999994"/>
    <n v="991.66116000000147"/>
    <n v="0.12160830688810116"/>
  </r>
  <r>
    <x v="163"/>
    <x v="150"/>
    <x v="22"/>
    <s v="Q1-2023"/>
    <d v="2023-03-26T00:00:00"/>
    <d v="2023-03-25T00:00:00"/>
    <n v="1"/>
    <x v="1"/>
    <n v="1"/>
    <x v="1"/>
    <x v="2"/>
    <x v="4"/>
    <s v="Small Business"/>
    <x v="3"/>
    <x v="2"/>
    <x v="5"/>
    <s v="Low"/>
    <x v="163"/>
    <n v="135.12"/>
    <n v="301.7"/>
    <n v="301.7"/>
    <x v="78"/>
    <n v="0.14000000000000001"/>
    <x v="0"/>
    <n v="47"/>
    <x v="163"/>
    <n v="6350.64"/>
    <n v="5844.0739999999996"/>
    <n v="0.47923009920527859"/>
  </r>
  <r>
    <x v="164"/>
    <x v="151"/>
    <x v="17"/>
    <s v="Q2-2024"/>
    <d v="2024-06-16T00:00:00"/>
    <d v="2024-06-04T00:00:00"/>
    <n v="12"/>
    <x v="0"/>
    <n v="0"/>
    <x v="1"/>
    <x v="9"/>
    <x v="23"/>
    <s v="Corporate"/>
    <x v="0"/>
    <x v="1"/>
    <x v="1"/>
    <s v="High"/>
    <x v="164"/>
    <n v="918.42"/>
    <n v="1511.71"/>
    <n v="1511.71"/>
    <x v="113"/>
    <n v="0.02"/>
    <x v="0"/>
    <n v="8"/>
    <x v="164"/>
    <n v="7347.36"/>
    <n v="4504.4463999999998"/>
    <n v="0.38006412254590999"/>
  </r>
  <r>
    <x v="165"/>
    <x v="152"/>
    <x v="2"/>
    <s v="Q1-2023"/>
    <d v="2023-03-12T00:00:00"/>
    <d v="2023-02-19T00:00:00"/>
    <n v="21"/>
    <x v="0"/>
    <n v="0"/>
    <x v="3"/>
    <x v="6"/>
    <x v="9"/>
    <s v="Small Business"/>
    <x v="4"/>
    <x v="4"/>
    <x v="5"/>
    <s v="High"/>
    <x v="165"/>
    <n v="1234.81"/>
    <n v="2055.2399999999998"/>
    <n v="2055.2399999999998"/>
    <x v="114"/>
    <n v="5.2999999999999999E-2"/>
    <x v="0"/>
    <n v="44"/>
    <x v="165"/>
    <n v="54331.64"/>
    <n v="31306.100319999998"/>
    <n v="0.36556429680441616"/>
  </r>
  <r>
    <x v="166"/>
    <x v="153"/>
    <x v="12"/>
    <s v="Q2-2023"/>
    <d v="2023-05-18T00:00:00"/>
    <d v="2023-04-18T00:00:00"/>
    <n v="30"/>
    <x v="0"/>
    <n v="0"/>
    <x v="1"/>
    <x v="9"/>
    <x v="14"/>
    <s v="Non-Profit"/>
    <x v="0"/>
    <x v="10"/>
    <x v="4"/>
    <s v="Low"/>
    <x v="166"/>
    <n v="329.03"/>
    <n v="391.15"/>
    <n v="391.15"/>
    <x v="115"/>
    <n v="0.19700000000000001"/>
    <x v="0"/>
    <n v="46"/>
    <x v="166"/>
    <n v="15135.38"/>
    <n v="-687.08130000000165"/>
    <n v="-4.7554477815440081E-2"/>
  </r>
  <r>
    <x v="167"/>
    <x v="154"/>
    <x v="7"/>
    <s v="Q2-2024"/>
    <d v="2024-06-14T00:00:00"/>
    <d v="2024-05-23T00:00:00"/>
    <n v="22"/>
    <x v="0"/>
    <n v="0"/>
    <x v="3"/>
    <x v="7"/>
    <x v="11"/>
    <s v="Small Business"/>
    <x v="1"/>
    <x v="13"/>
    <x v="5"/>
    <s v="High"/>
    <x v="167"/>
    <n v="1481.74"/>
    <n v="1848.97"/>
    <n v="1848.97"/>
    <x v="116"/>
    <n v="0.254"/>
    <x v="1"/>
    <n v="9"/>
    <x v="167"/>
    <n v="13335.66"/>
    <n v="-921.67541999999958"/>
    <n v="-7.4244930309072407E-2"/>
  </r>
  <r>
    <x v="168"/>
    <x v="155"/>
    <x v="32"/>
    <s v="Q4-2023"/>
    <d v="2023-10-23T00:00:00"/>
    <d v="2023-10-07T00:00:00"/>
    <n v="16"/>
    <x v="0"/>
    <n v="0"/>
    <x v="1"/>
    <x v="4"/>
    <x v="34"/>
    <s v="Consumer"/>
    <x v="0"/>
    <x v="3"/>
    <x v="5"/>
    <s v="High"/>
    <x v="168"/>
    <n v="906.81"/>
    <n v="1395.56"/>
    <n v="1395.56"/>
    <x v="57"/>
    <n v="0.185"/>
    <x v="0"/>
    <n v="6"/>
    <x v="168"/>
    <n v="5440.86"/>
    <n v="1383.4284000000007"/>
    <n v="0.20272126834498974"/>
  </r>
  <r>
    <x v="169"/>
    <x v="156"/>
    <x v="1"/>
    <s v="Q4-2024"/>
    <d v="2024-11-08T00:00:00"/>
    <d v="2024-10-09T00:00:00"/>
    <n v="30"/>
    <x v="0"/>
    <n v="0"/>
    <x v="3"/>
    <x v="8"/>
    <x v="31"/>
    <s v="Small Business"/>
    <x v="3"/>
    <x v="1"/>
    <x v="0"/>
    <s v="Low"/>
    <x v="169"/>
    <n v="343.85"/>
    <n v="538.04"/>
    <n v="538.04"/>
    <x v="23"/>
    <n v="0.13900000000000001"/>
    <x v="0"/>
    <n v="5"/>
    <x v="169"/>
    <n v="1719.25"/>
    <n v="597.01219999999967"/>
    <n v="0.25774810813732563"/>
  </r>
  <r>
    <x v="170"/>
    <x v="157"/>
    <x v="14"/>
    <s v="Q3-2024"/>
    <d v="2024-07-15T00:00:00"/>
    <d v="2024-07-15T00:00:00"/>
    <n v="0"/>
    <x v="1"/>
    <n v="1"/>
    <x v="1"/>
    <x v="2"/>
    <x v="27"/>
    <s v="Small Business"/>
    <x v="2"/>
    <x v="3"/>
    <x v="6"/>
    <s v="High"/>
    <x v="170"/>
    <n v="801.77"/>
    <n v="1218.92"/>
    <n v="1218.92"/>
    <x v="116"/>
    <n v="0.254"/>
    <x v="1"/>
    <n v="16"/>
    <x v="170"/>
    <n v="12828.32"/>
    <n v="1720.7091200000013"/>
    <n v="0.11826968698788344"/>
  </r>
  <r>
    <x v="171"/>
    <x v="158"/>
    <x v="27"/>
    <s v="Q3-2023"/>
    <d v="2023-10-10T00:00:00"/>
    <d v="2023-09-21T00:00:00"/>
    <n v="19"/>
    <x v="0"/>
    <n v="0"/>
    <x v="1"/>
    <x v="2"/>
    <x v="27"/>
    <s v="Education"/>
    <x v="1"/>
    <x v="14"/>
    <x v="0"/>
    <s v="High"/>
    <x v="171"/>
    <n v="845.63"/>
    <n v="2062.12"/>
    <n v="2062.12"/>
    <x v="61"/>
    <n v="0.13400000000000001"/>
    <x v="0"/>
    <n v="5"/>
    <x v="171"/>
    <n v="4228.1499999999996"/>
    <n v="4700.8295999999991"/>
    <n v="0.52646884757133949"/>
  </r>
  <r>
    <x v="172"/>
    <x v="159"/>
    <x v="2"/>
    <s v="Q1-2023"/>
    <d v="2023-03-09T00:00:00"/>
    <d v="2023-02-24T00:00:00"/>
    <n v="13"/>
    <x v="0"/>
    <n v="0"/>
    <x v="2"/>
    <x v="10"/>
    <x v="39"/>
    <s v="Enterprise"/>
    <x v="1"/>
    <x v="12"/>
    <x v="0"/>
    <s v="Low"/>
    <x v="172"/>
    <n v="6.85"/>
    <n v="10.18"/>
    <n v="10.18"/>
    <x v="58"/>
    <n v="4.7E-2"/>
    <x v="0"/>
    <n v="10"/>
    <x v="172"/>
    <n v="68.5"/>
    <n v="28.5154"/>
    <n v="0.2939265312517394"/>
  </r>
  <r>
    <x v="173"/>
    <x v="9"/>
    <x v="8"/>
    <s v="Q2-2025"/>
    <d v="2025-05-19T00:00:00"/>
    <d v="2025-05-28T00:00:00"/>
    <n v="-9"/>
    <x v="1"/>
    <n v="1"/>
    <x v="0"/>
    <x v="11"/>
    <x v="20"/>
    <s v="Non-Profit"/>
    <x v="3"/>
    <x v="7"/>
    <x v="4"/>
    <s v="High"/>
    <x v="173"/>
    <n v="1263.8399999999999"/>
    <n v="2281.7199999999998"/>
    <n v="2281.7199999999998"/>
    <x v="117"/>
    <n v="7.8E-2"/>
    <x v="0"/>
    <n v="15"/>
    <x v="173"/>
    <n v="18957.599999999999"/>
    <n v="12598.587599999999"/>
    <n v="0.39924301882398494"/>
  </r>
  <r>
    <x v="174"/>
    <x v="154"/>
    <x v="7"/>
    <s v="Q2-2024"/>
    <d v="2024-06-03T00:00:00"/>
    <d v="2024-05-23T00:00:00"/>
    <n v="11"/>
    <x v="0"/>
    <n v="0"/>
    <x v="0"/>
    <x v="11"/>
    <x v="20"/>
    <s v="Small Business"/>
    <x v="3"/>
    <x v="9"/>
    <x v="1"/>
    <s v="Low"/>
    <x v="174"/>
    <n v="180.89"/>
    <n v="249.57"/>
    <n v="249.57"/>
    <x v="118"/>
    <n v="2.1999999999999999E-2"/>
    <x v="0"/>
    <n v="8"/>
    <x v="174"/>
    <n v="1447.12"/>
    <n v="505.51567999999997"/>
    <n v="0.25888888806948362"/>
  </r>
  <r>
    <x v="175"/>
    <x v="160"/>
    <x v="19"/>
    <s v="Q2-2025"/>
    <d v="2025-05-04T00:00:00"/>
    <d v="2025-04-14T00:00:00"/>
    <n v="20"/>
    <x v="0"/>
    <n v="0"/>
    <x v="3"/>
    <x v="8"/>
    <x v="12"/>
    <s v="Enterprise"/>
    <x v="2"/>
    <x v="11"/>
    <x v="5"/>
    <s v="High"/>
    <x v="175"/>
    <n v="1413.87"/>
    <n v="3275"/>
    <n v="3275"/>
    <x v="48"/>
    <n v="0.255"/>
    <x v="1"/>
    <n v="38"/>
    <x v="175"/>
    <n v="53727.06"/>
    <n v="38988.19"/>
    <n v="0.42051539525590453"/>
  </r>
  <r>
    <x v="176"/>
    <x v="161"/>
    <x v="25"/>
    <s v="Q3-2023"/>
    <d v="2023-09-11T00:00:00"/>
    <d v="2023-08-27T00:00:00"/>
    <n v="15"/>
    <x v="0"/>
    <n v="0"/>
    <x v="3"/>
    <x v="8"/>
    <x v="21"/>
    <s v="Consumer"/>
    <x v="2"/>
    <x v="13"/>
    <x v="1"/>
    <s v="High"/>
    <x v="176"/>
    <n v="943.79"/>
    <n v="1913.76"/>
    <n v="1913.76"/>
    <x v="119"/>
    <n v="9.0999999999999998E-2"/>
    <x v="0"/>
    <n v="9"/>
    <x v="176"/>
    <n v="8494.11"/>
    <n v="7162.3605599999992"/>
    <n v="0.45746967891338081"/>
  </r>
  <r>
    <x v="177"/>
    <x v="162"/>
    <x v="31"/>
    <s v="Q1-2024"/>
    <d v="2024-02-21T00:00:00"/>
    <d v="2024-02-03T00:00:00"/>
    <n v="18"/>
    <x v="0"/>
    <n v="0"/>
    <x v="3"/>
    <x v="6"/>
    <x v="37"/>
    <s v="Corporate"/>
    <x v="0"/>
    <x v="10"/>
    <x v="0"/>
    <s v="Low"/>
    <x v="177"/>
    <n v="39.229999999999997"/>
    <n v="30.09"/>
    <n v="30.09"/>
    <x v="120"/>
    <n v="0.17699999999999999"/>
    <x v="0"/>
    <n v="13"/>
    <x v="177"/>
    <n v="509.98999999999995"/>
    <n v="-188.05708999999996"/>
    <n v="-0.58414993981199359"/>
  </r>
  <r>
    <x v="178"/>
    <x v="163"/>
    <x v="12"/>
    <s v="Q2-2023"/>
    <d v="2023-04-16T00:00:00"/>
    <d v="2023-04-05T00:00:00"/>
    <n v="11"/>
    <x v="0"/>
    <n v="0"/>
    <x v="2"/>
    <x v="3"/>
    <x v="26"/>
    <s v="Non-Profit"/>
    <x v="1"/>
    <x v="7"/>
    <x v="5"/>
    <s v="Low"/>
    <x v="178"/>
    <n v="213.1"/>
    <n v="501.31"/>
    <n v="501.31"/>
    <x v="121"/>
    <n v="5.6000000000000001E-2"/>
    <x v="0"/>
    <n v="15"/>
    <x v="178"/>
    <n v="3196.5"/>
    <n v="3902.0495999999994"/>
    <n v="0.54969674368409005"/>
  </r>
  <r>
    <x v="179"/>
    <x v="164"/>
    <x v="28"/>
    <s v="Q3-2025"/>
    <d v="2025-09-12T00:00:00"/>
    <d v="2025-08-21T00:00:00"/>
    <n v="22"/>
    <x v="0"/>
    <n v="0"/>
    <x v="1"/>
    <x v="9"/>
    <x v="14"/>
    <s v="Education"/>
    <x v="0"/>
    <x v="5"/>
    <x v="1"/>
    <s v="Low"/>
    <x v="179"/>
    <n v="352.66"/>
    <n v="411.18"/>
    <n v="411.18"/>
    <x v="122"/>
    <n v="0.17299999999999999"/>
    <x v="0"/>
    <n v="13"/>
    <x v="179"/>
    <n v="4584.58"/>
    <n v="-163.98382000000038"/>
    <n v="-3.7095408248758066E-2"/>
  </r>
  <r>
    <x v="180"/>
    <x v="165"/>
    <x v="11"/>
    <s v="Q3-2025"/>
    <d v="2025-09-18T00:00:00"/>
    <d v="2025-09-15T00:00:00"/>
    <n v="3"/>
    <x v="1"/>
    <n v="1"/>
    <x v="2"/>
    <x v="5"/>
    <x v="30"/>
    <s v="Non-Profit"/>
    <x v="4"/>
    <x v="4"/>
    <x v="6"/>
    <s v="Low"/>
    <x v="180"/>
    <n v="5.5"/>
    <n v="5.92"/>
    <n v="5.92"/>
    <x v="123"/>
    <n v="0.21199999999999999"/>
    <x v="1"/>
    <n v="4"/>
    <x v="180"/>
    <n v="22"/>
    <n v="-3.3401600000000009"/>
    <n v="-0.17900260666758133"/>
  </r>
  <r>
    <x v="181"/>
    <x v="166"/>
    <x v="1"/>
    <s v="Q4-2024"/>
    <d v="2024-10-11T00:00:00"/>
    <d v="2024-10-03T00:00:00"/>
    <n v="8"/>
    <x v="0"/>
    <n v="0"/>
    <x v="1"/>
    <x v="9"/>
    <x v="38"/>
    <s v="Enterprise"/>
    <x v="4"/>
    <x v="5"/>
    <x v="3"/>
    <s v="High"/>
    <x v="181"/>
    <n v="1132.6099999999999"/>
    <n v="2206.63"/>
    <n v="2206.63"/>
    <x v="96"/>
    <n v="6.3E-2"/>
    <x v="0"/>
    <n v="20"/>
    <x v="181"/>
    <n v="22652.199999999997"/>
    <n v="18700.046200000012"/>
    <n v="0.45221355351671338"/>
  </r>
  <r>
    <x v="182"/>
    <x v="167"/>
    <x v="26"/>
    <s v="Q1-2025"/>
    <d v="2025-03-04T00:00:00"/>
    <d v="2025-02-02T00:00:00"/>
    <n v="30"/>
    <x v="0"/>
    <n v="0"/>
    <x v="1"/>
    <x v="2"/>
    <x v="4"/>
    <s v="Education"/>
    <x v="3"/>
    <x v="4"/>
    <x v="6"/>
    <s v="High"/>
    <x v="182"/>
    <n v="766.59"/>
    <n v="1912.8"/>
    <n v="1912.8"/>
    <x v="124"/>
    <n v="0.19600000000000001"/>
    <x v="0"/>
    <n v="5"/>
    <x v="182"/>
    <n v="3832.9500000000003"/>
    <n v="3856.5059999999999"/>
    <n v="0.50153170783472845"/>
  </r>
  <r>
    <x v="183"/>
    <x v="66"/>
    <x v="25"/>
    <s v="Q3-2023"/>
    <d v="2023-08-23T00:00:00"/>
    <d v="2023-08-19T00:00:00"/>
    <n v="4"/>
    <x v="1"/>
    <n v="1"/>
    <x v="0"/>
    <x v="1"/>
    <x v="7"/>
    <s v="Small Business"/>
    <x v="1"/>
    <x v="1"/>
    <x v="5"/>
    <s v="High"/>
    <x v="183"/>
    <n v="790.63"/>
    <n v="1382.31"/>
    <n v="1382.31"/>
    <x v="27"/>
    <n v="0.10100000000000001"/>
    <x v="0"/>
    <n v="7"/>
    <x v="183"/>
    <n v="5534.41"/>
    <n v="3164.4668300000012"/>
    <n v="0.36377878338116448"/>
  </r>
  <r>
    <x v="184"/>
    <x v="168"/>
    <x v="1"/>
    <s v="Q4-2024"/>
    <d v="2024-10-29T00:00:00"/>
    <d v="2024-10-22T00:00:00"/>
    <n v="7"/>
    <x v="1"/>
    <n v="1"/>
    <x v="0"/>
    <x v="1"/>
    <x v="1"/>
    <s v="Enterprise"/>
    <x v="3"/>
    <x v="12"/>
    <x v="5"/>
    <s v="High"/>
    <x v="184"/>
    <n v="1023.06"/>
    <n v="1355.61"/>
    <n v="1355.61"/>
    <x v="125"/>
    <n v="0.153"/>
    <x v="0"/>
    <n v="23"/>
    <x v="184"/>
    <n v="23530.379999999997"/>
    <n v="2878.2584100000022"/>
    <n v="0.10898927711888809"/>
  </r>
  <r>
    <x v="185"/>
    <x v="169"/>
    <x v="23"/>
    <s v="Q2-2023"/>
    <d v="2023-07-21T00:00:00"/>
    <d v="2023-06-22T00:00:00"/>
    <n v="29"/>
    <x v="0"/>
    <n v="0"/>
    <x v="3"/>
    <x v="7"/>
    <x v="17"/>
    <s v="Corporate"/>
    <x v="0"/>
    <x v="1"/>
    <x v="6"/>
    <s v="High"/>
    <x v="185"/>
    <n v="734.34"/>
    <n v="887.9"/>
    <n v="887.9"/>
    <x v="109"/>
    <n v="2.5000000000000001E-2"/>
    <x v="0"/>
    <n v="12"/>
    <x v="185"/>
    <n v="8812.08"/>
    <n v="1576.3499999999985"/>
    <n v="0.15174092716608753"/>
  </r>
  <r>
    <x v="186"/>
    <x v="170"/>
    <x v="10"/>
    <s v="Q1-2025"/>
    <d v="2025-02-08T00:00:00"/>
    <d v="2025-01-13T00:00:00"/>
    <n v="26"/>
    <x v="0"/>
    <n v="0"/>
    <x v="3"/>
    <x v="7"/>
    <x v="28"/>
    <s v="Non-Profit"/>
    <x v="5"/>
    <x v="6"/>
    <x v="5"/>
    <s v="High"/>
    <x v="186"/>
    <n v="594.74"/>
    <n v="1020.69"/>
    <n v="1020.69"/>
    <x v="126"/>
    <n v="0.21099999999999999"/>
    <x v="1"/>
    <n v="6"/>
    <x v="186"/>
    <n v="3568.44"/>
    <n v="1263.5064600000001"/>
    <n v="0.26149016146176424"/>
  </r>
  <r>
    <x v="129"/>
    <x v="171"/>
    <x v="5"/>
    <s v="Q1-2023"/>
    <d v="2023-02-28T00:00:00"/>
    <d v="2023-01-29T00:00:00"/>
    <n v="30"/>
    <x v="0"/>
    <n v="0"/>
    <x v="1"/>
    <x v="4"/>
    <x v="6"/>
    <s v="Non-Profit"/>
    <x v="0"/>
    <x v="5"/>
    <x v="6"/>
    <s v="High"/>
    <x v="187"/>
    <n v="1262.0999999999999"/>
    <n v="1395.53"/>
    <n v="1395.53"/>
    <x v="127"/>
    <n v="0.23300000000000001"/>
    <x v="1"/>
    <n v="25"/>
    <x v="187"/>
    <n v="31552.499999999996"/>
    <n v="-4793.2122499999969"/>
    <n v="-0.17912331205452198"/>
  </r>
  <r>
    <x v="187"/>
    <x v="172"/>
    <x v="24"/>
    <s v="Q3-2023"/>
    <d v="2023-07-31T00:00:00"/>
    <d v="2023-07-19T00:00:00"/>
    <n v="12"/>
    <x v="0"/>
    <n v="0"/>
    <x v="2"/>
    <x v="5"/>
    <x v="30"/>
    <s v="Corporate"/>
    <x v="0"/>
    <x v="0"/>
    <x v="5"/>
    <s v="High"/>
    <x v="188"/>
    <n v="1334.64"/>
    <n v="2273.42"/>
    <n v="2273.42"/>
    <x v="85"/>
    <n v="0.11799999999999999"/>
    <x v="0"/>
    <n v="14"/>
    <x v="188"/>
    <n v="18684.960000000003"/>
    <n v="9387.2301599999992"/>
    <n v="0.33439607335575267"/>
  </r>
  <r>
    <x v="188"/>
    <x v="173"/>
    <x v="7"/>
    <s v="Q2-2024"/>
    <d v="2024-06-08T00:00:00"/>
    <d v="2024-05-19T00:00:00"/>
    <n v="20"/>
    <x v="0"/>
    <n v="0"/>
    <x v="2"/>
    <x v="5"/>
    <x v="10"/>
    <s v="Small Business"/>
    <x v="0"/>
    <x v="6"/>
    <x v="5"/>
    <s v="High"/>
    <x v="189"/>
    <n v="1075.9000000000001"/>
    <n v="1242.1500000000001"/>
    <n v="1242.1500000000001"/>
    <x v="84"/>
    <n v="1.2E-2"/>
    <x v="0"/>
    <n v="7"/>
    <x v="189"/>
    <n v="7531.3000000000011"/>
    <n v="1059.4094000000005"/>
    <n v="0.12332036280961853"/>
  </r>
  <r>
    <x v="189"/>
    <x v="162"/>
    <x v="31"/>
    <s v="Q1-2024"/>
    <d v="2024-02-19T00:00:00"/>
    <d v="2024-02-03T00:00:00"/>
    <n v="16"/>
    <x v="0"/>
    <n v="0"/>
    <x v="1"/>
    <x v="9"/>
    <x v="14"/>
    <s v="Small Business"/>
    <x v="1"/>
    <x v="10"/>
    <x v="4"/>
    <s v="High"/>
    <x v="190"/>
    <n v="993.75"/>
    <n v="1310.29"/>
    <n v="1310.29"/>
    <x v="66"/>
    <n v="0.215"/>
    <x v="1"/>
    <n v="19"/>
    <x v="190"/>
    <n v="18881.25"/>
    <n v="661.72535000000062"/>
    <n v="3.3860010471742245E-2"/>
  </r>
  <r>
    <x v="190"/>
    <x v="174"/>
    <x v="25"/>
    <s v="Q3-2023"/>
    <d v="2023-08-22T00:00:00"/>
    <d v="2023-08-08T00:00:00"/>
    <n v="14"/>
    <x v="0"/>
    <n v="0"/>
    <x v="3"/>
    <x v="8"/>
    <x v="12"/>
    <s v="Non-Profit"/>
    <x v="4"/>
    <x v="13"/>
    <x v="5"/>
    <s v="High"/>
    <x v="191"/>
    <n v="446.69"/>
    <n v="967.25"/>
    <n v="967.25"/>
    <x v="12"/>
    <n v="9.4E-2"/>
    <x v="0"/>
    <n v="10"/>
    <x v="191"/>
    <n v="4466.8999999999996"/>
    <n v="4296.3850000000002"/>
    <n v="0.49027105702941309"/>
  </r>
  <r>
    <x v="191"/>
    <x v="175"/>
    <x v="21"/>
    <s v="Q3-2024"/>
    <d v="2024-09-03T00:00:00"/>
    <d v="2024-08-12T00:00:00"/>
    <n v="22"/>
    <x v="0"/>
    <n v="0"/>
    <x v="2"/>
    <x v="10"/>
    <x v="36"/>
    <s v="Consumer"/>
    <x v="3"/>
    <x v="2"/>
    <x v="4"/>
    <s v="High"/>
    <x v="192"/>
    <n v="797.8"/>
    <n v="886.22"/>
    <n v="886.22"/>
    <x v="128"/>
    <n v="0.23599999999999999"/>
    <x v="1"/>
    <n v="36"/>
    <x v="192"/>
    <n v="28720.799999999999"/>
    <n v="-4346.2051199999987"/>
    <n v="-0.17830881462428633"/>
  </r>
  <r>
    <x v="192"/>
    <x v="176"/>
    <x v="32"/>
    <s v="Q4-2023"/>
    <d v="2023-11-13T00:00:00"/>
    <d v="2023-10-15T00:00:00"/>
    <n v="29"/>
    <x v="0"/>
    <n v="0"/>
    <x v="1"/>
    <x v="9"/>
    <x v="14"/>
    <s v="Non-Profit"/>
    <x v="3"/>
    <x v="1"/>
    <x v="1"/>
    <s v="High"/>
    <x v="193"/>
    <n v="986.44"/>
    <n v="790.61"/>
    <n v="790.61"/>
    <x v="3"/>
    <n v="7.1999999999999995E-2"/>
    <x v="0"/>
    <n v="6"/>
    <x v="193"/>
    <n v="5918.64"/>
    <n v="-1516.5235200000006"/>
    <n v="-0.34449872621271499"/>
  </r>
  <r>
    <x v="193"/>
    <x v="177"/>
    <x v="15"/>
    <s v="Q2-2023"/>
    <d v="2023-05-26T00:00:00"/>
    <d v="2023-05-04T00:00:00"/>
    <n v="22"/>
    <x v="0"/>
    <n v="0"/>
    <x v="2"/>
    <x v="10"/>
    <x v="24"/>
    <s v="Enterprise"/>
    <x v="1"/>
    <x v="1"/>
    <x v="2"/>
    <s v="Low"/>
    <x v="194"/>
    <n v="249.71"/>
    <n v="361.33"/>
    <n v="361.33"/>
    <x v="12"/>
    <n v="9.4E-2"/>
    <x v="0"/>
    <n v="12"/>
    <x v="194"/>
    <n v="2996.52"/>
    <n v="931.85976000000028"/>
    <n v="0.23721223937881206"/>
  </r>
  <r>
    <x v="194"/>
    <x v="178"/>
    <x v="29"/>
    <s v="Q3-2024"/>
    <d v="2024-10-01T00:00:00"/>
    <d v="2024-09-22T00:00:00"/>
    <n v="9"/>
    <x v="0"/>
    <n v="0"/>
    <x v="2"/>
    <x v="5"/>
    <x v="8"/>
    <s v="Non-Profit"/>
    <x v="1"/>
    <x v="11"/>
    <x v="5"/>
    <s v="High"/>
    <x v="195"/>
    <n v="1378.8"/>
    <n v="1952.04"/>
    <n v="1952.04"/>
    <x v="129"/>
    <n v="0.159"/>
    <x v="0"/>
    <n v="19"/>
    <x v="195"/>
    <n v="26197.200000000001"/>
    <n v="4994.4471599999997"/>
    <n v="0.16012130216723058"/>
  </r>
  <r>
    <x v="195"/>
    <x v="1"/>
    <x v="1"/>
    <s v="Q4-2024"/>
    <d v="2024-11-14T00:00:00"/>
    <d v="2024-10-23T00:00:00"/>
    <n v="22"/>
    <x v="0"/>
    <n v="0"/>
    <x v="1"/>
    <x v="2"/>
    <x v="4"/>
    <s v="Non-Profit"/>
    <x v="4"/>
    <x v="5"/>
    <x v="3"/>
    <s v="High"/>
    <x v="196"/>
    <n v="1406.4"/>
    <n v="1564.76"/>
    <n v="1564.76"/>
    <x v="57"/>
    <n v="0.185"/>
    <x v="0"/>
    <n v="17"/>
    <x v="196"/>
    <n v="23908.800000000003"/>
    <n v="-2229.0502000000051"/>
    <n v="-0.10281715520536151"/>
  </r>
  <r>
    <x v="196"/>
    <x v="179"/>
    <x v="31"/>
    <s v="Q1-2024"/>
    <d v="2024-03-03T00:00:00"/>
    <d v="2024-02-11T00:00:00"/>
    <n v="21"/>
    <x v="0"/>
    <n v="0"/>
    <x v="0"/>
    <x v="0"/>
    <x v="0"/>
    <s v="Enterprise"/>
    <x v="1"/>
    <x v="5"/>
    <x v="3"/>
    <s v="High"/>
    <x v="197"/>
    <n v="516.86"/>
    <n v="852.54"/>
    <n v="852.54"/>
    <x v="130"/>
    <n v="5.0999999999999997E-2"/>
    <x v="0"/>
    <n v="14"/>
    <x v="197"/>
    <n v="7236.04"/>
    <n v="4090.8064399999994"/>
    <n v="0.36116022775355994"/>
  </r>
  <r>
    <x v="197"/>
    <x v="180"/>
    <x v="5"/>
    <s v="Q1-2023"/>
    <d v="2023-02-21T00:00:00"/>
    <d v="2023-01-30T00:00:00"/>
    <n v="22"/>
    <x v="0"/>
    <n v="0"/>
    <x v="3"/>
    <x v="6"/>
    <x v="22"/>
    <s v="Small Business"/>
    <x v="2"/>
    <x v="3"/>
    <x v="2"/>
    <s v="High"/>
    <x v="198"/>
    <n v="1142.8800000000001"/>
    <n v="1465.29"/>
    <n v="1465.29"/>
    <x v="63"/>
    <n v="0.186"/>
    <x v="0"/>
    <n v="7"/>
    <x v="198"/>
    <n v="8000.1600000000008"/>
    <n v="349.06241999999929"/>
    <n v="4.1807775915017401E-2"/>
  </r>
  <r>
    <x v="198"/>
    <x v="27"/>
    <x v="12"/>
    <s v="Q2-2023"/>
    <d v="2023-05-13T00:00:00"/>
    <d v="2023-04-14T00:00:00"/>
    <n v="29"/>
    <x v="0"/>
    <n v="0"/>
    <x v="3"/>
    <x v="6"/>
    <x v="37"/>
    <s v="Consumer"/>
    <x v="4"/>
    <x v="1"/>
    <x v="1"/>
    <s v="High"/>
    <x v="199"/>
    <n v="1320.33"/>
    <n v="2645.23"/>
    <n v="2645.23"/>
    <x v="131"/>
    <n v="0.155"/>
    <x v="0"/>
    <n v="25"/>
    <x v="199"/>
    <n v="33008.25"/>
    <n v="22872.233749999999"/>
    <n v="0.40930629470436536"/>
  </r>
  <r>
    <x v="199"/>
    <x v="181"/>
    <x v="5"/>
    <s v="Q1-2023"/>
    <d v="2023-01-19T00:00:00"/>
    <d v="2023-01-13T00:00:00"/>
    <n v="6"/>
    <x v="1"/>
    <n v="1"/>
    <x v="2"/>
    <x v="10"/>
    <x v="15"/>
    <s v="Corporate"/>
    <x v="4"/>
    <x v="10"/>
    <x v="3"/>
    <s v="High"/>
    <x v="200"/>
    <n v="833.57"/>
    <n v="881.57"/>
    <n v="881.57"/>
    <x v="92"/>
    <n v="5.7000000000000002E-2"/>
    <x v="0"/>
    <n v="18"/>
    <x v="200"/>
    <n v="15004.26"/>
    <n v="-40.490820000000895"/>
    <n v="-2.7059238560107821E-3"/>
  </r>
  <r>
    <x v="200"/>
    <x v="182"/>
    <x v="9"/>
    <s v="Q1-2024"/>
    <d v="2024-01-29T00:00:00"/>
    <d v="2024-01-12T00:00:00"/>
    <n v="17"/>
    <x v="0"/>
    <n v="0"/>
    <x v="2"/>
    <x v="10"/>
    <x v="15"/>
    <s v="Education"/>
    <x v="3"/>
    <x v="8"/>
    <x v="1"/>
    <s v="High"/>
    <x v="201"/>
    <n v="493.76"/>
    <n v="625.04"/>
    <n v="625.04"/>
    <x v="132"/>
    <n v="0.25800000000000001"/>
    <x v="1"/>
    <n v="10"/>
    <x v="201"/>
    <n v="4937.6000000000004"/>
    <n v="-299.80320000000029"/>
    <n v="-6.464345311549663E-2"/>
  </r>
  <r>
    <x v="201"/>
    <x v="183"/>
    <x v="25"/>
    <s v="Q3-2023"/>
    <d v="2023-09-07T00:00:00"/>
    <d v="2023-08-15T00:00:00"/>
    <n v="23"/>
    <x v="0"/>
    <n v="0"/>
    <x v="2"/>
    <x v="10"/>
    <x v="39"/>
    <s v="Enterprise"/>
    <x v="1"/>
    <x v="11"/>
    <x v="3"/>
    <s v="High"/>
    <x v="202"/>
    <n v="590.33000000000004"/>
    <n v="973.04"/>
    <n v="973.04"/>
    <x v="5"/>
    <n v="0"/>
    <x v="0"/>
    <n v="26"/>
    <x v="202"/>
    <n v="15348.580000000002"/>
    <n v="9950.4599999999991"/>
    <n v="0.39331373838691108"/>
  </r>
  <r>
    <x v="202"/>
    <x v="184"/>
    <x v="5"/>
    <s v="Q1-2023"/>
    <d v="2023-02-03T00:00:00"/>
    <d v="2023-01-20T00:00:00"/>
    <n v="14"/>
    <x v="0"/>
    <n v="0"/>
    <x v="0"/>
    <x v="0"/>
    <x v="0"/>
    <s v="Corporate"/>
    <x v="0"/>
    <x v="12"/>
    <x v="2"/>
    <s v="High"/>
    <x v="203"/>
    <n v="884.36"/>
    <n v="1545.34"/>
    <n v="1545.34"/>
    <x v="28"/>
    <n v="0.24299999999999999"/>
    <x v="1"/>
    <n v="41"/>
    <x v="203"/>
    <n v="36258.76"/>
    <n v="11703.957579999995"/>
    <n v="0.24402198562827965"/>
  </r>
  <r>
    <x v="203"/>
    <x v="185"/>
    <x v="26"/>
    <s v="Q1-2025"/>
    <d v="2025-02-25T00:00:00"/>
    <d v="2025-02-04T00:00:00"/>
    <n v="21"/>
    <x v="0"/>
    <n v="0"/>
    <x v="3"/>
    <x v="8"/>
    <x v="12"/>
    <s v="Corporate"/>
    <x v="2"/>
    <x v="14"/>
    <x v="5"/>
    <s v="High"/>
    <x v="204"/>
    <n v="1016.32"/>
    <n v="2253.42"/>
    <n v="2253.42"/>
    <x v="133"/>
    <n v="5.5E-2"/>
    <x v="0"/>
    <n v="12"/>
    <x v="204"/>
    <n v="12195.84"/>
    <n v="13357.942800000001"/>
    <n v="0.52273837124419797"/>
  </r>
  <r>
    <x v="204"/>
    <x v="43"/>
    <x v="12"/>
    <s v="Q2-2023"/>
    <d v="2023-04-28T00:00:00"/>
    <d v="2023-04-19T00:00:00"/>
    <n v="9"/>
    <x v="0"/>
    <n v="0"/>
    <x v="3"/>
    <x v="6"/>
    <x v="9"/>
    <s v="Education"/>
    <x v="1"/>
    <x v="6"/>
    <x v="5"/>
    <s v="High"/>
    <x v="205"/>
    <n v="1178.42"/>
    <n v="2446.56"/>
    <n v="2446.56"/>
    <x v="134"/>
    <n v="2.9000000000000001E-2"/>
    <x v="0"/>
    <n v="11"/>
    <x v="205"/>
    <n v="12962.62"/>
    <n v="13169.08736"/>
    <n v="0.5039505141618883"/>
  </r>
  <r>
    <x v="205"/>
    <x v="186"/>
    <x v="24"/>
    <s v="Q3-2023"/>
    <d v="2023-08-01T00:00:00"/>
    <d v="2023-07-02T00:00:00"/>
    <n v="30"/>
    <x v="0"/>
    <n v="0"/>
    <x v="3"/>
    <x v="8"/>
    <x v="12"/>
    <s v="Small Business"/>
    <x v="0"/>
    <x v="5"/>
    <x v="0"/>
    <s v="Low"/>
    <x v="206"/>
    <n v="137.46"/>
    <n v="188.3"/>
    <n v="188.3"/>
    <x v="16"/>
    <n v="3.7999999999999999E-2"/>
    <x v="0"/>
    <n v="37"/>
    <x v="206"/>
    <n v="5086.0200000000004"/>
    <n v="1616.3301999999994"/>
    <n v="0.24115872071262398"/>
  </r>
  <r>
    <x v="206"/>
    <x v="51"/>
    <x v="10"/>
    <s v="Q1-2025"/>
    <d v="2025-02-14T00:00:00"/>
    <d v="2025-01-21T00:00:00"/>
    <n v="24"/>
    <x v="0"/>
    <n v="0"/>
    <x v="0"/>
    <x v="0"/>
    <x v="2"/>
    <s v="Small Business"/>
    <x v="0"/>
    <x v="1"/>
    <x v="6"/>
    <s v="High"/>
    <x v="207"/>
    <n v="1030.44"/>
    <n v="2562.84"/>
    <n v="2562.84"/>
    <x v="135"/>
    <n v="0.14799999999999999"/>
    <x v="0"/>
    <n v="13"/>
    <x v="207"/>
    <n v="13395.720000000001"/>
    <n v="14990.295839999995"/>
    <n v="0.52808734852027039"/>
  </r>
  <r>
    <x v="207"/>
    <x v="187"/>
    <x v="29"/>
    <s v="Q3-2024"/>
    <d v="2024-10-07T00:00:00"/>
    <d v="2024-09-10T00:00:00"/>
    <n v="27"/>
    <x v="0"/>
    <n v="0"/>
    <x v="0"/>
    <x v="0"/>
    <x v="0"/>
    <s v="Consumer"/>
    <x v="0"/>
    <x v="4"/>
    <x v="1"/>
    <s v="High"/>
    <x v="208"/>
    <n v="1248.3900000000001"/>
    <n v="1805.11"/>
    <n v="1805.11"/>
    <x v="91"/>
    <n v="0.20300000000000001"/>
    <x v="1"/>
    <n v="11"/>
    <x v="208"/>
    <n v="13732.29"/>
    <n v="2093.1093699999965"/>
    <n v="0.13226265707820786"/>
  </r>
  <r>
    <x v="208"/>
    <x v="188"/>
    <x v="13"/>
    <s v="Q3-2025"/>
    <d v="2025-08-07T00:00:00"/>
    <d v="2025-07-21T00:00:00"/>
    <n v="17"/>
    <x v="0"/>
    <n v="0"/>
    <x v="0"/>
    <x v="1"/>
    <x v="3"/>
    <s v="Enterprise"/>
    <x v="4"/>
    <x v="12"/>
    <x v="6"/>
    <s v="High"/>
    <x v="209"/>
    <n v="1204.95"/>
    <n v="2065.73"/>
    <n v="2065.73"/>
    <x v="29"/>
    <n v="0.13600000000000001"/>
    <x v="0"/>
    <n v="10"/>
    <x v="209"/>
    <n v="12049.5"/>
    <n v="5798.4071999999978"/>
    <n v="0.32487882949100039"/>
  </r>
  <r>
    <x v="209"/>
    <x v="189"/>
    <x v="1"/>
    <s v="Q4-2024"/>
    <d v="2024-10-23T00:00:00"/>
    <d v="2024-10-02T00:00:00"/>
    <n v="21"/>
    <x v="0"/>
    <n v="0"/>
    <x v="0"/>
    <x v="11"/>
    <x v="25"/>
    <s v="Corporate"/>
    <x v="2"/>
    <x v="8"/>
    <x v="0"/>
    <s v="High"/>
    <x v="210"/>
    <n v="1095.6099999999999"/>
    <n v="2366.5100000000002"/>
    <n v="2366.5100000000002"/>
    <x v="136"/>
    <n v="0.152"/>
    <x v="0"/>
    <n v="9"/>
    <x v="210"/>
    <n v="9860.49"/>
    <n v="8200.7143200000046"/>
    <n v="0.4540513564158607"/>
  </r>
  <r>
    <x v="210"/>
    <x v="190"/>
    <x v="13"/>
    <s v="Q3-2025"/>
    <d v="2025-08-04T00:00:00"/>
    <d v="2025-07-14T00:00:00"/>
    <n v="21"/>
    <x v="0"/>
    <n v="0"/>
    <x v="2"/>
    <x v="3"/>
    <x v="19"/>
    <s v="Consumer"/>
    <x v="1"/>
    <x v="10"/>
    <x v="5"/>
    <s v="Low"/>
    <x v="211"/>
    <n v="90.3"/>
    <n v="131.76"/>
    <n v="131.76"/>
    <x v="4"/>
    <n v="0.10199999999999999"/>
    <x v="0"/>
    <n v="15"/>
    <x v="211"/>
    <n v="1354.5"/>
    <n v="420.30719999999997"/>
    <n v="0.23681851189244668"/>
  </r>
  <r>
    <x v="211"/>
    <x v="191"/>
    <x v="29"/>
    <s v="Q3-2024"/>
    <d v="2024-10-01T00:00:00"/>
    <d v="2024-09-09T00:00:00"/>
    <n v="22"/>
    <x v="0"/>
    <n v="0"/>
    <x v="1"/>
    <x v="9"/>
    <x v="14"/>
    <s v="Consumer"/>
    <x v="4"/>
    <x v="4"/>
    <x v="1"/>
    <s v="High"/>
    <x v="212"/>
    <n v="1166.18"/>
    <n v="1335.02"/>
    <n v="1335.02"/>
    <x v="137"/>
    <n v="0.128"/>
    <x v="0"/>
    <n v="6"/>
    <x v="212"/>
    <n v="6997.08"/>
    <n v="-12.25536000000011"/>
    <n v="-1.7545694604582242E-3"/>
  </r>
  <r>
    <x v="212"/>
    <x v="192"/>
    <x v="10"/>
    <s v="Q1-2025"/>
    <d v="2025-02-06T00:00:00"/>
    <d v="2025-01-29T00:00:00"/>
    <n v="8"/>
    <x v="0"/>
    <n v="0"/>
    <x v="0"/>
    <x v="0"/>
    <x v="0"/>
    <s v="Education"/>
    <x v="0"/>
    <x v="5"/>
    <x v="3"/>
    <s v="High"/>
    <x v="213"/>
    <n v="1445.27"/>
    <n v="2691.45"/>
    <n v="2691.45"/>
    <x v="5"/>
    <n v="0"/>
    <x v="0"/>
    <n v="9"/>
    <x v="213"/>
    <n v="13007.43"/>
    <n v="11215.619999999999"/>
    <n v="0.46301436028906351"/>
  </r>
  <r>
    <x v="213"/>
    <x v="193"/>
    <x v="30"/>
    <s v="Q4-2023"/>
    <d v="2023-11-28T00:00:00"/>
    <d v="2023-11-10T00:00:00"/>
    <n v="18"/>
    <x v="0"/>
    <n v="0"/>
    <x v="2"/>
    <x v="5"/>
    <x v="10"/>
    <s v="Education"/>
    <x v="2"/>
    <x v="4"/>
    <x v="6"/>
    <s v="High"/>
    <x v="214"/>
    <n v="388.51"/>
    <n v="776.46"/>
    <n v="776.46"/>
    <x v="87"/>
    <n v="0.157"/>
    <x v="0"/>
    <n v="12"/>
    <x v="214"/>
    <n v="4662.12"/>
    <n v="3192.54936"/>
    <n v="0.40645241876864946"/>
  </r>
  <r>
    <x v="214"/>
    <x v="194"/>
    <x v="31"/>
    <s v="Q1-2024"/>
    <d v="2024-03-30T00:00:00"/>
    <d v="2024-02-29T00:00:00"/>
    <n v="30"/>
    <x v="0"/>
    <n v="0"/>
    <x v="1"/>
    <x v="2"/>
    <x v="32"/>
    <s v="Small Business"/>
    <x v="4"/>
    <x v="2"/>
    <x v="2"/>
    <s v="Low"/>
    <x v="215"/>
    <n v="231.11"/>
    <n v="318.17"/>
    <n v="318.17"/>
    <x v="138"/>
    <n v="0.20100000000000001"/>
    <x v="1"/>
    <n v="60"/>
    <x v="215"/>
    <n v="13866.6"/>
    <n v="1386.4697999999989"/>
    <n v="9.0897754889969692E-2"/>
  </r>
  <r>
    <x v="215"/>
    <x v="195"/>
    <x v="4"/>
    <s v="Q4-2023"/>
    <d v="2024-01-14T00:00:00"/>
    <d v="2023-12-20T00:00:00"/>
    <n v="25"/>
    <x v="0"/>
    <n v="0"/>
    <x v="1"/>
    <x v="4"/>
    <x v="29"/>
    <s v="Non-Profit"/>
    <x v="2"/>
    <x v="4"/>
    <x v="5"/>
    <s v="High"/>
    <x v="216"/>
    <n v="1085.6099999999999"/>
    <n v="1246.4100000000001"/>
    <n v="1246.4100000000001"/>
    <x v="139"/>
    <n v="0.113"/>
    <x v="0"/>
    <n v="7"/>
    <x v="216"/>
    <n v="7599.2699999999995"/>
    <n v="139.68969000000106"/>
    <n v="1.8050189637310417E-2"/>
  </r>
  <r>
    <x v="216"/>
    <x v="119"/>
    <x v="5"/>
    <s v="Q1-2023"/>
    <d v="2023-01-21T00:00:00"/>
    <d v="2023-01-29T00:00:00"/>
    <n v="-8"/>
    <x v="1"/>
    <n v="1"/>
    <x v="3"/>
    <x v="6"/>
    <x v="22"/>
    <s v="Corporate"/>
    <x v="4"/>
    <x v="9"/>
    <x v="5"/>
    <s v="Low"/>
    <x v="217"/>
    <n v="150.86000000000001"/>
    <n v="346.96"/>
    <n v="346.96"/>
    <x v="124"/>
    <n v="0.19600000000000001"/>
    <x v="0"/>
    <n v="8"/>
    <x v="217"/>
    <n v="1206.8800000000001"/>
    <n v="1024.7667200000001"/>
    <n v="0.45919755614365343"/>
  </r>
  <r>
    <x v="217"/>
    <x v="196"/>
    <x v="1"/>
    <s v="Q4-2024"/>
    <d v="2024-11-09T00:00:00"/>
    <d v="2024-10-11T00:00:00"/>
    <n v="29"/>
    <x v="0"/>
    <n v="0"/>
    <x v="1"/>
    <x v="9"/>
    <x v="23"/>
    <s v="Non-Profit"/>
    <x v="1"/>
    <x v="9"/>
    <x v="1"/>
    <s v="Low"/>
    <x v="218"/>
    <n v="391.64"/>
    <n v="504.76"/>
    <n v="504.76"/>
    <x v="140"/>
    <n v="4.0000000000000001E-3"/>
    <x v="0"/>
    <n v="13"/>
    <x v="218"/>
    <n v="5091.32"/>
    <n v="1444.3124800000005"/>
    <n v="0.22099046793402319"/>
  </r>
  <r>
    <x v="218"/>
    <x v="197"/>
    <x v="29"/>
    <s v="Q3-2024"/>
    <d v="2024-10-14T00:00:00"/>
    <d v="2024-09-19T00:00:00"/>
    <n v="25"/>
    <x v="0"/>
    <n v="0"/>
    <x v="2"/>
    <x v="5"/>
    <x v="30"/>
    <s v="Small Business"/>
    <x v="0"/>
    <x v="11"/>
    <x v="1"/>
    <s v="High"/>
    <x v="219"/>
    <n v="386.96"/>
    <n v="937.46"/>
    <n v="937.46"/>
    <x v="141"/>
    <n v="0.26600000000000001"/>
    <x v="1"/>
    <n v="41"/>
    <x v="219"/>
    <n v="15865.359999999999"/>
    <n v="12346.561240000001"/>
    <n v="0.43763631462626335"/>
  </r>
  <r>
    <x v="219"/>
    <x v="198"/>
    <x v="28"/>
    <s v="Q3-2025"/>
    <d v="2025-09-24T00:00:00"/>
    <d v="2025-08-25T00:00:00"/>
    <n v="30"/>
    <x v="0"/>
    <n v="0"/>
    <x v="0"/>
    <x v="0"/>
    <x v="2"/>
    <s v="Consumer"/>
    <x v="4"/>
    <x v="5"/>
    <x v="0"/>
    <s v="High"/>
    <x v="220"/>
    <n v="589.14"/>
    <n v="1300.58"/>
    <n v="1300.58"/>
    <x v="133"/>
    <n v="5.5E-2"/>
    <x v="0"/>
    <n v="11"/>
    <x v="220"/>
    <n v="6480.54"/>
    <n v="7038.989099999998"/>
    <n v="0.52065342275863724"/>
  </r>
  <r>
    <x v="220"/>
    <x v="199"/>
    <x v="27"/>
    <s v="Q3-2023"/>
    <d v="2023-10-02T00:00:00"/>
    <d v="2023-09-25T00:00:00"/>
    <n v="7"/>
    <x v="1"/>
    <n v="1"/>
    <x v="2"/>
    <x v="10"/>
    <x v="39"/>
    <s v="Education"/>
    <x v="2"/>
    <x v="2"/>
    <x v="6"/>
    <s v="Low"/>
    <x v="221"/>
    <n v="145.58000000000001"/>
    <n v="228.15"/>
    <n v="228.15"/>
    <x v="53"/>
    <n v="0.20399999999999999"/>
    <x v="1"/>
    <n v="5"/>
    <x v="221"/>
    <n v="727.90000000000009"/>
    <n v="180.13699999999994"/>
    <n v="0.19838068272548359"/>
  </r>
  <r>
    <x v="221"/>
    <x v="200"/>
    <x v="25"/>
    <s v="Q3-2023"/>
    <d v="2023-09-10T00:00:00"/>
    <d v="2023-08-26T00:00:00"/>
    <n v="15"/>
    <x v="0"/>
    <n v="0"/>
    <x v="0"/>
    <x v="11"/>
    <x v="33"/>
    <s v="Non-Profit"/>
    <x v="4"/>
    <x v="13"/>
    <x v="0"/>
    <s v="Low"/>
    <x v="222"/>
    <n v="241.14"/>
    <n v="496.52"/>
    <n v="496.52"/>
    <x v="142"/>
    <n v="9.2999999999999999E-2"/>
    <x v="0"/>
    <n v="10"/>
    <x v="222"/>
    <n v="2411.3999999999996"/>
    <n v="2092.0364"/>
    <n v="0.46454223268257994"/>
  </r>
  <r>
    <x v="222"/>
    <x v="201"/>
    <x v="13"/>
    <s v="Q3-2025"/>
    <d v="2025-07-17T00:00:00"/>
    <d v="2025-07-16T00:00:00"/>
    <n v="1"/>
    <x v="1"/>
    <n v="1"/>
    <x v="0"/>
    <x v="11"/>
    <x v="25"/>
    <s v="Small Business"/>
    <x v="3"/>
    <x v="5"/>
    <x v="2"/>
    <s v="High"/>
    <x v="223"/>
    <n v="1198.9000000000001"/>
    <n v="2941.2"/>
    <n v="2941.2"/>
    <x v="130"/>
    <n v="5.0999999999999997E-2"/>
    <x v="0"/>
    <n v="24"/>
    <x v="223"/>
    <n v="28773.600000000002"/>
    <n v="38215.171199999982"/>
    <n v="0.57047129713583977"/>
  </r>
  <r>
    <x v="223"/>
    <x v="43"/>
    <x v="12"/>
    <s v="Q2-2023"/>
    <d v="2023-05-07T00:00:00"/>
    <d v="2023-04-19T00:00:00"/>
    <n v="18"/>
    <x v="0"/>
    <n v="0"/>
    <x v="3"/>
    <x v="8"/>
    <x v="12"/>
    <s v="Enterprise"/>
    <x v="0"/>
    <x v="13"/>
    <x v="4"/>
    <s v="High"/>
    <x v="224"/>
    <n v="1089.1500000000001"/>
    <n v="1088.2"/>
    <n v="1088.2"/>
    <x v="130"/>
    <n v="5.0999999999999997E-2"/>
    <x v="0"/>
    <n v="15"/>
    <x v="224"/>
    <n v="16337.250000000002"/>
    <n v="-846.72300000000178"/>
    <n v="-5.4660696824582002E-2"/>
  </r>
  <r>
    <x v="224"/>
    <x v="202"/>
    <x v="4"/>
    <s v="Q4-2023"/>
    <d v="2023-12-20T00:00:00"/>
    <d v="2023-12-19T00:00:00"/>
    <n v="1"/>
    <x v="1"/>
    <n v="1"/>
    <x v="2"/>
    <x v="5"/>
    <x v="30"/>
    <s v="Consumer"/>
    <x v="3"/>
    <x v="1"/>
    <x v="3"/>
    <s v="High"/>
    <x v="225"/>
    <n v="1080.43"/>
    <n v="2529.15"/>
    <n v="2529.15"/>
    <x v="6"/>
    <n v="0.14699999999999999"/>
    <x v="0"/>
    <n v="10"/>
    <x v="225"/>
    <n v="10804.300000000001"/>
    <n v="10769.349499999998"/>
    <n v="0.49918997247081437"/>
  </r>
  <r>
    <x v="225"/>
    <x v="203"/>
    <x v="24"/>
    <s v="Q3-2023"/>
    <d v="2023-08-07T00:00:00"/>
    <d v="2023-07-30T00:00:00"/>
    <n v="8"/>
    <x v="0"/>
    <n v="0"/>
    <x v="1"/>
    <x v="2"/>
    <x v="32"/>
    <s v="Education"/>
    <x v="2"/>
    <x v="8"/>
    <x v="2"/>
    <s v="High"/>
    <x v="226"/>
    <n v="1352.44"/>
    <n v="2698.01"/>
    <n v="2698.01"/>
    <x v="2"/>
    <n v="0.13100000000000001"/>
    <x v="0"/>
    <n v="13"/>
    <x v="226"/>
    <n v="17581.72"/>
    <n v="12897.698970000001"/>
    <n v="0.42316091992090887"/>
  </r>
  <r>
    <x v="226"/>
    <x v="204"/>
    <x v="32"/>
    <s v="Q4-2023"/>
    <d v="2023-10-29T00:00:00"/>
    <d v="2023-10-04T00:00:00"/>
    <n v="25"/>
    <x v="0"/>
    <n v="0"/>
    <x v="2"/>
    <x v="10"/>
    <x v="24"/>
    <s v="Small Business"/>
    <x v="3"/>
    <x v="7"/>
    <x v="6"/>
    <s v="High"/>
    <x v="227"/>
    <n v="1239.8399999999999"/>
    <n v="1482.75"/>
    <n v="1482.75"/>
    <x v="143"/>
    <n v="6.7000000000000004E-2"/>
    <x v="0"/>
    <n v="4"/>
    <x v="227"/>
    <n v="4959.3599999999997"/>
    <n v="574.26300000000083"/>
    <n v="0.10377703721413634"/>
  </r>
  <r>
    <x v="227"/>
    <x v="205"/>
    <x v="28"/>
    <s v="Q3-2025"/>
    <d v="2025-08-30T00:00:00"/>
    <d v="2025-08-10T00:00:00"/>
    <n v="20"/>
    <x v="0"/>
    <n v="0"/>
    <x v="2"/>
    <x v="10"/>
    <x v="24"/>
    <s v="Corporate"/>
    <x v="2"/>
    <x v="11"/>
    <x v="1"/>
    <s v="High"/>
    <x v="228"/>
    <n v="933.29"/>
    <n v="1456.81"/>
    <n v="1456.81"/>
    <x v="82"/>
    <n v="0.123"/>
    <x v="0"/>
    <n v="13"/>
    <x v="228"/>
    <n v="12132.77"/>
    <n v="4476.3208099999974"/>
    <n v="0.26951028573489977"/>
  </r>
  <r>
    <x v="228"/>
    <x v="206"/>
    <x v="22"/>
    <s v="Q1-2023"/>
    <d v="2023-04-01T00:00:00"/>
    <d v="2023-03-07T00:00:00"/>
    <n v="25"/>
    <x v="0"/>
    <n v="0"/>
    <x v="0"/>
    <x v="0"/>
    <x v="2"/>
    <s v="Consumer"/>
    <x v="2"/>
    <x v="14"/>
    <x v="1"/>
    <s v="High"/>
    <x v="229"/>
    <n v="1024.0999999999999"/>
    <n v="918.19"/>
    <n v="918.19"/>
    <x v="51"/>
    <n v="0.189"/>
    <x v="0"/>
    <n v="10"/>
    <x v="229"/>
    <n v="10241"/>
    <n v="-2794.4790999999996"/>
    <n v="-0.37527311579827827"/>
  </r>
  <r>
    <x v="229"/>
    <x v="207"/>
    <x v="15"/>
    <s v="Q2-2023"/>
    <d v="2023-06-10T00:00:00"/>
    <d v="2023-05-23T00:00:00"/>
    <n v="18"/>
    <x v="0"/>
    <n v="0"/>
    <x v="1"/>
    <x v="9"/>
    <x v="23"/>
    <s v="Corporate"/>
    <x v="3"/>
    <x v="6"/>
    <x v="0"/>
    <s v="Low"/>
    <x v="230"/>
    <n v="54.62"/>
    <n v="48.94"/>
    <n v="48.94"/>
    <x v="135"/>
    <n v="0.14799999999999999"/>
    <x v="0"/>
    <n v="16"/>
    <x v="230"/>
    <n v="873.92"/>
    <n v="-206.76991999999996"/>
    <n v="-0.3099301434543783"/>
  </r>
  <r>
    <x v="230"/>
    <x v="208"/>
    <x v="19"/>
    <s v="Q2-2025"/>
    <d v="2025-05-06T00:00:00"/>
    <d v="2025-04-24T00:00:00"/>
    <n v="12"/>
    <x v="0"/>
    <n v="0"/>
    <x v="2"/>
    <x v="5"/>
    <x v="10"/>
    <s v="Consumer"/>
    <x v="1"/>
    <x v="0"/>
    <x v="3"/>
    <s v="High"/>
    <x v="231"/>
    <n v="394.13"/>
    <n v="932.29"/>
    <n v="932.29"/>
    <x v="14"/>
    <n v="0.109"/>
    <x v="0"/>
    <n v="7"/>
    <x v="231"/>
    <n v="2758.91"/>
    <n v="3055.7827299999999"/>
    <n v="0.5255278089303268"/>
  </r>
  <r>
    <x v="231"/>
    <x v="209"/>
    <x v="29"/>
    <s v="Q3-2024"/>
    <d v="2024-09-08T00:00:00"/>
    <d v="2024-09-03T00:00:00"/>
    <n v="5"/>
    <x v="1"/>
    <n v="1"/>
    <x v="0"/>
    <x v="1"/>
    <x v="3"/>
    <s v="Small Business"/>
    <x v="4"/>
    <x v="11"/>
    <x v="1"/>
    <s v="Low"/>
    <x v="232"/>
    <n v="197.63"/>
    <n v="325.79000000000002"/>
    <n v="325.79000000000002"/>
    <x v="144"/>
    <n v="0.11600000000000001"/>
    <x v="0"/>
    <n v="10"/>
    <x v="232"/>
    <n v="1976.3"/>
    <n v="903.68360000000007"/>
    <n v="0.31378081458519419"/>
  </r>
  <r>
    <x v="232"/>
    <x v="210"/>
    <x v="29"/>
    <s v="Q3-2024"/>
    <d v="2024-09-25T00:00:00"/>
    <d v="2024-09-05T00:00:00"/>
    <n v="20"/>
    <x v="0"/>
    <n v="0"/>
    <x v="1"/>
    <x v="2"/>
    <x v="4"/>
    <s v="Enterprise"/>
    <x v="3"/>
    <x v="14"/>
    <x v="5"/>
    <s v="Low"/>
    <x v="233"/>
    <n v="195.54"/>
    <n v="405.97"/>
    <n v="405.97"/>
    <x v="37"/>
    <n v="0.187"/>
    <x v="0"/>
    <n v="16"/>
    <x v="233"/>
    <n v="3128.64"/>
    <n v="2152.21776"/>
    <n v="0.40755079152141377"/>
  </r>
  <r>
    <x v="233"/>
    <x v="211"/>
    <x v="22"/>
    <s v="Q1-2023"/>
    <d v="2023-03-30T00:00:00"/>
    <d v="2023-03-14T00:00:00"/>
    <n v="16"/>
    <x v="0"/>
    <n v="0"/>
    <x v="0"/>
    <x v="11"/>
    <x v="33"/>
    <s v="Consumer"/>
    <x v="3"/>
    <x v="11"/>
    <x v="0"/>
    <s v="High"/>
    <x v="234"/>
    <n v="1309.77"/>
    <n v="1589.07"/>
    <n v="1589.07"/>
    <x v="4"/>
    <n v="0.10199999999999999"/>
    <x v="0"/>
    <n v="10"/>
    <x v="234"/>
    <n v="13097.7"/>
    <n v="1172.1485999999986"/>
    <n v="8.2141628328137886E-2"/>
  </r>
  <r>
    <x v="234"/>
    <x v="39"/>
    <x v="9"/>
    <s v="Q1-2024"/>
    <d v="2024-02-02T00:00:00"/>
    <d v="2024-01-11T00:00:00"/>
    <n v="22"/>
    <x v="0"/>
    <n v="0"/>
    <x v="1"/>
    <x v="2"/>
    <x v="32"/>
    <s v="Small Business"/>
    <x v="1"/>
    <x v="15"/>
    <x v="1"/>
    <s v="High"/>
    <x v="235"/>
    <n v="1237.68"/>
    <n v="1432.8"/>
    <n v="1432.8"/>
    <x v="55"/>
    <n v="6.8000000000000005E-2"/>
    <x v="0"/>
    <n v="13"/>
    <x v="235"/>
    <n v="16089.84"/>
    <n v="1269.9647999999979"/>
    <n v="7.315547695559331E-2"/>
  </r>
  <r>
    <x v="235"/>
    <x v="212"/>
    <x v="29"/>
    <s v="Q3-2024"/>
    <d v="2024-10-02T00:00:00"/>
    <d v="2024-09-13T00:00:00"/>
    <n v="19"/>
    <x v="0"/>
    <n v="0"/>
    <x v="0"/>
    <x v="0"/>
    <x v="13"/>
    <s v="Small Business"/>
    <x v="0"/>
    <x v="12"/>
    <x v="3"/>
    <s v="High"/>
    <x v="236"/>
    <n v="1338.99"/>
    <n v="1765.76"/>
    <n v="1765.76"/>
    <x v="38"/>
    <n v="0.126"/>
    <x v="0"/>
    <n v="24"/>
    <x v="236"/>
    <n v="32135.760000000002"/>
    <n v="4902.8217599999989"/>
    <n v="0.1323706666677725"/>
  </r>
  <r>
    <x v="236"/>
    <x v="213"/>
    <x v="13"/>
    <s v="Q3-2025"/>
    <d v="2025-07-23T00:00:00"/>
    <d v="2025-07-17T00:00:00"/>
    <n v="6"/>
    <x v="1"/>
    <n v="1"/>
    <x v="2"/>
    <x v="3"/>
    <x v="26"/>
    <s v="Consumer"/>
    <x v="1"/>
    <x v="10"/>
    <x v="0"/>
    <s v="High"/>
    <x v="237"/>
    <n v="1364.89"/>
    <n v="2757.54"/>
    <n v="2757.54"/>
    <x v="145"/>
    <n v="0.17199999999999999"/>
    <x v="0"/>
    <n v="61"/>
    <x v="237"/>
    <n v="83258.290000000008"/>
    <n v="56019.54032"/>
    <n v="0.4022143379983118"/>
  </r>
  <r>
    <x v="237"/>
    <x v="214"/>
    <x v="30"/>
    <s v="Q4-2023"/>
    <d v="2023-12-07T00:00:00"/>
    <d v="2023-11-28T00:00:00"/>
    <n v="9"/>
    <x v="0"/>
    <n v="0"/>
    <x v="1"/>
    <x v="4"/>
    <x v="18"/>
    <s v="Enterprise"/>
    <x v="2"/>
    <x v="4"/>
    <x v="3"/>
    <s v="High"/>
    <x v="238"/>
    <n v="699.33"/>
    <n v="873.75"/>
    <n v="873.75"/>
    <x v="146"/>
    <n v="0.23499999999999999"/>
    <x v="1"/>
    <n v="10"/>
    <x v="238"/>
    <n v="6993.3"/>
    <n v="-309.11250000000018"/>
    <n v="-4.6245336475076469E-2"/>
  </r>
  <r>
    <x v="238"/>
    <x v="215"/>
    <x v="0"/>
    <s v="Q1-2024"/>
    <d v="2024-04-24T00:00:00"/>
    <d v="2024-03-30T00:00:00"/>
    <n v="25"/>
    <x v="0"/>
    <n v="0"/>
    <x v="2"/>
    <x v="10"/>
    <x v="36"/>
    <s v="Non-Profit"/>
    <x v="1"/>
    <x v="3"/>
    <x v="4"/>
    <s v="Low"/>
    <x v="239"/>
    <n v="160.82"/>
    <n v="258.52"/>
    <n v="258.52"/>
    <x v="49"/>
    <n v="0.13"/>
    <x v="0"/>
    <n v="17"/>
    <x v="239"/>
    <n v="2733.94"/>
    <n v="1089.5708"/>
    <n v="0.28496605789631874"/>
  </r>
  <r>
    <x v="239"/>
    <x v="216"/>
    <x v="27"/>
    <s v="Q3-2023"/>
    <d v="2023-10-08T00:00:00"/>
    <d v="2023-09-19T00:00:00"/>
    <n v="19"/>
    <x v="0"/>
    <n v="0"/>
    <x v="1"/>
    <x v="4"/>
    <x v="6"/>
    <s v="Education"/>
    <x v="4"/>
    <x v="1"/>
    <x v="1"/>
    <s v="Low"/>
    <x v="240"/>
    <n v="385.32"/>
    <n v="606.76"/>
    <n v="606.76"/>
    <x v="147"/>
    <n v="8.5999999999999993E-2"/>
    <x v="0"/>
    <n v="8"/>
    <x v="240"/>
    <n v="3082.56"/>
    <n v="1354.0691200000006"/>
    <n v="0.30520223425842735"/>
  </r>
  <r>
    <x v="240"/>
    <x v="217"/>
    <x v="8"/>
    <s v="Q2-2025"/>
    <d v="2025-05-27T00:00:00"/>
    <d v="2025-05-16T00:00:00"/>
    <n v="11"/>
    <x v="0"/>
    <n v="0"/>
    <x v="1"/>
    <x v="9"/>
    <x v="38"/>
    <s v="Enterprise"/>
    <x v="1"/>
    <x v="9"/>
    <x v="3"/>
    <s v="High"/>
    <x v="241"/>
    <n v="918.12"/>
    <n v="1337.69"/>
    <n v="1337.69"/>
    <x v="148"/>
    <n v="9.5000000000000001E-2"/>
    <x v="0"/>
    <n v="8"/>
    <x v="241"/>
    <n v="7344.96"/>
    <n v="2339.9156000000012"/>
    <n v="0.24160512707050164"/>
  </r>
  <r>
    <x v="241"/>
    <x v="218"/>
    <x v="28"/>
    <s v="Q3-2025"/>
    <d v="2025-08-08T00:00:00"/>
    <d v="2025-08-02T00:00:00"/>
    <n v="6"/>
    <x v="1"/>
    <n v="1"/>
    <x v="1"/>
    <x v="2"/>
    <x v="4"/>
    <s v="Consumer"/>
    <x v="4"/>
    <x v="13"/>
    <x v="4"/>
    <s v="High"/>
    <x v="242"/>
    <n v="1225.94"/>
    <n v="1793.08"/>
    <n v="1793.08"/>
    <x v="29"/>
    <n v="0.13600000000000001"/>
    <x v="0"/>
    <n v="22"/>
    <x v="242"/>
    <n v="26970.68"/>
    <n v="7112.1846399999922"/>
    <n v="0.20867332353434462"/>
  </r>
  <r>
    <x v="242"/>
    <x v="219"/>
    <x v="6"/>
    <s v="Q4-2024"/>
    <d v="2024-12-12T00:00:00"/>
    <d v="2024-12-04T00:00:00"/>
    <n v="8"/>
    <x v="0"/>
    <n v="0"/>
    <x v="3"/>
    <x v="6"/>
    <x v="37"/>
    <s v="Enterprise"/>
    <x v="2"/>
    <x v="5"/>
    <x v="1"/>
    <s v="Low"/>
    <x v="243"/>
    <n v="72.06"/>
    <n v="122.74"/>
    <n v="122.74"/>
    <x v="149"/>
    <n v="0.23799999999999999"/>
    <x v="1"/>
    <n v="8"/>
    <x v="243"/>
    <n v="576.48"/>
    <n v="171.74303999999995"/>
    <n v="0.22953455162246802"/>
  </r>
  <r>
    <x v="243"/>
    <x v="43"/>
    <x v="12"/>
    <s v="Q2-2023"/>
    <d v="2023-04-28T00:00:00"/>
    <d v="2023-04-19T00:00:00"/>
    <n v="9"/>
    <x v="0"/>
    <n v="0"/>
    <x v="2"/>
    <x v="5"/>
    <x v="30"/>
    <s v="Corporate"/>
    <x v="3"/>
    <x v="12"/>
    <x v="3"/>
    <s v="High"/>
    <x v="244"/>
    <n v="1013.54"/>
    <n v="927.93"/>
    <n v="927.93"/>
    <x v="30"/>
    <n v="0.17499999999999999"/>
    <x v="0"/>
    <n v="16"/>
    <x v="244"/>
    <n v="16216.64"/>
    <n v="-3967.9639999999999"/>
    <n v="-0.32395044166406234"/>
  </r>
  <r>
    <x v="244"/>
    <x v="220"/>
    <x v="0"/>
    <s v="Q1-2024"/>
    <d v="2024-03-26T00:00:00"/>
    <d v="2024-03-06T00:00:00"/>
    <n v="20"/>
    <x v="0"/>
    <n v="0"/>
    <x v="0"/>
    <x v="1"/>
    <x v="1"/>
    <s v="Consumer"/>
    <x v="2"/>
    <x v="2"/>
    <x v="3"/>
    <s v="Low"/>
    <x v="245"/>
    <n v="65.64"/>
    <n v="151.88"/>
    <n v="151.88"/>
    <x v="150"/>
    <n v="0.16700000000000001"/>
    <x v="0"/>
    <n v="23"/>
    <x v="245"/>
    <n v="1509.72"/>
    <n v="1400.1489199999999"/>
    <n v="0.48117250587356353"/>
  </r>
  <r>
    <x v="245"/>
    <x v="221"/>
    <x v="31"/>
    <s v="Q1-2024"/>
    <d v="2024-03-04T00:00:00"/>
    <d v="2024-02-16T00:00:00"/>
    <n v="17"/>
    <x v="0"/>
    <n v="0"/>
    <x v="2"/>
    <x v="3"/>
    <x v="19"/>
    <s v="Non-Profit"/>
    <x v="0"/>
    <x v="14"/>
    <x v="4"/>
    <s v="High"/>
    <x v="246"/>
    <n v="1350.98"/>
    <n v="2210.4"/>
    <n v="2210.4"/>
    <x v="151"/>
    <n v="0.26300000000000001"/>
    <x v="1"/>
    <n v="6"/>
    <x v="246"/>
    <n v="8105.88"/>
    <n v="1668.5088000000005"/>
    <n v="0.17070211080615091"/>
  </r>
  <r>
    <x v="246"/>
    <x v="222"/>
    <x v="19"/>
    <s v="Q2-2025"/>
    <d v="2025-05-02T00:00:00"/>
    <d v="2025-04-22T00:00:00"/>
    <n v="10"/>
    <x v="0"/>
    <n v="0"/>
    <x v="3"/>
    <x v="6"/>
    <x v="9"/>
    <s v="Corporate"/>
    <x v="2"/>
    <x v="0"/>
    <x v="5"/>
    <s v="Low"/>
    <x v="247"/>
    <n v="20.149999999999999"/>
    <n v="39.74"/>
    <n v="39.74"/>
    <x v="102"/>
    <n v="0.151"/>
    <x v="0"/>
    <n v="18"/>
    <x v="247"/>
    <n v="362.7"/>
    <n v="244.60668000000004"/>
    <n v="0.4027729120318585"/>
  </r>
  <r>
    <x v="247"/>
    <x v="223"/>
    <x v="18"/>
    <s v="Q4-2024"/>
    <d v="2024-11-08T00:00:00"/>
    <d v="2024-11-08T00:00:00"/>
    <n v="0"/>
    <x v="1"/>
    <n v="1"/>
    <x v="0"/>
    <x v="0"/>
    <x v="16"/>
    <s v="Enterprise"/>
    <x v="2"/>
    <x v="12"/>
    <x v="2"/>
    <s v="High"/>
    <x v="248"/>
    <n v="803.28"/>
    <n v="1009"/>
    <n v="1009"/>
    <x v="46"/>
    <n v="0.11"/>
    <x v="0"/>
    <n v="4"/>
    <x v="248"/>
    <n v="3213.12"/>
    <n v="378.92000000000007"/>
    <n v="0.10548880302001093"/>
  </r>
  <r>
    <x v="248"/>
    <x v="224"/>
    <x v="11"/>
    <s v="Q3-2025"/>
    <d v="2025-09-30T00:00:00"/>
    <d v="2025-09-12T00:00:00"/>
    <n v="18"/>
    <x v="0"/>
    <n v="0"/>
    <x v="1"/>
    <x v="2"/>
    <x v="32"/>
    <s v="Non-Profit"/>
    <x v="2"/>
    <x v="9"/>
    <x v="5"/>
    <s v="High"/>
    <x v="249"/>
    <n v="1212.99"/>
    <n v="1653.64"/>
    <n v="1653.64"/>
    <x v="105"/>
    <n v="0.107"/>
    <x v="0"/>
    <n v="8"/>
    <x v="249"/>
    <n v="9703.92"/>
    <n v="2109.6841600000007"/>
    <n v="0.17858090819931455"/>
  </r>
  <r>
    <x v="249"/>
    <x v="225"/>
    <x v="29"/>
    <s v="Q3-2024"/>
    <d v="2024-09-08T00:00:00"/>
    <d v="2024-09-02T00:00:00"/>
    <n v="6"/>
    <x v="1"/>
    <n v="1"/>
    <x v="2"/>
    <x v="10"/>
    <x v="36"/>
    <s v="Consumer"/>
    <x v="4"/>
    <x v="10"/>
    <x v="0"/>
    <s v="High"/>
    <x v="250"/>
    <n v="462.94"/>
    <n v="1015.7"/>
    <n v="1015.7"/>
    <x v="17"/>
    <n v="0.14299999999999999"/>
    <x v="0"/>
    <n v="14"/>
    <x v="250"/>
    <n v="6481.16"/>
    <n v="5705.2086000000018"/>
    <n v="0.46816314090483041"/>
  </r>
  <r>
    <x v="250"/>
    <x v="226"/>
    <x v="22"/>
    <s v="Q1-2023"/>
    <d v="2023-03-24T00:00:00"/>
    <d v="2023-03-04T00:00:00"/>
    <n v="20"/>
    <x v="0"/>
    <n v="0"/>
    <x v="2"/>
    <x v="3"/>
    <x v="19"/>
    <s v="Consumer"/>
    <x v="3"/>
    <x v="2"/>
    <x v="4"/>
    <s v="High"/>
    <x v="251"/>
    <n v="481.71"/>
    <n v="912.45"/>
    <n v="912.45"/>
    <x v="91"/>
    <n v="0.20300000000000001"/>
    <x v="1"/>
    <n v="24"/>
    <x v="251"/>
    <n v="11561.039999999999"/>
    <n v="5892.3036000000011"/>
    <n v="0.33760313983619739"/>
  </r>
  <r>
    <x v="251"/>
    <x v="227"/>
    <x v="0"/>
    <s v="Q1-2024"/>
    <d v="2024-04-09T00:00:00"/>
    <d v="2024-03-15T00:00:00"/>
    <n v="25"/>
    <x v="0"/>
    <n v="0"/>
    <x v="2"/>
    <x v="3"/>
    <x v="26"/>
    <s v="Consumer"/>
    <x v="1"/>
    <x v="9"/>
    <x v="5"/>
    <s v="High"/>
    <x v="252"/>
    <n v="648.64"/>
    <n v="815.19"/>
    <n v="815.19"/>
    <x v="152"/>
    <n v="0.22500000000000001"/>
    <x v="1"/>
    <n v="28"/>
    <x v="252"/>
    <n v="18161.919999999998"/>
    <n v="-472.29699999999866"/>
    <n v="-2.6699099240272032E-2"/>
  </r>
  <r>
    <x v="252"/>
    <x v="228"/>
    <x v="14"/>
    <s v="Q3-2024"/>
    <d v="2024-07-31T00:00:00"/>
    <d v="2024-07-29T00:00:00"/>
    <n v="2"/>
    <x v="1"/>
    <n v="1"/>
    <x v="2"/>
    <x v="10"/>
    <x v="39"/>
    <s v="Education"/>
    <x v="2"/>
    <x v="2"/>
    <x v="1"/>
    <s v="High"/>
    <x v="253"/>
    <n v="798.97"/>
    <n v="1814.06"/>
    <n v="1814.06"/>
    <x v="153"/>
    <n v="0.122"/>
    <x v="0"/>
    <n v="16"/>
    <x v="253"/>
    <n v="12783.52"/>
    <n v="12700.39488"/>
    <n v="0.49836906691159061"/>
  </r>
  <r>
    <x v="253"/>
    <x v="229"/>
    <x v="1"/>
    <s v="Q4-2024"/>
    <d v="2024-11-20T00:00:00"/>
    <d v="2024-10-27T00:00:00"/>
    <n v="24"/>
    <x v="0"/>
    <n v="0"/>
    <x v="1"/>
    <x v="2"/>
    <x v="32"/>
    <s v="Non-Profit"/>
    <x v="1"/>
    <x v="10"/>
    <x v="5"/>
    <s v="High"/>
    <x v="254"/>
    <n v="317.25"/>
    <n v="758.92"/>
    <n v="758.92"/>
    <x v="114"/>
    <n v="5.2999999999999999E-2"/>
    <x v="0"/>
    <n v="9"/>
    <x v="254"/>
    <n v="2855.25"/>
    <n v="3613.0251599999992"/>
    <n v="0.5585762928489888"/>
  </r>
  <r>
    <x v="254"/>
    <x v="230"/>
    <x v="20"/>
    <s v="Q2-2024"/>
    <d v="2024-05-19T00:00:00"/>
    <d v="2024-04-29T00:00:00"/>
    <n v="20"/>
    <x v="0"/>
    <n v="0"/>
    <x v="3"/>
    <x v="6"/>
    <x v="37"/>
    <s v="Enterprise"/>
    <x v="2"/>
    <x v="0"/>
    <x v="4"/>
    <s v="High"/>
    <x v="255"/>
    <n v="668.97"/>
    <n v="1667.44"/>
    <n v="1667.44"/>
    <x v="76"/>
    <n v="3.4000000000000002E-2"/>
    <x v="0"/>
    <n v="15"/>
    <x v="255"/>
    <n v="10034.550000000001"/>
    <n v="14126.6556"/>
    <n v="0.58468339013679016"/>
  </r>
  <r>
    <x v="255"/>
    <x v="231"/>
    <x v="32"/>
    <s v="Q4-2023"/>
    <d v="2023-10-06T00:00:00"/>
    <d v="2023-10-05T00:00:00"/>
    <n v="1"/>
    <x v="1"/>
    <n v="1"/>
    <x v="1"/>
    <x v="4"/>
    <x v="6"/>
    <s v="Non-Profit"/>
    <x v="1"/>
    <x v="2"/>
    <x v="0"/>
    <s v="High"/>
    <x v="256"/>
    <n v="1470.26"/>
    <n v="2562.5500000000002"/>
    <n v="2562.5500000000002"/>
    <x v="122"/>
    <n v="0.17299999999999999"/>
    <x v="0"/>
    <n v="9"/>
    <x v="256"/>
    <n v="13232.34"/>
    <n v="5840.7196499999991"/>
    <n v="0.30622877279157462"/>
  </r>
  <r>
    <x v="256"/>
    <x v="43"/>
    <x v="12"/>
    <s v="Q2-2023"/>
    <d v="2023-05-07T00:00:00"/>
    <d v="2023-04-19T00:00:00"/>
    <n v="18"/>
    <x v="0"/>
    <n v="0"/>
    <x v="3"/>
    <x v="8"/>
    <x v="21"/>
    <s v="Non-Profit"/>
    <x v="4"/>
    <x v="10"/>
    <x v="2"/>
    <s v="High"/>
    <x v="257"/>
    <n v="516.96"/>
    <n v="745.38"/>
    <n v="745.38"/>
    <x v="115"/>
    <n v="0.19700000000000001"/>
    <x v="0"/>
    <n v="4"/>
    <x v="257"/>
    <n v="2067.84"/>
    <n v="326.32055999999966"/>
    <n v="0.13629852794835101"/>
  </r>
  <r>
    <x v="257"/>
    <x v="232"/>
    <x v="16"/>
    <s v="Q2-2025"/>
    <d v="2025-07-05T00:00:00"/>
    <d v="2025-06-27T00:00:00"/>
    <n v="8"/>
    <x v="0"/>
    <n v="0"/>
    <x v="3"/>
    <x v="6"/>
    <x v="22"/>
    <s v="Small Business"/>
    <x v="4"/>
    <x v="3"/>
    <x v="5"/>
    <s v="High"/>
    <x v="258"/>
    <n v="314.93"/>
    <n v="687.95"/>
    <n v="687.95"/>
    <x v="44"/>
    <n v="0.20499999999999999"/>
    <x v="1"/>
    <n v="8"/>
    <x v="258"/>
    <n v="2519.44"/>
    <n v="1855.922"/>
    <n v="0.424175645352316"/>
  </r>
  <r>
    <x v="258"/>
    <x v="233"/>
    <x v="32"/>
    <s v="Q4-2023"/>
    <d v="2023-10-13T00:00:00"/>
    <d v="2023-10-11T00:00:00"/>
    <n v="2"/>
    <x v="1"/>
    <n v="1"/>
    <x v="2"/>
    <x v="5"/>
    <x v="10"/>
    <s v="Consumer"/>
    <x v="3"/>
    <x v="15"/>
    <x v="6"/>
    <s v="Low"/>
    <x v="259"/>
    <n v="715.94"/>
    <n v="550.07000000000005"/>
    <n v="550.07000000000005"/>
    <x v="78"/>
    <n v="0.14000000000000001"/>
    <x v="0"/>
    <n v="16"/>
    <x v="259"/>
    <n v="11455.04"/>
    <n v="-3886.0768000000007"/>
    <n v="-0.51342260456491595"/>
  </r>
  <r>
    <x v="259"/>
    <x v="72"/>
    <x v="15"/>
    <s v="Q2-2023"/>
    <d v="2023-06-07T00:00:00"/>
    <d v="2023-05-20T00:00:00"/>
    <n v="18"/>
    <x v="0"/>
    <n v="0"/>
    <x v="0"/>
    <x v="1"/>
    <x v="1"/>
    <s v="Enterprise"/>
    <x v="3"/>
    <x v="6"/>
    <x v="0"/>
    <s v="High"/>
    <x v="260"/>
    <n v="1120.06"/>
    <n v="2068.21"/>
    <n v="2068.21"/>
    <x v="117"/>
    <n v="7.8E-2"/>
    <x v="0"/>
    <n v="12"/>
    <x v="260"/>
    <n v="13440.72"/>
    <n v="9441.9554400000034"/>
    <n v="0.41262462795303284"/>
  </r>
  <r>
    <x v="260"/>
    <x v="234"/>
    <x v="15"/>
    <s v="Q2-2023"/>
    <d v="2023-06-19T00:00:00"/>
    <d v="2023-05-27T00:00:00"/>
    <n v="23"/>
    <x v="0"/>
    <n v="0"/>
    <x v="3"/>
    <x v="6"/>
    <x v="9"/>
    <s v="Education"/>
    <x v="0"/>
    <x v="7"/>
    <x v="6"/>
    <s v="High"/>
    <x v="261"/>
    <n v="1471.58"/>
    <n v="2576.65"/>
    <n v="2576.65"/>
    <x v="140"/>
    <n v="4.0000000000000001E-3"/>
    <x v="0"/>
    <n v="7"/>
    <x v="261"/>
    <n v="10301.06"/>
    <n v="7663.3438000000006"/>
    <n v="0.4265849223451546"/>
  </r>
  <r>
    <x v="261"/>
    <x v="235"/>
    <x v="25"/>
    <s v="Q3-2023"/>
    <d v="2023-08-24T00:00:00"/>
    <d v="2023-08-04T00:00:00"/>
    <n v="20"/>
    <x v="0"/>
    <n v="0"/>
    <x v="2"/>
    <x v="5"/>
    <x v="10"/>
    <s v="Non-Profit"/>
    <x v="4"/>
    <x v="15"/>
    <x v="2"/>
    <s v="High"/>
    <x v="262"/>
    <n v="582.88"/>
    <n v="1044.1400000000001"/>
    <n v="1044.1400000000001"/>
    <x v="154"/>
    <n v="0.216"/>
    <x v="1"/>
    <n v="10"/>
    <x v="262"/>
    <n v="5828.8"/>
    <n v="2357.2576000000008"/>
    <n v="0.28796005539956138"/>
  </r>
  <r>
    <x v="262"/>
    <x v="236"/>
    <x v="16"/>
    <s v="Q2-2025"/>
    <d v="2025-06-27T00:00:00"/>
    <d v="2025-06-21T00:00:00"/>
    <n v="6"/>
    <x v="1"/>
    <n v="1"/>
    <x v="0"/>
    <x v="11"/>
    <x v="25"/>
    <s v="Enterprise"/>
    <x v="3"/>
    <x v="13"/>
    <x v="3"/>
    <s v="Low"/>
    <x v="263"/>
    <n v="93.91"/>
    <n v="99.04"/>
    <n v="99.04"/>
    <x v="92"/>
    <n v="5.7000000000000002E-2"/>
    <x v="0"/>
    <n v="6"/>
    <x v="263"/>
    <n v="563.46"/>
    <n v="-3.0916800000001103"/>
    <n v="-5.5172283829323376E-3"/>
  </r>
  <r>
    <x v="263"/>
    <x v="139"/>
    <x v="19"/>
    <s v="Q2-2025"/>
    <d v="2025-04-26T00:00:00"/>
    <d v="2025-04-16T00:00:00"/>
    <n v="10"/>
    <x v="0"/>
    <n v="0"/>
    <x v="0"/>
    <x v="1"/>
    <x v="1"/>
    <s v="Enterprise"/>
    <x v="2"/>
    <x v="9"/>
    <x v="4"/>
    <s v="High"/>
    <x v="264"/>
    <n v="1457.44"/>
    <n v="1996.81"/>
    <n v="1996.81"/>
    <x v="38"/>
    <n v="0.126"/>
    <x v="0"/>
    <n v="23"/>
    <x v="264"/>
    <n v="33521.120000000003"/>
    <n v="6618.7546199999924"/>
    <n v="0.16489225944672353"/>
  </r>
  <r>
    <x v="264"/>
    <x v="237"/>
    <x v="11"/>
    <s v="Q3-2025"/>
    <d v="2025-09-11T00:00:00"/>
    <d v="2025-09-02T00:00:00"/>
    <n v="9"/>
    <x v="0"/>
    <n v="0"/>
    <x v="2"/>
    <x v="3"/>
    <x v="5"/>
    <s v="Corporate"/>
    <x v="3"/>
    <x v="12"/>
    <x v="1"/>
    <s v="High"/>
    <x v="265"/>
    <n v="1207.6300000000001"/>
    <n v="921.68"/>
    <n v="921.68"/>
    <x v="124"/>
    <n v="0.19600000000000001"/>
    <x v="0"/>
    <n v="17"/>
    <x v="265"/>
    <n v="20529.710000000003"/>
    <n v="-7932.1877600000025"/>
    <n v="-0.62966253274897988"/>
  </r>
  <r>
    <x v="265"/>
    <x v="238"/>
    <x v="1"/>
    <s v="Q4-2024"/>
    <d v="2024-10-08T00:00:00"/>
    <d v="2024-10-08T00:00:00"/>
    <n v="0"/>
    <x v="1"/>
    <n v="1"/>
    <x v="3"/>
    <x v="8"/>
    <x v="21"/>
    <s v="Corporate"/>
    <x v="1"/>
    <x v="6"/>
    <x v="5"/>
    <s v="High"/>
    <x v="266"/>
    <n v="1108.1099999999999"/>
    <n v="2503.79"/>
    <n v="2503.79"/>
    <x v="50"/>
    <n v="0.184"/>
    <x v="0"/>
    <n v="19"/>
    <x v="266"/>
    <n v="21054.089999999997"/>
    <n v="17764.670160000009"/>
    <n v="0.45763105485025896"/>
  </r>
  <r>
    <x v="266"/>
    <x v="239"/>
    <x v="15"/>
    <s v="Q2-2023"/>
    <d v="2023-05-05T00:00:00"/>
    <d v="2023-05-14T00:00:00"/>
    <n v="-9"/>
    <x v="1"/>
    <n v="1"/>
    <x v="0"/>
    <x v="1"/>
    <x v="1"/>
    <s v="Non-Profit"/>
    <x v="2"/>
    <x v="8"/>
    <x v="0"/>
    <s v="High"/>
    <x v="267"/>
    <n v="1269.6500000000001"/>
    <n v="2462.77"/>
    <n v="2462.77"/>
    <x v="105"/>
    <n v="0.107"/>
    <x v="0"/>
    <n v="8"/>
    <x v="267"/>
    <n v="10157.200000000001"/>
    <n v="7436.8288800000009"/>
    <n v="0.42269050089225502"/>
  </r>
  <r>
    <x v="267"/>
    <x v="240"/>
    <x v="4"/>
    <s v="Q4-2023"/>
    <d v="2024-01-01T00:00:00"/>
    <d v="2023-12-24T00:00:00"/>
    <n v="8"/>
    <x v="0"/>
    <n v="0"/>
    <x v="2"/>
    <x v="5"/>
    <x v="8"/>
    <s v="Education"/>
    <x v="4"/>
    <x v="0"/>
    <x v="3"/>
    <s v="Low"/>
    <x v="268"/>
    <n v="526.49"/>
    <n v="496.2"/>
    <n v="496.2"/>
    <x v="5"/>
    <n v="0"/>
    <x v="0"/>
    <n v="14"/>
    <x v="268"/>
    <n v="7370.8600000000006"/>
    <n v="-424.0600000000004"/>
    <n v="-6.1043933897621985E-2"/>
  </r>
  <r>
    <x v="268"/>
    <x v="241"/>
    <x v="9"/>
    <s v="Q1-2024"/>
    <d v="2024-01-23T00:00:00"/>
    <d v="2024-01-10T00:00:00"/>
    <n v="13"/>
    <x v="0"/>
    <n v="0"/>
    <x v="3"/>
    <x v="7"/>
    <x v="11"/>
    <s v="Corporate"/>
    <x v="4"/>
    <x v="8"/>
    <x v="1"/>
    <s v="High"/>
    <x v="269"/>
    <n v="720"/>
    <n v="907.59"/>
    <n v="907.59"/>
    <x v="69"/>
    <n v="0.154"/>
    <x v="0"/>
    <n v="10"/>
    <x v="269"/>
    <n v="7200"/>
    <n v="478.21139999999923"/>
    <n v="6.2281614179052078E-2"/>
  </r>
  <r>
    <x v="269"/>
    <x v="242"/>
    <x v="25"/>
    <s v="Q3-2023"/>
    <d v="2023-08-14T00:00:00"/>
    <d v="2023-08-03T00:00:00"/>
    <n v="11"/>
    <x v="0"/>
    <n v="0"/>
    <x v="2"/>
    <x v="5"/>
    <x v="10"/>
    <s v="Corporate"/>
    <x v="4"/>
    <x v="1"/>
    <x v="6"/>
    <s v="Low"/>
    <x v="270"/>
    <n v="232.73"/>
    <n v="334.19"/>
    <n v="334.19"/>
    <x v="61"/>
    <n v="0.13400000000000001"/>
    <x v="0"/>
    <n v="25"/>
    <x v="270"/>
    <n v="5818.25"/>
    <n v="1416.9634999999998"/>
    <n v="0.1958426658729559"/>
  </r>
  <r>
    <x v="270"/>
    <x v="243"/>
    <x v="26"/>
    <s v="Q1-2025"/>
    <d v="2025-03-09T00:00:00"/>
    <d v="2025-02-19T00:00:00"/>
    <n v="18"/>
    <x v="0"/>
    <n v="0"/>
    <x v="1"/>
    <x v="4"/>
    <x v="18"/>
    <s v="Small Business"/>
    <x v="4"/>
    <x v="7"/>
    <x v="5"/>
    <s v="Low"/>
    <x v="271"/>
    <n v="325.87"/>
    <n v="538.79"/>
    <n v="538.79"/>
    <x v="155"/>
    <n v="0.17399999999999999"/>
    <x v="0"/>
    <n v="16"/>
    <x v="271"/>
    <n v="5213.92"/>
    <n v="1906.7286400000003"/>
    <n v="0.26777457172778013"/>
  </r>
  <r>
    <x v="271"/>
    <x v="244"/>
    <x v="0"/>
    <s v="Q1-2024"/>
    <d v="2024-04-17T00:00:00"/>
    <d v="2024-03-31T00:00:00"/>
    <n v="17"/>
    <x v="0"/>
    <n v="0"/>
    <x v="3"/>
    <x v="6"/>
    <x v="37"/>
    <s v="Education"/>
    <x v="4"/>
    <x v="10"/>
    <x v="5"/>
    <s v="High"/>
    <x v="272"/>
    <n v="1025.51"/>
    <n v="1436.54"/>
    <n v="1436.54"/>
    <x v="23"/>
    <n v="0.13900000000000001"/>
    <x v="0"/>
    <n v="28"/>
    <x v="272"/>
    <n v="28714.28"/>
    <n v="5917.8263200000001"/>
    <n v="0.17087688127656453"/>
  </r>
  <r>
    <x v="272"/>
    <x v="245"/>
    <x v="24"/>
    <s v="Q3-2023"/>
    <d v="2023-08-13T00:00:00"/>
    <d v="2023-07-24T00:00:00"/>
    <n v="20"/>
    <x v="0"/>
    <n v="0"/>
    <x v="2"/>
    <x v="3"/>
    <x v="19"/>
    <s v="Education"/>
    <x v="4"/>
    <x v="0"/>
    <x v="5"/>
    <s v="High"/>
    <x v="273"/>
    <n v="1082.3800000000001"/>
    <n v="1766.55"/>
    <n v="1766.55"/>
    <x v="156"/>
    <n v="0.16400000000000001"/>
    <x v="0"/>
    <n v="20"/>
    <x v="273"/>
    <n v="21647.600000000002"/>
    <n v="7889.1159999999982"/>
    <n v="0.26709523157550752"/>
  </r>
  <r>
    <x v="273"/>
    <x v="246"/>
    <x v="0"/>
    <s v="Q1-2024"/>
    <d v="2024-04-13T00:00:00"/>
    <d v="2024-03-16T00:00:00"/>
    <n v="28"/>
    <x v="0"/>
    <n v="0"/>
    <x v="3"/>
    <x v="7"/>
    <x v="28"/>
    <s v="Small Business"/>
    <x v="1"/>
    <x v="11"/>
    <x v="1"/>
    <s v="High"/>
    <x v="274"/>
    <n v="287.61"/>
    <n v="628.54"/>
    <n v="628.54"/>
    <x v="157"/>
    <n v="0.13500000000000001"/>
    <x v="0"/>
    <n v="21"/>
    <x v="274"/>
    <n v="6039.81"/>
    <n v="5377.619099999999"/>
    <n v="0.47100087531964613"/>
  </r>
  <r>
    <x v="274"/>
    <x v="247"/>
    <x v="9"/>
    <s v="Q1-2024"/>
    <d v="2024-01-27T00:00:00"/>
    <d v="2024-01-25T00:00:00"/>
    <n v="2"/>
    <x v="1"/>
    <n v="1"/>
    <x v="2"/>
    <x v="5"/>
    <x v="8"/>
    <s v="Non-Profit"/>
    <x v="2"/>
    <x v="13"/>
    <x v="4"/>
    <s v="High"/>
    <x v="275"/>
    <n v="1410.97"/>
    <n v="1650.75"/>
    <n v="1650.75"/>
    <x v="157"/>
    <n v="0.13500000000000001"/>
    <x v="0"/>
    <n v="6"/>
    <x v="275"/>
    <n v="8465.82"/>
    <n v="101.57250000000022"/>
    <n v="1.1855707556295596E-2"/>
  </r>
  <r>
    <x v="275"/>
    <x v="248"/>
    <x v="0"/>
    <s v="Q1-2024"/>
    <d v="2024-04-11T00:00:00"/>
    <d v="2024-03-27T00:00:00"/>
    <n v="15"/>
    <x v="0"/>
    <n v="0"/>
    <x v="2"/>
    <x v="10"/>
    <x v="24"/>
    <s v="Small Business"/>
    <x v="4"/>
    <x v="7"/>
    <x v="2"/>
    <s v="High"/>
    <x v="276"/>
    <n v="1338.35"/>
    <n v="2247.14"/>
    <n v="2247.14"/>
    <x v="158"/>
    <n v="0.115"/>
    <x v="0"/>
    <n v="40"/>
    <x v="276"/>
    <n v="53534"/>
    <n v="26014.755999999994"/>
    <n v="0.32702907384246205"/>
  </r>
  <r>
    <x v="276"/>
    <x v="35"/>
    <x v="16"/>
    <s v="Q2-2025"/>
    <d v="2025-07-14T00:00:00"/>
    <d v="2025-06-24T00:00:00"/>
    <n v="20"/>
    <x v="0"/>
    <n v="0"/>
    <x v="3"/>
    <x v="6"/>
    <x v="9"/>
    <s v="Corporate"/>
    <x v="4"/>
    <x v="7"/>
    <x v="6"/>
    <s v="High"/>
    <x v="277"/>
    <n v="385.08"/>
    <n v="893.19"/>
    <n v="893.19"/>
    <x v="102"/>
    <n v="0.151"/>
    <x v="0"/>
    <n v="8"/>
    <x v="277"/>
    <n v="3080.64"/>
    <n v="2985.9064800000001"/>
    <n v="0.49219213762621666"/>
  </r>
  <r>
    <x v="277"/>
    <x v="249"/>
    <x v="17"/>
    <s v="Q2-2024"/>
    <d v="2024-07-03T00:00:00"/>
    <d v="2024-06-16T00:00:00"/>
    <n v="17"/>
    <x v="0"/>
    <n v="0"/>
    <x v="0"/>
    <x v="11"/>
    <x v="20"/>
    <s v="Enterprise"/>
    <x v="2"/>
    <x v="9"/>
    <x v="3"/>
    <s v="High"/>
    <x v="278"/>
    <n v="1173.83"/>
    <n v="2328.9"/>
    <n v="2328.9"/>
    <x v="18"/>
    <n v="0.12"/>
    <x v="0"/>
    <n v="17"/>
    <x v="278"/>
    <n v="19955.11"/>
    <n v="14885.234000000004"/>
    <n v="0.42724130393201637"/>
  </r>
  <r>
    <x v="278"/>
    <x v="250"/>
    <x v="32"/>
    <s v="Q4-2023"/>
    <d v="2023-11-14T00:00:00"/>
    <d v="2023-10-30T00:00:00"/>
    <n v="15"/>
    <x v="0"/>
    <n v="0"/>
    <x v="1"/>
    <x v="4"/>
    <x v="6"/>
    <s v="Corporate"/>
    <x v="1"/>
    <x v="9"/>
    <x v="4"/>
    <s v="High"/>
    <x v="279"/>
    <n v="953.46"/>
    <n v="2066.75"/>
    <n v="2066.75"/>
    <x v="159"/>
    <n v="0.13800000000000001"/>
    <x v="0"/>
    <n v="5"/>
    <x v="279"/>
    <n v="4767.3"/>
    <n v="4140.392499999999"/>
    <n v="0.46481089238318446"/>
  </r>
  <r>
    <x v="279"/>
    <x v="251"/>
    <x v="23"/>
    <s v="Q2-2023"/>
    <d v="2023-06-23T00:00:00"/>
    <d v="2023-06-15T00:00:00"/>
    <n v="8"/>
    <x v="0"/>
    <n v="0"/>
    <x v="2"/>
    <x v="10"/>
    <x v="24"/>
    <s v="Consumer"/>
    <x v="3"/>
    <x v="7"/>
    <x v="5"/>
    <s v="High"/>
    <x v="280"/>
    <n v="1097.0899999999999"/>
    <n v="2182.31"/>
    <n v="2182.31"/>
    <x v="0"/>
    <n v="0.112"/>
    <x v="0"/>
    <n v="9"/>
    <x v="280"/>
    <n v="9873.81"/>
    <n v="7567.2115200000026"/>
    <n v="0.43387432962699546"/>
  </r>
  <r>
    <x v="280"/>
    <x v="252"/>
    <x v="3"/>
    <s v="Q1-2025"/>
    <d v="2025-03-29T00:00:00"/>
    <d v="2025-03-14T00:00:00"/>
    <n v="15"/>
    <x v="0"/>
    <n v="0"/>
    <x v="1"/>
    <x v="2"/>
    <x v="27"/>
    <s v="Non-Profit"/>
    <x v="4"/>
    <x v="10"/>
    <x v="2"/>
    <s v="High"/>
    <x v="281"/>
    <n v="1106.96"/>
    <n v="2726.62"/>
    <n v="2726.62"/>
    <x v="160"/>
    <n v="0.317"/>
    <x v="1"/>
    <n v="7"/>
    <x v="281"/>
    <n v="7748.72"/>
    <n v="5287.2502200000008"/>
    <n v="0.40558931408789306"/>
  </r>
  <r>
    <x v="281"/>
    <x v="183"/>
    <x v="25"/>
    <s v="Q3-2023"/>
    <d v="2023-08-25T00:00:00"/>
    <d v="2023-08-15T00:00:00"/>
    <n v="10"/>
    <x v="0"/>
    <n v="0"/>
    <x v="0"/>
    <x v="0"/>
    <x v="2"/>
    <s v="Small Business"/>
    <x v="0"/>
    <x v="13"/>
    <x v="3"/>
    <s v="Low"/>
    <x v="282"/>
    <n v="91.85"/>
    <n v="111.29"/>
    <n v="111.29"/>
    <x v="5"/>
    <n v="0"/>
    <x v="0"/>
    <n v="6"/>
    <x v="282"/>
    <n v="551.09999999999991"/>
    <n v="116.6400000000001"/>
    <n v="0.17467876718483258"/>
  </r>
  <r>
    <x v="282"/>
    <x v="253"/>
    <x v="8"/>
    <s v="Q2-2025"/>
    <d v="2025-05-28T00:00:00"/>
    <d v="2025-05-17T00:00:00"/>
    <n v="11"/>
    <x v="0"/>
    <n v="0"/>
    <x v="1"/>
    <x v="4"/>
    <x v="6"/>
    <s v="Corporate"/>
    <x v="3"/>
    <x v="5"/>
    <x v="4"/>
    <s v="High"/>
    <x v="283"/>
    <n v="623.4"/>
    <n v="1100.0899999999999"/>
    <n v="1100.0899999999999"/>
    <x v="60"/>
    <n v="0.114"/>
    <x v="0"/>
    <n v="12"/>
    <x v="283"/>
    <n v="7480.7999999999993"/>
    <n v="4215.3568799999994"/>
    <n v="0.36040529579490388"/>
  </r>
  <r>
    <x v="283"/>
    <x v="94"/>
    <x v="9"/>
    <s v="Q1-2024"/>
    <d v="2024-02-05T00:00:00"/>
    <d v="2024-01-13T00:00:00"/>
    <n v="23"/>
    <x v="0"/>
    <n v="0"/>
    <x v="3"/>
    <x v="6"/>
    <x v="37"/>
    <s v="Education"/>
    <x v="4"/>
    <x v="5"/>
    <x v="4"/>
    <s v="High"/>
    <x v="284"/>
    <n v="1017.93"/>
    <n v="1529.14"/>
    <n v="1529.14"/>
    <x v="131"/>
    <n v="0.155"/>
    <x v="0"/>
    <n v="12"/>
    <x v="284"/>
    <n v="12215.16"/>
    <n v="3290.3196000000007"/>
    <n v="0.21220366508366503"/>
  </r>
  <r>
    <x v="284"/>
    <x v="87"/>
    <x v="23"/>
    <s v="Q2-2023"/>
    <d v="2023-07-21T00:00:00"/>
    <d v="2023-06-24T00:00:00"/>
    <n v="27"/>
    <x v="0"/>
    <n v="0"/>
    <x v="1"/>
    <x v="2"/>
    <x v="32"/>
    <s v="Consumer"/>
    <x v="2"/>
    <x v="1"/>
    <x v="3"/>
    <s v="High"/>
    <x v="285"/>
    <n v="554.76"/>
    <n v="728.69"/>
    <n v="728.69"/>
    <x v="97"/>
    <n v="0.22"/>
    <x v="1"/>
    <n v="7"/>
    <x v="285"/>
    <n v="3883.3199999999997"/>
    <n v="95.32740000000058"/>
    <n v="2.395975074343119E-2"/>
  </r>
  <r>
    <x v="285"/>
    <x v="254"/>
    <x v="19"/>
    <s v="Q2-2025"/>
    <d v="2025-04-13T00:00:00"/>
    <d v="2025-04-04T00:00:00"/>
    <n v="9"/>
    <x v="0"/>
    <n v="0"/>
    <x v="3"/>
    <x v="6"/>
    <x v="22"/>
    <s v="Consumer"/>
    <x v="2"/>
    <x v="9"/>
    <x v="3"/>
    <s v="Low"/>
    <x v="286"/>
    <n v="7.02"/>
    <n v="6.28"/>
    <n v="6.28"/>
    <x v="61"/>
    <n v="0.13400000000000001"/>
    <x v="0"/>
    <n v="14"/>
    <x v="286"/>
    <n v="98.28"/>
    <n v="-22.141279999999995"/>
    <n v="-0.29080184169106066"/>
  </r>
  <r>
    <x v="286"/>
    <x v="255"/>
    <x v="29"/>
    <s v="Q3-2024"/>
    <d v="2024-09-07T00:00:00"/>
    <d v="2024-09-07T00:00:00"/>
    <n v="0"/>
    <x v="1"/>
    <n v="1"/>
    <x v="1"/>
    <x v="4"/>
    <x v="29"/>
    <s v="Education"/>
    <x v="3"/>
    <x v="5"/>
    <x v="2"/>
    <s v="High"/>
    <x v="287"/>
    <n v="1066.6500000000001"/>
    <n v="2569.77"/>
    <n v="2569.77"/>
    <x v="61"/>
    <n v="0.13400000000000001"/>
    <x v="0"/>
    <n v="9"/>
    <x v="287"/>
    <n v="9599.85"/>
    <n v="10428.937380000001"/>
    <n v="0.52069739331368348"/>
  </r>
  <r>
    <x v="287"/>
    <x v="10"/>
    <x v="9"/>
    <s v="Q1-2024"/>
    <d v="2024-01-30T00:00:00"/>
    <d v="2024-01-28T00:00:00"/>
    <n v="2"/>
    <x v="1"/>
    <n v="1"/>
    <x v="0"/>
    <x v="11"/>
    <x v="33"/>
    <s v="Consumer"/>
    <x v="4"/>
    <x v="9"/>
    <x v="6"/>
    <s v="High"/>
    <x v="288"/>
    <n v="798.45"/>
    <n v="1592.02"/>
    <n v="1592.02"/>
    <x v="72"/>
    <n v="6.6000000000000003E-2"/>
    <x v="0"/>
    <n v="18"/>
    <x v="288"/>
    <n v="14372.1"/>
    <n v="12392.940239999998"/>
    <n v="0.46302714768494585"/>
  </r>
  <r>
    <x v="288"/>
    <x v="256"/>
    <x v="24"/>
    <s v="Q3-2023"/>
    <d v="2023-08-10T00:00:00"/>
    <d v="2023-07-18T00:00:00"/>
    <n v="23"/>
    <x v="0"/>
    <n v="0"/>
    <x v="0"/>
    <x v="11"/>
    <x v="20"/>
    <s v="Small Business"/>
    <x v="0"/>
    <x v="4"/>
    <x v="0"/>
    <s v="High"/>
    <x v="289"/>
    <n v="1271.56"/>
    <n v="995.47"/>
    <n v="995.47"/>
    <x v="98"/>
    <n v="0.192"/>
    <x v="0"/>
    <n v="13"/>
    <x v="289"/>
    <n v="16530.28"/>
    <n v="-6073.8631199999982"/>
    <n v="-0.58087423155607754"/>
  </r>
  <r>
    <x v="289"/>
    <x v="257"/>
    <x v="28"/>
    <s v="Q3-2025"/>
    <d v="2025-08-26T00:00:00"/>
    <d v="2025-09-04T00:00:00"/>
    <n v="-9"/>
    <x v="1"/>
    <n v="1"/>
    <x v="0"/>
    <x v="1"/>
    <x v="1"/>
    <s v="Small Business"/>
    <x v="0"/>
    <x v="8"/>
    <x v="6"/>
    <s v="High"/>
    <x v="290"/>
    <n v="521.05999999999995"/>
    <n v="1240.31"/>
    <n v="1240.31"/>
    <x v="34"/>
    <n v="0.14599999999999999"/>
    <x v="0"/>
    <n v="18"/>
    <x v="290"/>
    <n v="9379.0799999999981"/>
    <n v="9686.9653199999993"/>
    <n v="0.50807417885650974"/>
  </r>
  <r>
    <x v="290"/>
    <x v="258"/>
    <x v="3"/>
    <s v="Q1-2025"/>
    <d v="2025-04-07T00:00:00"/>
    <d v="2025-03-30T00:00:00"/>
    <n v="8"/>
    <x v="0"/>
    <n v="0"/>
    <x v="2"/>
    <x v="5"/>
    <x v="8"/>
    <s v="Non-Profit"/>
    <x v="4"/>
    <x v="4"/>
    <x v="1"/>
    <s v="Low"/>
    <x v="291"/>
    <n v="71.62"/>
    <n v="118.37"/>
    <n v="118.37"/>
    <x v="161"/>
    <n v="0.156"/>
    <x v="0"/>
    <n v="11"/>
    <x v="291"/>
    <n v="787.82"/>
    <n v="311.12708000000009"/>
    <n v="0.28311379652603474"/>
  </r>
  <r>
    <x v="291"/>
    <x v="259"/>
    <x v="32"/>
    <s v="Q4-2023"/>
    <d v="2023-11-09T00:00:00"/>
    <d v="2023-10-21T00:00:00"/>
    <n v="19"/>
    <x v="0"/>
    <n v="0"/>
    <x v="3"/>
    <x v="8"/>
    <x v="21"/>
    <s v="Non-Profit"/>
    <x v="4"/>
    <x v="8"/>
    <x v="6"/>
    <s v="High"/>
    <x v="292"/>
    <n v="1142.48"/>
    <n v="2105.5300000000002"/>
    <n v="2105.5300000000002"/>
    <x v="162"/>
    <n v="0.20699999999999999"/>
    <x v="1"/>
    <n v="14"/>
    <x v="292"/>
    <n v="15994.720000000001"/>
    <n v="7380.8740600000019"/>
    <n v="0.31575129346680658"/>
  </r>
  <r>
    <x v="292"/>
    <x v="260"/>
    <x v="25"/>
    <s v="Q3-2023"/>
    <d v="2023-09-22T00:00:00"/>
    <d v="2023-08-23T00:00:00"/>
    <n v="30"/>
    <x v="0"/>
    <n v="0"/>
    <x v="3"/>
    <x v="8"/>
    <x v="21"/>
    <s v="Consumer"/>
    <x v="3"/>
    <x v="7"/>
    <x v="6"/>
    <s v="Low"/>
    <x v="293"/>
    <n v="209.81"/>
    <n v="523"/>
    <n v="523"/>
    <x v="163"/>
    <n v="5.8999999999999997E-2"/>
    <x v="0"/>
    <n v="15"/>
    <x v="293"/>
    <n v="3147.15"/>
    <n v="4234.9950000000008"/>
    <n v="0.57368082041195356"/>
  </r>
  <r>
    <x v="293"/>
    <x v="261"/>
    <x v="19"/>
    <s v="Q2-2025"/>
    <d v="2025-05-04T00:00:00"/>
    <d v="2025-04-11T00:00:00"/>
    <n v="23"/>
    <x v="0"/>
    <n v="0"/>
    <x v="1"/>
    <x v="2"/>
    <x v="4"/>
    <s v="Small Business"/>
    <x v="1"/>
    <x v="12"/>
    <x v="0"/>
    <s v="High"/>
    <x v="294"/>
    <n v="786.2"/>
    <n v="1075.3"/>
    <n v="1075.3"/>
    <x v="164"/>
    <n v="0.08"/>
    <x v="0"/>
    <n v="9"/>
    <x v="294"/>
    <n v="7075.8"/>
    <n v="1827.6839999999984"/>
    <n v="0.20527739478163815"/>
  </r>
  <r>
    <x v="294"/>
    <x v="262"/>
    <x v="16"/>
    <s v="Q2-2025"/>
    <d v="2025-06-27T00:00:00"/>
    <d v="2025-06-01T00:00:00"/>
    <n v="26"/>
    <x v="0"/>
    <n v="0"/>
    <x v="3"/>
    <x v="6"/>
    <x v="22"/>
    <s v="Consumer"/>
    <x v="3"/>
    <x v="6"/>
    <x v="4"/>
    <s v="High"/>
    <x v="295"/>
    <n v="1362.31"/>
    <n v="3294.57"/>
    <n v="3294.57"/>
    <x v="139"/>
    <n v="0.113"/>
    <x v="0"/>
    <n v="7"/>
    <x v="295"/>
    <n v="9536.17"/>
    <n v="10919.815130000001"/>
    <n v="0.5338200561157721"/>
  </r>
  <r>
    <x v="295"/>
    <x v="263"/>
    <x v="0"/>
    <s v="Q1-2024"/>
    <d v="2024-03-16T00:00:00"/>
    <d v="2024-03-02T00:00:00"/>
    <n v="14"/>
    <x v="0"/>
    <n v="0"/>
    <x v="2"/>
    <x v="3"/>
    <x v="26"/>
    <s v="Non-Profit"/>
    <x v="4"/>
    <x v="7"/>
    <x v="1"/>
    <s v="Low"/>
    <x v="296"/>
    <n v="248.24"/>
    <n v="464.05"/>
    <n v="464.05"/>
    <x v="36"/>
    <n v="0.16900000000000001"/>
    <x v="0"/>
    <n v="11"/>
    <x v="296"/>
    <n v="2730.6400000000003"/>
    <n v="1511.2410499999996"/>
    <n v="0.3562667203975462"/>
  </r>
  <r>
    <x v="296"/>
    <x v="264"/>
    <x v="23"/>
    <s v="Q2-2023"/>
    <d v="2023-07-08T00:00:00"/>
    <d v="2023-06-20T00:00:00"/>
    <n v="18"/>
    <x v="0"/>
    <n v="0"/>
    <x v="2"/>
    <x v="10"/>
    <x v="36"/>
    <s v="Non-Profit"/>
    <x v="4"/>
    <x v="9"/>
    <x v="5"/>
    <s v="Low"/>
    <x v="297"/>
    <n v="337"/>
    <n v="511.03"/>
    <n v="511.03"/>
    <x v="86"/>
    <n v="0.108"/>
    <x v="0"/>
    <n v="7"/>
    <x v="297"/>
    <n v="2359"/>
    <n v="831.8713200000002"/>
    <n v="0.26070349963219458"/>
  </r>
  <r>
    <x v="297"/>
    <x v="265"/>
    <x v="0"/>
    <s v="Q1-2024"/>
    <d v="2024-04-05T00:00:00"/>
    <d v="2024-03-26T00:00:00"/>
    <n v="10"/>
    <x v="0"/>
    <n v="0"/>
    <x v="2"/>
    <x v="10"/>
    <x v="36"/>
    <s v="Consumer"/>
    <x v="4"/>
    <x v="1"/>
    <x v="5"/>
    <s v="Low"/>
    <x v="298"/>
    <n v="5.66"/>
    <n v="4.22"/>
    <n v="4.22"/>
    <x v="45"/>
    <n v="0.11899999999999999"/>
    <x v="0"/>
    <n v="18"/>
    <x v="298"/>
    <n v="101.88"/>
    <n v="-34.959239999999994"/>
    <n v="-0.52239753403876454"/>
  </r>
  <r>
    <x v="298"/>
    <x v="266"/>
    <x v="10"/>
    <s v="Q1-2025"/>
    <d v="2025-01-22T00:00:00"/>
    <d v="2025-01-22T00:00:00"/>
    <n v="0"/>
    <x v="1"/>
    <n v="1"/>
    <x v="3"/>
    <x v="7"/>
    <x v="17"/>
    <s v="Small Business"/>
    <x v="1"/>
    <x v="5"/>
    <x v="6"/>
    <s v="Low"/>
    <x v="299"/>
    <n v="591.72"/>
    <n v="577.24"/>
    <n v="577.24"/>
    <x v="5"/>
    <n v="0"/>
    <x v="0"/>
    <n v="22"/>
    <x v="299"/>
    <n v="13017.84"/>
    <n v="-318.55999999999949"/>
    <n v="-2.5084886702238195E-2"/>
  </r>
  <r>
    <x v="299"/>
    <x v="267"/>
    <x v="8"/>
    <s v="Q2-2025"/>
    <d v="2025-05-27T00:00:00"/>
    <d v="2025-05-10T00:00:00"/>
    <n v="17"/>
    <x v="0"/>
    <n v="0"/>
    <x v="2"/>
    <x v="3"/>
    <x v="26"/>
    <s v="Education"/>
    <x v="4"/>
    <x v="0"/>
    <x v="0"/>
    <s v="High"/>
    <x v="300"/>
    <n v="862.89"/>
    <n v="1426.03"/>
    <n v="1426.03"/>
    <x v="121"/>
    <n v="5.6000000000000001E-2"/>
    <x v="0"/>
    <n v="19"/>
    <x v="300"/>
    <n v="16394.91"/>
    <n v="9182.3640799999994"/>
    <n v="0.35900479665188778"/>
  </r>
  <r>
    <x v="300"/>
    <x v="231"/>
    <x v="32"/>
    <s v="Q4-2023"/>
    <d v="2023-10-31T00:00:00"/>
    <d v="2023-10-05T00:00:00"/>
    <n v="26"/>
    <x v="0"/>
    <n v="0"/>
    <x v="1"/>
    <x v="9"/>
    <x v="23"/>
    <s v="Consumer"/>
    <x v="5"/>
    <x v="1"/>
    <x v="1"/>
    <s v="High"/>
    <x v="301"/>
    <n v="649.91"/>
    <n v="1360.12"/>
    <n v="1360.12"/>
    <x v="7"/>
    <n v="0.19400000000000001"/>
    <x v="0"/>
    <n v="9"/>
    <x v="301"/>
    <n v="5849.19"/>
    <n v="4017.1204799999987"/>
    <n v="0.40715528749506769"/>
  </r>
  <r>
    <x v="301"/>
    <x v="256"/>
    <x v="24"/>
    <s v="Q3-2023"/>
    <d v="2023-07-22T00:00:00"/>
    <d v="2023-07-18T00:00:00"/>
    <n v="4"/>
    <x v="1"/>
    <n v="1"/>
    <x v="2"/>
    <x v="5"/>
    <x v="8"/>
    <s v="Consumer"/>
    <x v="4"/>
    <x v="9"/>
    <x v="2"/>
    <s v="High"/>
    <x v="302"/>
    <n v="1269.55"/>
    <n v="2071.1"/>
    <n v="2071.1"/>
    <x v="31"/>
    <n v="0.129"/>
    <x v="0"/>
    <n v="22"/>
    <x v="302"/>
    <n v="27930.1"/>
    <n v="11756.318200000002"/>
    <n v="0.29623026549672354"/>
  </r>
  <r>
    <x v="302"/>
    <x v="268"/>
    <x v="16"/>
    <s v="Q2-2025"/>
    <d v="2025-07-08T00:00:00"/>
    <d v="2025-06-22T00:00:00"/>
    <n v="16"/>
    <x v="0"/>
    <n v="0"/>
    <x v="3"/>
    <x v="8"/>
    <x v="21"/>
    <s v="Education"/>
    <x v="4"/>
    <x v="8"/>
    <x v="3"/>
    <s v="High"/>
    <x v="303"/>
    <n v="892.73"/>
    <n v="979.84"/>
    <n v="979.84"/>
    <x v="155"/>
    <n v="0.17399999999999999"/>
    <x v="0"/>
    <n v="10"/>
    <x v="303"/>
    <n v="8927.2999999999993"/>
    <n v="-833.82159999999931"/>
    <n v="-0.10302388649112838"/>
  </r>
  <r>
    <x v="303"/>
    <x v="269"/>
    <x v="17"/>
    <s v="Q2-2024"/>
    <d v="2024-06-20T00:00:00"/>
    <d v="2024-06-19T00:00:00"/>
    <n v="1"/>
    <x v="1"/>
    <n v="1"/>
    <x v="0"/>
    <x v="0"/>
    <x v="0"/>
    <s v="Small Business"/>
    <x v="4"/>
    <x v="1"/>
    <x v="4"/>
    <s v="Low"/>
    <x v="304"/>
    <n v="231.63"/>
    <n v="537.39"/>
    <n v="537.39"/>
    <x v="164"/>
    <n v="0.08"/>
    <x v="0"/>
    <n v="12"/>
    <x v="304"/>
    <n v="2779.56"/>
    <n v="3153.2256000000002"/>
    <n v="0.53149158129024587"/>
  </r>
  <r>
    <x v="304"/>
    <x v="69"/>
    <x v="19"/>
    <s v="Q2-2025"/>
    <d v="2025-04-12T00:00:00"/>
    <d v="2025-04-09T00:00:00"/>
    <n v="3"/>
    <x v="1"/>
    <n v="1"/>
    <x v="3"/>
    <x v="7"/>
    <x v="17"/>
    <s v="Small Business"/>
    <x v="3"/>
    <x v="10"/>
    <x v="5"/>
    <s v="Low"/>
    <x v="305"/>
    <n v="86.68"/>
    <n v="213.32"/>
    <n v="213.32"/>
    <x v="16"/>
    <n v="3.7999999999999999E-2"/>
    <x v="0"/>
    <n v="8"/>
    <x v="305"/>
    <n v="693.44"/>
    <n v="948.27071999999976"/>
    <n v="0.57761133459614611"/>
  </r>
  <r>
    <x v="305"/>
    <x v="80"/>
    <x v="3"/>
    <s v="Q1-2025"/>
    <d v="2025-03-26T00:00:00"/>
    <d v="2025-03-25T00:00:00"/>
    <n v="1"/>
    <x v="1"/>
    <n v="1"/>
    <x v="0"/>
    <x v="1"/>
    <x v="3"/>
    <s v="Education"/>
    <x v="3"/>
    <x v="3"/>
    <x v="6"/>
    <s v="High"/>
    <x v="306"/>
    <n v="1450.43"/>
    <n v="1994.67"/>
    <n v="1994.67"/>
    <x v="165"/>
    <n v="0.1"/>
    <x v="0"/>
    <n v="24"/>
    <x v="306"/>
    <n v="34810.32"/>
    <n v="8274.5520000000033"/>
    <n v="0.19205237513529116"/>
  </r>
  <r>
    <x v="306"/>
    <x v="270"/>
    <x v="8"/>
    <s v="Q2-2025"/>
    <d v="2025-06-09T00:00:00"/>
    <d v="2025-05-18T00:00:00"/>
    <n v="22"/>
    <x v="0"/>
    <n v="0"/>
    <x v="2"/>
    <x v="10"/>
    <x v="39"/>
    <s v="Consumer"/>
    <x v="0"/>
    <x v="10"/>
    <x v="2"/>
    <s v="Low"/>
    <x v="307"/>
    <n v="382.96"/>
    <n v="552.84"/>
    <n v="552.84"/>
    <x v="166"/>
    <n v="0.17599999999999999"/>
    <x v="0"/>
    <n v="8"/>
    <x v="307"/>
    <n v="3063.68"/>
    <n v="580.64128000000073"/>
    <n v="0.15932768693763483"/>
  </r>
  <r>
    <x v="307"/>
    <x v="266"/>
    <x v="10"/>
    <s v="Q1-2025"/>
    <d v="2025-02-04T00:00:00"/>
    <d v="2025-01-22T00:00:00"/>
    <n v="13"/>
    <x v="0"/>
    <n v="0"/>
    <x v="1"/>
    <x v="2"/>
    <x v="27"/>
    <s v="Small Business"/>
    <x v="3"/>
    <x v="4"/>
    <x v="1"/>
    <s v="Low"/>
    <x v="308"/>
    <n v="122.29"/>
    <n v="224.95"/>
    <n v="224.95"/>
    <x v="125"/>
    <n v="0.153"/>
    <x v="0"/>
    <n v="28"/>
    <x v="308"/>
    <n v="3424.1200000000003"/>
    <n v="1910.7941999999989"/>
    <n v="0.3581677471026618"/>
  </r>
  <r>
    <x v="308"/>
    <x v="271"/>
    <x v="5"/>
    <s v="Q1-2023"/>
    <d v="2023-01-29T00:00:00"/>
    <d v="2023-01-10T00:00:00"/>
    <n v="19"/>
    <x v="0"/>
    <n v="0"/>
    <x v="3"/>
    <x v="7"/>
    <x v="17"/>
    <s v="Non-Profit"/>
    <x v="4"/>
    <x v="14"/>
    <x v="4"/>
    <s v="High"/>
    <x v="309"/>
    <n v="401.66"/>
    <n v="772.09"/>
    <n v="772.09"/>
    <x v="25"/>
    <n v="8.8999999999999996E-2"/>
    <x v="0"/>
    <n v="14"/>
    <x v="309"/>
    <n v="5623.2400000000007"/>
    <n v="4223.99586"/>
    <n v="0.42895244107619046"/>
  </r>
  <r>
    <x v="309"/>
    <x v="272"/>
    <x v="6"/>
    <s v="Q4-2024"/>
    <d v="2025-01-12T00:00:00"/>
    <d v="2024-12-29T00:00:00"/>
    <n v="14"/>
    <x v="0"/>
    <n v="0"/>
    <x v="3"/>
    <x v="8"/>
    <x v="31"/>
    <s v="Corporate"/>
    <x v="4"/>
    <x v="5"/>
    <x v="5"/>
    <s v="High"/>
    <x v="310"/>
    <n v="1399.72"/>
    <n v="3149.21"/>
    <n v="3149.21"/>
    <x v="57"/>
    <n v="0.185"/>
    <x v="0"/>
    <n v="12"/>
    <x v="310"/>
    <n v="16796.64"/>
    <n v="14002.633800000003"/>
    <n v="0.45464168703873797"/>
  </r>
  <r>
    <x v="310"/>
    <x v="154"/>
    <x v="7"/>
    <s v="Q2-2024"/>
    <d v="2024-06-06T00:00:00"/>
    <d v="2024-05-23T00:00:00"/>
    <n v="14"/>
    <x v="0"/>
    <n v="0"/>
    <x v="2"/>
    <x v="5"/>
    <x v="30"/>
    <s v="Non-Profit"/>
    <x v="1"/>
    <x v="2"/>
    <x v="2"/>
    <s v="Low"/>
    <x v="311"/>
    <n v="51.13"/>
    <n v="57.53"/>
    <n v="57.53"/>
    <x v="107"/>
    <n v="4.4999999999999998E-2"/>
    <x v="0"/>
    <n v="16"/>
    <x v="311"/>
    <n v="818.08"/>
    <n v="60.978399999999965"/>
    <n v="6.9367859973808302E-2"/>
  </r>
  <r>
    <x v="311"/>
    <x v="87"/>
    <x v="23"/>
    <s v="Q2-2023"/>
    <d v="2023-06-22T00:00:00"/>
    <d v="2023-07-01T00:00:00"/>
    <n v="-9"/>
    <x v="1"/>
    <n v="1"/>
    <x v="2"/>
    <x v="3"/>
    <x v="5"/>
    <s v="Non-Profit"/>
    <x v="0"/>
    <x v="12"/>
    <x v="6"/>
    <s v="High"/>
    <x v="312"/>
    <n v="471.42"/>
    <n v="824.81"/>
    <n v="824.81"/>
    <x v="167"/>
    <n v="8.7999999999999995E-2"/>
    <x v="0"/>
    <n v="15"/>
    <x v="312"/>
    <n v="7071.3"/>
    <n v="4212.1007999999993"/>
    <n v="0.37330064531608231"/>
  </r>
  <r>
    <x v="312"/>
    <x v="273"/>
    <x v="18"/>
    <s v="Q4-2024"/>
    <d v="2024-11-05T00:00:00"/>
    <d v="2024-11-04T00:00:00"/>
    <n v="1"/>
    <x v="1"/>
    <n v="1"/>
    <x v="3"/>
    <x v="8"/>
    <x v="21"/>
    <s v="Corporate"/>
    <x v="0"/>
    <x v="12"/>
    <x v="1"/>
    <s v="High"/>
    <x v="313"/>
    <n v="840.68"/>
    <n v="1493.53"/>
    <n v="1493.53"/>
    <x v="5"/>
    <n v="0"/>
    <x v="0"/>
    <n v="27"/>
    <x v="313"/>
    <n v="22698.359999999997"/>
    <n v="17626.95"/>
    <n v="0.43711877230454027"/>
  </r>
  <r>
    <x v="313"/>
    <x v="274"/>
    <x v="17"/>
    <s v="Q2-2024"/>
    <d v="2024-06-24T00:00:00"/>
    <d v="2024-06-08T00:00:00"/>
    <n v="16"/>
    <x v="0"/>
    <n v="0"/>
    <x v="0"/>
    <x v="11"/>
    <x v="25"/>
    <s v="Education"/>
    <x v="3"/>
    <x v="10"/>
    <x v="5"/>
    <s v="High"/>
    <x v="314"/>
    <n v="597.85"/>
    <n v="741.92"/>
    <n v="741.92"/>
    <x v="8"/>
    <n v="3.1E-2"/>
    <x v="0"/>
    <n v="7"/>
    <x v="314"/>
    <n v="4184.95"/>
    <n v="847.49335999999948"/>
    <n v="0.16840594108544515"/>
  </r>
  <r>
    <x v="314"/>
    <x v="262"/>
    <x v="16"/>
    <s v="Q2-2025"/>
    <d v="2025-06-06T00:00:00"/>
    <d v="2025-06-01T00:00:00"/>
    <n v="5"/>
    <x v="1"/>
    <n v="1"/>
    <x v="3"/>
    <x v="7"/>
    <x v="28"/>
    <s v="Consumer"/>
    <x v="3"/>
    <x v="3"/>
    <x v="0"/>
    <s v="High"/>
    <x v="315"/>
    <n v="379.45"/>
    <n v="742.23"/>
    <n v="742.23"/>
    <x v="168"/>
    <n v="0.09"/>
    <x v="0"/>
    <n v="13"/>
    <x v="315"/>
    <n v="4932.8499999999995"/>
    <n v="3847.7309000000014"/>
    <n v="0.43820915083192286"/>
  </r>
  <r>
    <x v="315"/>
    <x v="275"/>
    <x v="15"/>
    <s v="Q2-2023"/>
    <d v="2023-05-14T00:00:00"/>
    <d v="2023-05-06T00:00:00"/>
    <n v="8"/>
    <x v="0"/>
    <n v="0"/>
    <x v="1"/>
    <x v="2"/>
    <x v="4"/>
    <s v="Enterprise"/>
    <x v="2"/>
    <x v="5"/>
    <x v="3"/>
    <s v="Low"/>
    <x v="316"/>
    <n v="291.18"/>
    <n v="479.54"/>
    <n v="479.54"/>
    <x v="169"/>
    <n v="0.14099999999999999"/>
    <x v="0"/>
    <n v="22"/>
    <x v="316"/>
    <n v="6405.96"/>
    <n v="2656.3869199999999"/>
    <n v="0.29312350801066001"/>
  </r>
  <r>
    <x v="316"/>
    <x v="276"/>
    <x v="30"/>
    <s v="Q4-2023"/>
    <d v="2023-11-30T00:00:00"/>
    <d v="2023-11-14T00:00:00"/>
    <n v="16"/>
    <x v="0"/>
    <n v="0"/>
    <x v="2"/>
    <x v="5"/>
    <x v="8"/>
    <s v="Enterprise"/>
    <x v="4"/>
    <x v="11"/>
    <x v="2"/>
    <s v="High"/>
    <x v="317"/>
    <n v="1017.92"/>
    <n v="1175.25"/>
    <n v="1175.25"/>
    <x v="43"/>
    <n v="7.4999999999999997E-2"/>
    <x v="0"/>
    <n v="15"/>
    <x v="317"/>
    <n v="15268.8"/>
    <n v="1037.7937500000007"/>
    <n v="6.3642583234159542E-2"/>
  </r>
  <r>
    <x v="317"/>
    <x v="277"/>
    <x v="19"/>
    <s v="Q2-2025"/>
    <d v="2025-04-27T00:00:00"/>
    <d v="2025-04-01T00:00:00"/>
    <n v="26"/>
    <x v="0"/>
    <n v="0"/>
    <x v="2"/>
    <x v="10"/>
    <x v="24"/>
    <s v="Corporate"/>
    <x v="4"/>
    <x v="2"/>
    <x v="5"/>
    <s v="Low"/>
    <x v="318"/>
    <n v="156.55000000000001"/>
    <n v="227.45"/>
    <n v="227.45"/>
    <x v="170"/>
    <n v="1.4E-2"/>
    <x v="0"/>
    <n v="13"/>
    <x v="318"/>
    <n v="2035.15"/>
    <n v="880.30409999999983"/>
    <n v="0.3019440779396938"/>
  </r>
  <r>
    <x v="318"/>
    <x v="278"/>
    <x v="22"/>
    <s v="Q1-2023"/>
    <d v="2023-04-15T00:00:00"/>
    <d v="2023-03-23T00:00:00"/>
    <n v="23"/>
    <x v="0"/>
    <n v="0"/>
    <x v="0"/>
    <x v="0"/>
    <x v="13"/>
    <s v="Small Business"/>
    <x v="0"/>
    <x v="0"/>
    <x v="6"/>
    <s v="High"/>
    <x v="319"/>
    <n v="875.36"/>
    <n v="1178.6199999999999"/>
    <n v="1178.6199999999999"/>
    <x v="102"/>
    <n v="0.151"/>
    <x v="0"/>
    <n v="53"/>
    <x v="319"/>
    <n v="46394.080000000002"/>
    <n v="6640.2841399999888"/>
    <n v="0.12520719815685888"/>
  </r>
  <r>
    <x v="319"/>
    <x v="91"/>
    <x v="7"/>
    <s v="Q2-2024"/>
    <d v="2024-06-18T00:00:00"/>
    <d v="2024-05-28T00:00:00"/>
    <n v="21"/>
    <x v="0"/>
    <n v="0"/>
    <x v="3"/>
    <x v="6"/>
    <x v="37"/>
    <s v="Small Business"/>
    <x v="1"/>
    <x v="6"/>
    <x v="3"/>
    <s v="High"/>
    <x v="320"/>
    <n v="986.85"/>
    <n v="2422.1"/>
    <n v="2422.1"/>
    <x v="171"/>
    <n v="7.5999999999999998E-2"/>
    <x v="0"/>
    <n v="10"/>
    <x v="320"/>
    <n v="9868.5"/>
    <n v="12511.704000000002"/>
    <n v="0.55905227673527913"/>
  </r>
  <r>
    <x v="320"/>
    <x v="279"/>
    <x v="9"/>
    <s v="Q1-2024"/>
    <d v="2024-01-01T00:00:00"/>
    <d v="2024-01-09T00:00:00"/>
    <n v="-8"/>
    <x v="1"/>
    <n v="1"/>
    <x v="2"/>
    <x v="10"/>
    <x v="15"/>
    <s v="Education"/>
    <x v="2"/>
    <x v="5"/>
    <x v="2"/>
    <s v="Low"/>
    <x v="321"/>
    <n v="404.77"/>
    <n v="433.88"/>
    <n v="433.88"/>
    <x v="66"/>
    <n v="0.215"/>
    <x v="1"/>
    <n v="22"/>
    <x v="321"/>
    <n v="8904.9399999999987"/>
    <n v="-1411.8323999999975"/>
    <n v="-0.18841747314558746"/>
  </r>
  <r>
    <x v="321"/>
    <x v="2"/>
    <x v="2"/>
    <s v="Q1-2023"/>
    <d v="2023-02-27T00:00:00"/>
    <d v="2023-03-07T00:00:00"/>
    <n v="-8"/>
    <x v="1"/>
    <n v="1"/>
    <x v="3"/>
    <x v="7"/>
    <x v="11"/>
    <s v="Corporate"/>
    <x v="0"/>
    <x v="11"/>
    <x v="2"/>
    <s v="High"/>
    <x v="322"/>
    <n v="1299.81"/>
    <n v="3149.13"/>
    <n v="3149.13"/>
    <x v="172"/>
    <n v="0.10299999999999999"/>
    <x v="0"/>
    <n v="14"/>
    <x v="322"/>
    <n v="18197.34"/>
    <n v="21349.434539999998"/>
    <n v="0.53985273864511729"/>
  </r>
  <r>
    <x v="322"/>
    <x v="142"/>
    <x v="31"/>
    <s v="Q1-2024"/>
    <d v="2024-03-11T00:00:00"/>
    <d v="2024-02-18T00:00:00"/>
    <n v="22"/>
    <x v="0"/>
    <n v="0"/>
    <x v="2"/>
    <x v="5"/>
    <x v="8"/>
    <s v="Consumer"/>
    <x v="1"/>
    <x v="8"/>
    <x v="0"/>
    <s v="Low"/>
    <x v="323"/>
    <n v="80.48"/>
    <n v="65.650000000000006"/>
    <n v="65.650000000000006"/>
    <x v="166"/>
    <n v="0.17599999999999999"/>
    <x v="0"/>
    <n v="13"/>
    <x v="323"/>
    <n v="1046.24"/>
    <n v="-342.99719999999991"/>
    <n v="-0.48773652570634191"/>
  </r>
  <r>
    <x v="323"/>
    <x v="191"/>
    <x v="29"/>
    <s v="Q3-2024"/>
    <d v="2024-10-08T00:00:00"/>
    <d v="2024-09-09T00:00:00"/>
    <n v="29"/>
    <x v="0"/>
    <n v="0"/>
    <x v="2"/>
    <x v="5"/>
    <x v="8"/>
    <s v="Education"/>
    <x v="4"/>
    <x v="1"/>
    <x v="0"/>
    <s v="High"/>
    <x v="324"/>
    <n v="1010.33"/>
    <n v="2492.14"/>
    <n v="2492.14"/>
    <x v="130"/>
    <n v="5.0999999999999997E-2"/>
    <x v="0"/>
    <n v="11"/>
    <x v="324"/>
    <n v="11113.630000000001"/>
    <n v="14901.819459999995"/>
    <n v="0.57280653493656752"/>
  </r>
  <r>
    <x v="324"/>
    <x v="239"/>
    <x v="15"/>
    <s v="Q2-2023"/>
    <d v="2023-05-29T00:00:00"/>
    <d v="2023-05-07T00:00:00"/>
    <n v="22"/>
    <x v="0"/>
    <n v="0"/>
    <x v="0"/>
    <x v="11"/>
    <x v="25"/>
    <s v="Education"/>
    <x v="3"/>
    <x v="11"/>
    <x v="6"/>
    <s v="High"/>
    <x v="325"/>
    <n v="653.86"/>
    <n v="931.84"/>
    <n v="931.84"/>
    <x v="173"/>
    <n v="0.121"/>
    <x v="0"/>
    <n v="12"/>
    <x v="325"/>
    <n v="7846.32"/>
    <n v="1982.7283200000002"/>
    <n v="0.20172129136506273"/>
  </r>
  <r>
    <x v="325"/>
    <x v="182"/>
    <x v="9"/>
    <s v="Q1-2024"/>
    <d v="2024-01-29T00:00:00"/>
    <d v="2024-01-12T00:00:00"/>
    <n v="17"/>
    <x v="0"/>
    <n v="0"/>
    <x v="1"/>
    <x v="4"/>
    <x v="34"/>
    <s v="Small Business"/>
    <x v="4"/>
    <x v="5"/>
    <x v="0"/>
    <s v="High"/>
    <x v="326"/>
    <n v="310.02"/>
    <n v="619.51"/>
    <n v="619.51"/>
    <x v="174"/>
    <n v="4.2000000000000003E-2"/>
    <x v="0"/>
    <n v="4"/>
    <x v="326"/>
    <n v="1240.08"/>
    <n v="1133.8823200000002"/>
    <n v="0.47763282106347843"/>
  </r>
  <r>
    <x v="326"/>
    <x v="280"/>
    <x v="23"/>
    <s v="Q2-2023"/>
    <d v="2023-06-18T00:00:00"/>
    <d v="2023-06-10T00:00:00"/>
    <n v="8"/>
    <x v="0"/>
    <n v="0"/>
    <x v="0"/>
    <x v="0"/>
    <x v="16"/>
    <s v="Enterprise"/>
    <x v="4"/>
    <x v="10"/>
    <x v="3"/>
    <s v="High"/>
    <x v="327"/>
    <n v="894.23"/>
    <n v="1421.55"/>
    <n v="1421.55"/>
    <x v="14"/>
    <n v="0.109"/>
    <x v="0"/>
    <n v="3"/>
    <x v="327"/>
    <n v="2682.69"/>
    <n v="1117.1131499999997"/>
    <n v="0.29399237431549574"/>
  </r>
  <r>
    <x v="327"/>
    <x v="281"/>
    <x v="8"/>
    <s v="Q2-2025"/>
    <d v="2025-05-17T00:00:00"/>
    <d v="2025-05-26T00:00:00"/>
    <n v="-9"/>
    <x v="1"/>
    <n v="1"/>
    <x v="2"/>
    <x v="5"/>
    <x v="8"/>
    <s v="Small Business"/>
    <x v="3"/>
    <x v="4"/>
    <x v="5"/>
    <s v="High"/>
    <x v="328"/>
    <n v="383.77"/>
    <n v="952.56"/>
    <n v="952.56"/>
    <x v="175"/>
    <n v="0.34599999999999997"/>
    <x v="1"/>
    <n v="10"/>
    <x v="328"/>
    <n v="3837.7"/>
    <n v="2392.0423999999994"/>
    <n v="0.38397131797937578"/>
  </r>
  <r>
    <x v="328"/>
    <x v="282"/>
    <x v="32"/>
    <s v="Q4-2023"/>
    <d v="2023-11-16T00:00:00"/>
    <d v="2023-10-22T00:00:00"/>
    <n v="25"/>
    <x v="0"/>
    <n v="0"/>
    <x v="2"/>
    <x v="3"/>
    <x v="5"/>
    <s v="Small Business"/>
    <x v="2"/>
    <x v="2"/>
    <x v="4"/>
    <s v="High"/>
    <x v="329"/>
    <n v="1373.31"/>
    <n v="3154.14"/>
    <n v="3154.14"/>
    <x v="47"/>
    <n v="0.2"/>
    <x v="0"/>
    <n v="11"/>
    <x v="329"/>
    <n v="15106.41"/>
    <n v="12650.022000000001"/>
    <n v="0.45575101295440279"/>
  </r>
  <r>
    <x v="329"/>
    <x v="283"/>
    <x v="10"/>
    <s v="Q1-2025"/>
    <d v="2025-01-23T00:00:00"/>
    <d v="2025-01-11T00:00:00"/>
    <n v="12"/>
    <x v="0"/>
    <n v="0"/>
    <x v="2"/>
    <x v="10"/>
    <x v="36"/>
    <s v="Consumer"/>
    <x v="3"/>
    <x v="10"/>
    <x v="3"/>
    <s v="Low"/>
    <x v="330"/>
    <n v="100.69"/>
    <n v="226.14"/>
    <n v="226.14"/>
    <x v="176"/>
    <n v="6.5000000000000002E-2"/>
    <x v="0"/>
    <n v="12"/>
    <x v="330"/>
    <n v="1208.28"/>
    <n v="1329.0108000000002"/>
    <n v="0.52379128162999689"/>
  </r>
  <r>
    <x v="330"/>
    <x v="284"/>
    <x v="11"/>
    <s v="Q3-2025"/>
    <d v="2025-09-26T00:00:00"/>
    <d v="2025-09-14T00:00:00"/>
    <n v="12"/>
    <x v="0"/>
    <n v="0"/>
    <x v="3"/>
    <x v="8"/>
    <x v="21"/>
    <s v="Small Business"/>
    <x v="4"/>
    <x v="13"/>
    <x v="2"/>
    <s v="High"/>
    <x v="331"/>
    <n v="425.15"/>
    <n v="885.92"/>
    <n v="885.92"/>
    <x v="177"/>
    <n v="0.23899999999999999"/>
    <x v="1"/>
    <n v="13"/>
    <x v="331"/>
    <n v="5526.95"/>
    <n v="3237.4565599999996"/>
    <n v="0.3693868532725848"/>
  </r>
  <r>
    <x v="331"/>
    <x v="52"/>
    <x v="25"/>
    <s v="Q3-2023"/>
    <d v="2023-09-03T00:00:00"/>
    <d v="2023-08-30T00:00:00"/>
    <n v="4"/>
    <x v="1"/>
    <n v="1"/>
    <x v="1"/>
    <x v="4"/>
    <x v="18"/>
    <s v="Small Business"/>
    <x v="2"/>
    <x v="4"/>
    <x v="6"/>
    <s v="High"/>
    <x v="332"/>
    <n v="1082.25"/>
    <n v="2433.34"/>
    <n v="2433.34"/>
    <x v="178"/>
    <n v="0.27"/>
    <x v="1"/>
    <n v="4"/>
    <x v="332"/>
    <n v="4329"/>
    <n v="2776.3528000000006"/>
    <n v="0.3907410199251472"/>
  </r>
  <r>
    <x v="332"/>
    <x v="285"/>
    <x v="30"/>
    <s v="Q4-2023"/>
    <d v="2023-12-06T00:00:00"/>
    <d v="2023-11-15T00:00:00"/>
    <n v="21"/>
    <x v="0"/>
    <n v="0"/>
    <x v="3"/>
    <x v="8"/>
    <x v="31"/>
    <s v="Education"/>
    <x v="4"/>
    <x v="10"/>
    <x v="6"/>
    <s v="High"/>
    <x v="333"/>
    <n v="1184.99"/>
    <n v="1154.3399999999999"/>
    <n v="1154.3399999999999"/>
    <x v="179"/>
    <n v="2.8000000000000001E-2"/>
    <x v="0"/>
    <n v="5"/>
    <x v="333"/>
    <n v="5924.95"/>
    <n v="-314.85760000000028"/>
    <n v="-5.6123424990290764E-2"/>
  </r>
  <r>
    <x v="333"/>
    <x v="60"/>
    <x v="19"/>
    <s v="Q2-2025"/>
    <d v="2025-05-27T00:00:00"/>
    <d v="2025-04-27T00:00:00"/>
    <n v="30"/>
    <x v="0"/>
    <n v="0"/>
    <x v="1"/>
    <x v="4"/>
    <x v="35"/>
    <s v="Enterprise"/>
    <x v="2"/>
    <x v="10"/>
    <x v="3"/>
    <s v="High"/>
    <x v="334"/>
    <n v="481.32"/>
    <n v="1135.99"/>
    <n v="1135.99"/>
    <x v="180"/>
    <n v="0.14499999999999999"/>
    <x v="0"/>
    <n v="5"/>
    <x v="334"/>
    <n v="2406.6"/>
    <n v="2449.7572500000001"/>
    <n v="0.50444337677175621"/>
  </r>
  <r>
    <x v="334"/>
    <x v="286"/>
    <x v="20"/>
    <s v="Q2-2024"/>
    <d v="2024-04-18T00:00:00"/>
    <d v="2024-04-09T00:00:00"/>
    <n v="9"/>
    <x v="0"/>
    <n v="0"/>
    <x v="3"/>
    <x v="7"/>
    <x v="17"/>
    <s v="Consumer"/>
    <x v="1"/>
    <x v="6"/>
    <x v="1"/>
    <s v="High"/>
    <x v="335"/>
    <n v="1288.8499999999999"/>
    <n v="2751.84"/>
    <n v="2751.84"/>
    <x v="181"/>
    <n v="0.158"/>
    <x v="0"/>
    <n v="7"/>
    <x v="335"/>
    <n v="9021.9499999999989"/>
    <n v="7197.3949600000014"/>
    <n v="0.44375373837538756"/>
  </r>
  <r>
    <x v="335"/>
    <x v="287"/>
    <x v="14"/>
    <s v="Q3-2024"/>
    <d v="2024-07-31T00:00:00"/>
    <d v="2024-07-11T00:00:00"/>
    <n v="20"/>
    <x v="0"/>
    <n v="0"/>
    <x v="1"/>
    <x v="9"/>
    <x v="14"/>
    <s v="Consumer"/>
    <x v="1"/>
    <x v="3"/>
    <x v="3"/>
    <s v="High"/>
    <x v="336"/>
    <n v="647.26"/>
    <n v="1374.72"/>
    <n v="1374.72"/>
    <x v="72"/>
    <n v="6.6000000000000003E-2"/>
    <x v="0"/>
    <n v="22"/>
    <x v="336"/>
    <n v="14239.72"/>
    <n v="14008.02656"/>
    <n v="0.49589890401508901"/>
  </r>
  <r>
    <x v="336"/>
    <x v="142"/>
    <x v="31"/>
    <s v="Q1-2024"/>
    <d v="2024-03-03T00:00:00"/>
    <d v="2024-02-18T00:00:00"/>
    <n v="14"/>
    <x v="0"/>
    <n v="0"/>
    <x v="2"/>
    <x v="5"/>
    <x v="35"/>
    <s v="Enterprise"/>
    <x v="3"/>
    <x v="8"/>
    <x v="1"/>
    <s v="High"/>
    <x v="337"/>
    <n v="624.23"/>
    <n v="1318.37"/>
    <n v="1318.37"/>
    <x v="182"/>
    <n v="0.21"/>
    <x v="1"/>
    <n v="37"/>
    <x v="337"/>
    <n v="23096.510000000002"/>
    <n v="15439.445099999997"/>
    <n v="0.40065038118128793"/>
  </r>
  <r>
    <x v="337"/>
    <x v="288"/>
    <x v="24"/>
    <s v="Q3-2023"/>
    <d v="2023-08-10T00:00:00"/>
    <d v="2023-07-25T00:00:00"/>
    <n v="16"/>
    <x v="0"/>
    <n v="0"/>
    <x v="0"/>
    <x v="1"/>
    <x v="1"/>
    <s v="Corporate"/>
    <x v="3"/>
    <x v="2"/>
    <x v="6"/>
    <s v="Low"/>
    <x v="338"/>
    <n v="506.83"/>
    <n v="441.74"/>
    <n v="441.74"/>
    <x v="183"/>
    <n v="0.24"/>
    <x v="1"/>
    <n v="9"/>
    <x v="338"/>
    <n v="4561.47"/>
    <n v="-1539.9684000000002"/>
    <n v="-0.50966989393618067"/>
  </r>
  <r>
    <x v="338"/>
    <x v="289"/>
    <x v="24"/>
    <s v="Q3-2023"/>
    <d v="2023-07-21T00:00:00"/>
    <d v="2023-07-14T00:00:00"/>
    <n v="7"/>
    <x v="1"/>
    <n v="1"/>
    <x v="0"/>
    <x v="11"/>
    <x v="25"/>
    <s v="Enterprise"/>
    <x v="2"/>
    <x v="15"/>
    <x v="5"/>
    <s v="High"/>
    <x v="339"/>
    <n v="620.74"/>
    <n v="1330.07"/>
    <n v="1330.07"/>
    <x v="184"/>
    <n v="0.29899999999999999"/>
    <x v="1"/>
    <n v="28"/>
    <x v="339"/>
    <n v="17380.72"/>
    <n v="8725.8939600000012"/>
    <n v="0.33424073965967516"/>
  </r>
  <r>
    <x v="339"/>
    <x v="245"/>
    <x v="24"/>
    <s v="Q3-2023"/>
    <d v="2023-08-19T00:00:00"/>
    <d v="2023-07-24T00:00:00"/>
    <n v="26"/>
    <x v="0"/>
    <n v="0"/>
    <x v="0"/>
    <x v="0"/>
    <x v="2"/>
    <s v="Enterprise"/>
    <x v="3"/>
    <x v="12"/>
    <x v="6"/>
    <s v="High"/>
    <x v="340"/>
    <n v="661.45"/>
    <n v="1634.86"/>
    <n v="1634.86"/>
    <x v="185"/>
    <n v="0.56499999999999995"/>
    <x v="1"/>
    <n v="24"/>
    <x v="340"/>
    <n v="15874.800000000001"/>
    <n v="1193.1384000000016"/>
    <n v="6.9905244092045793E-2"/>
  </r>
  <r>
    <x v="340"/>
    <x v="290"/>
    <x v="12"/>
    <s v="Q2-2023"/>
    <d v="2023-04-11T00:00:00"/>
    <d v="2023-04-20T00:00:00"/>
    <n v="-9"/>
    <x v="1"/>
    <n v="1"/>
    <x v="2"/>
    <x v="10"/>
    <x v="24"/>
    <s v="Education"/>
    <x v="2"/>
    <x v="3"/>
    <x v="2"/>
    <s v="Low"/>
    <x v="341"/>
    <n v="32.1"/>
    <n v="70.599999999999994"/>
    <n v="70.599999999999994"/>
    <x v="186"/>
    <n v="0.28199999999999997"/>
    <x v="1"/>
    <n v="22"/>
    <x v="341"/>
    <n v="706.2"/>
    <n v="408.99759999999969"/>
    <n v="0.36674899587301818"/>
  </r>
  <r>
    <x v="341"/>
    <x v="291"/>
    <x v="1"/>
    <s v="Q4-2024"/>
    <d v="2024-11-04T00:00:00"/>
    <d v="2024-10-29T00:00:00"/>
    <n v="6"/>
    <x v="1"/>
    <n v="1"/>
    <x v="0"/>
    <x v="0"/>
    <x v="2"/>
    <s v="Corporate"/>
    <x v="3"/>
    <x v="12"/>
    <x v="1"/>
    <s v="High"/>
    <x v="342"/>
    <n v="805.81"/>
    <n v="1823.04"/>
    <n v="1823.04"/>
    <x v="5"/>
    <n v="0"/>
    <x v="0"/>
    <n v="11"/>
    <x v="342"/>
    <n v="8863.91"/>
    <n v="11189.529999999999"/>
    <n v="0.55798556257679477"/>
  </r>
  <r>
    <x v="342"/>
    <x v="292"/>
    <x v="31"/>
    <s v="Q1-2024"/>
    <d v="2024-03-04T00:00:00"/>
    <d v="2024-02-17T00:00:00"/>
    <n v="16"/>
    <x v="0"/>
    <n v="0"/>
    <x v="1"/>
    <x v="4"/>
    <x v="18"/>
    <s v="Small Business"/>
    <x v="2"/>
    <x v="9"/>
    <x v="3"/>
    <s v="High"/>
    <x v="343"/>
    <n v="1231.8"/>
    <n v="2015.99"/>
    <n v="2015.99"/>
    <x v="187"/>
    <n v="0.26100000000000001"/>
    <x v="1"/>
    <n v="6"/>
    <x v="343"/>
    <n v="7390.7999999999993"/>
    <n v="1548.0996600000017"/>
    <n v="0.17318682599464391"/>
  </r>
  <r>
    <x v="343"/>
    <x v="293"/>
    <x v="14"/>
    <s v="Q3-2024"/>
    <d v="2024-07-12T00:00:00"/>
    <d v="2024-07-20T00:00:00"/>
    <n v="-8"/>
    <x v="1"/>
    <n v="1"/>
    <x v="1"/>
    <x v="2"/>
    <x v="32"/>
    <s v="Small Business"/>
    <x v="2"/>
    <x v="9"/>
    <x v="2"/>
    <s v="Low"/>
    <x v="344"/>
    <n v="105.13"/>
    <n v="244.13"/>
    <n v="244.13"/>
    <x v="88"/>
    <n v="7.0999999999999994E-2"/>
    <x v="0"/>
    <n v="14"/>
    <x v="344"/>
    <n v="1471.82"/>
    <n v="1703.3347799999999"/>
    <n v="0.53645724319618837"/>
  </r>
  <r>
    <x v="344"/>
    <x v="294"/>
    <x v="4"/>
    <s v="Q4-2023"/>
    <d v="2023-12-18T00:00:00"/>
    <d v="2023-12-01T00:00:00"/>
    <n v="17"/>
    <x v="0"/>
    <n v="0"/>
    <x v="1"/>
    <x v="2"/>
    <x v="32"/>
    <s v="Small Business"/>
    <x v="4"/>
    <x v="13"/>
    <x v="4"/>
    <s v="High"/>
    <x v="345"/>
    <n v="1495.79"/>
    <n v="2783.12"/>
    <n v="2783.12"/>
    <x v="113"/>
    <n v="0.02"/>
    <x v="0"/>
    <n v="5"/>
    <x v="345"/>
    <n v="7478.95"/>
    <n v="6158.3379999999988"/>
    <n v="0.45158084217331185"/>
  </r>
  <r>
    <x v="345"/>
    <x v="19"/>
    <x v="14"/>
    <s v="Q3-2024"/>
    <d v="2024-08-02T00:00:00"/>
    <d v="2024-07-25T00:00:00"/>
    <n v="8"/>
    <x v="0"/>
    <n v="0"/>
    <x v="2"/>
    <x v="3"/>
    <x v="19"/>
    <s v="Consumer"/>
    <x v="4"/>
    <x v="1"/>
    <x v="6"/>
    <s v="High"/>
    <x v="346"/>
    <n v="986.81"/>
    <n v="2050.31"/>
    <n v="2050.31"/>
    <x v="172"/>
    <n v="0.10299999999999999"/>
    <x v="0"/>
    <n v="43"/>
    <x v="346"/>
    <n v="42432.829999999994"/>
    <n v="36649.677010000007"/>
    <n v="0.46343595310358138"/>
  </r>
  <r>
    <x v="346"/>
    <x v="177"/>
    <x v="15"/>
    <s v="Q2-2023"/>
    <d v="2023-05-16T00:00:00"/>
    <d v="2023-05-04T00:00:00"/>
    <n v="12"/>
    <x v="0"/>
    <n v="0"/>
    <x v="0"/>
    <x v="1"/>
    <x v="7"/>
    <s v="Small Business"/>
    <x v="2"/>
    <x v="1"/>
    <x v="3"/>
    <s v="Low"/>
    <x v="347"/>
    <n v="77.739999999999995"/>
    <n v="147.12"/>
    <n v="147.12"/>
    <x v="5"/>
    <n v="0"/>
    <x v="0"/>
    <n v="15"/>
    <x v="347"/>
    <n v="1166.0999999999999"/>
    <n v="1040.7000000000003"/>
    <n v="0.47158781946710177"/>
  </r>
  <r>
    <x v="347"/>
    <x v="295"/>
    <x v="4"/>
    <s v="Q4-2023"/>
    <d v="2024-01-06T00:00:00"/>
    <d v="2023-12-21T00:00:00"/>
    <n v="16"/>
    <x v="0"/>
    <n v="0"/>
    <x v="0"/>
    <x v="1"/>
    <x v="35"/>
    <s v="Corporate"/>
    <x v="2"/>
    <x v="11"/>
    <x v="0"/>
    <s v="High"/>
    <x v="348"/>
    <n v="932.61"/>
    <n v="1982.98"/>
    <n v="1982.98"/>
    <x v="41"/>
    <n v="0.14399999999999999"/>
    <x v="0"/>
    <n v="16"/>
    <x v="348"/>
    <n v="14921.76"/>
    <n v="12237.134079999998"/>
    <n v="0.45057556629345635"/>
  </r>
  <r>
    <x v="348"/>
    <x v="296"/>
    <x v="16"/>
    <s v="Q2-2025"/>
    <d v="2025-07-05T00:00:00"/>
    <d v="2025-06-17T00:00:00"/>
    <n v="18"/>
    <x v="0"/>
    <n v="0"/>
    <x v="1"/>
    <x v="4"/>
    <x v="18"/>
    <s v="Consumer"/>
    <x v="2"/>
    <x v="4"/>
    <x v="4"/>
    <s v="High"/>
    <x v="349"/>
    <n v="982.93"/>
    <n v="2299.3000000000002"/>
    <n v="2299.3000000000002"/>
    <x v="139"/>
    <n v="0.113"/>
    <x v="0"/>
    <n v="6"/>
    <x v="349"/>
    <n v="5897.58"/>
    <n v="6339.2946000000011"/>
    <n v="0.51804850562087157"/>
  </r>
  <r>
    <x v="349"/>
    <x v="29"/>
    <x v="2"/>
    <s v="Q1-2023"/>
    <d v="2023-03-08T00:00:00"/>
    <d v="2023-02-23T00:00:00"/>
    <n v="13"/>
    <x v="0"/>
    <n v="0"/>
    <x v="3"/>
    <x v="8"/>
    <x v="31"/>
    <s v="Small Business"/>
    <x v="4"/>
    <x v="0"/>
    <x v="1"/>
    <s v="Low"/>
    <x v="350"/>
    <n v="307.37"/>
    <n v="462.61"/>
    <n v="462.61"/>
    <x v="70"/>
    <n v="0.188"/>
    <x v="0"/>
    <n v="11"/>
    <x v="350"/>
    <n v="3381.07"/>
    <n v="750.9625200000005"/>
    <n v="0.18174167709599739"/>
  </r>
  <r>
    <x v="350"/>
    <x v="297"/>
    <x v="4"/>
    <s v="Q4-2023"/>
    <d v="2023-12-16T00:00:00"/>
    <d v="2023-12-02T00:00:00"/>
    <n v="14"/>
    <x v="0"/>
    <n v="0"/>
    <x v="3"/>
    <x v="6"/>
    <x v="37"/>
    <s v="Education"/>
    <x v="4"/>
    <x v="13"/>
    <x v="5"/>
    <s v="High"/>
    <x v="351"/>
    <n v="879.08"/>
    <n v="1093.3900000000001"/>
    <n v="1093.3900000000001"/>
    <x v="139"/>
    <n v="0.113"/>
    <x v="0"/>
    <n v="17"/>
    <x v="351"/>
    <n v="14944.36"/>
    <n v="1542.8678099999997"/>
    <n v="9.3579577341935186E-2"/>
  </r>
  <r>
    <x v="351"/>
    <x v="289"/>
    <x v="24"/>
    <s v="Q3-2023"/>
    <d v="2023-07-14T00:00:00"/>
    <d v="2023-07-14T00:00:00"/>
    <n v="0"/>
    <x v="1"/>
    <n v="1"/>
    <x v="0"/>
    <x v="1"/>
    <x v="3"/>
    <s v="Education"/>
    <x v="0"/>
    <x v="2"/>
    <x v="6"/>
    <s v="High"/>
    <x v="352"/>
    <n v="956.38"/>
    <n v="1454.22"/>
    <n v="1454.22"/>
    <x v="188"/>
    <n v="3.9E-2"/>
    <x v="0"/>
    <n v="19"/>
    <x v="352"/>
    <n v="18171.22"/>
    <n v="8381.3829799999985"/>
    <n v="0.31565202802576603"/>
  </r>
  <r>
    <x v="352"/>
    <x v="298"/>
    <x v="21"/>
    <s v="Q3-2024"/>
    <d v="2024-08-20T00:00:00"/>
    <d v="2024-08-08T00:00:00"/>
    <n v="12"/>
    <x v="0"/>
    <n v="0"/>
    <x v="1"/>
    <x v="2"/>
    <x v="4"/>
    <s v="Small Business"/>
    <x v="0"/>
    <x v="10"/>
    <x v="2"/>
    <s v="High"/>
    <x v="353"/>
    <n v="1233.3599999999999"/>
    <n v="2120.4"/>
    <n v="2120.4"/>
    <x v="94"/>
    <n v="0.17899999999999999"/>
    <x v="0"/>
    <n v="20"/>
    <x v="353"/>
    <n v="24667.199999999997"/>
    <n v="10149.768000000004"/>
    <n v="0.29151785991244278"/>
  </r>
  <r>
    <x v="353"/>
    <x v="299"/>
    <x v="18"/>
    <s v="Q4-2024"/>
    <d v="2024-11-26T00:00:00"/>
    <d v="2024-11-07T00:00:00"/>
    <n v="19"/>
    <x v="0"/>
    <n v="0"/>
    <x v="2"/>
    <x v="5"/>
    <x v="30"/>
    <s v="Non-Profit"/>
    <x v="3"/>
    <x v="1"/>
    <x v="1"/>
    <s v="Low"/>
    <x v="354"/>
    <n v="55.35"/>
    <n v="128.68"/>
    <n v="128.68"/>
    <x v="137"/>
    <n v="0.128"/>
    <x v="0"/>
    <n v="10"/>
    <x v="354"/>
    <n v="553.5"/>
    <n v="568.58960000000025"/>
    <n v="0.50672388372550647"/>
  </r>
  <r>
    <x v="354"/>
    <x v="300"/>
    <x v="9"/>
    <s v="Q1-2024"/>
    <d v="2024-01-27T00:00:00"/>
    <d v="2024-01-01T00:00:00"/>
    <n v="26"/>
    <x v="0"/>
    <n v="0"/>
    <x v="3"/>
    <x v="8"/>
    <x v="31"/>
    <s v="Education"/>
    <x v="3"/>
    <x v="14"/>
    <x v="6"/>
    <s v="High"/>
    <x v="355"/>
    <n v="657.45"/>
    <n v="1325.96"/>
    <n v="1325.96"/>
    <x v="150"/>
    <n v="0.16700000000000001"/>
    <x v="0"/>
    <n v="21"/>
    <x v="355"/>
    <n v="13806.45"/>
    <n v="9388.5682799999995"/>
    <n v="0.40476658249048808"/>
  </r>
  <r>
    <x v="355"/>
    <x v="301"/>
    <x v="28"/>
    <s v="Q3-2025"/>
    <d v="2025-09-11T00:00:00"/>
    <d v="2025-08-14T00:00:00"/>
    <n v="28"/>
    <x v="0"/>
    <n v="0"/>
    <x v="2"/>
    <x v="5"/>
    <x v="8"/>
    <s v="Non-Profit"/>
    <x v="4"/>
    <x v="9"/>
    <x v="1"/>
    <s v="High"/>
    <x v="356"/>
    <n v="1203.02"/>
    <n v="2439.33"/>
    <n v="2439.33"/>
    <x v="5"/>
    <n v="0"/>
    <x v="0"/>
    <n v="18"/>
    <x v="356"/>
    <n v="21654.36"/>
    <n v="22253.58"/>
    <n v="0.50682359500354612"/>
  </r>
  <r>
    <x v="356"/>
    <x v="149"/>
    <x v="20"/>
    <s v="Q2-2024"/>
    <d v="2024-04-21T00:00:00"/>
    <d v="2024-04-03T00:00:00"/>
    <n v="18"/>
    <x v="0"/>
    <n v="0"/>
    <x v="2"/>
    <x v="5"/>
    <x v="10"/>
    <s v="Small Business"/>
    <x v="3"/>
    <x v="5"/>
    <x v="2"/>
    <s v="High"/>
    <x v="357"/>
    <n v="1176.69"/>
    <n v="2201.54"/>
    <n v="2201.54"/>
    <x v="189"/>
    <n v="0.17"/>
    <x v="0"/>
    <n v="27"/>
    <x v="357"/>
    <n v="31770.63"/>
    <n v="17565.881399999995"/>
    <n v="0.35604222717701106"/>
  </r>
  <r>
    <x v="357"/>
    <x v="302"/>
    <x v="18"/>
    <s v="Q4-2024"/>
    <d v="2024-12-07T00:00:00"/>
    <d v="2024-11-25T00:00:00"/>
    <n v="12"/>
    <x v="0"/>
    <n v="0"/>
    <x v="1"/>
    <x v="9"/>
    <x v="23"/>
    <s v="Corporate"/>
    <x v="3"/>
    <x v="8"/>
    <x v="6"/>
    <s v="High"/>
    <x v="358"/>
    <n v="769.9"/>
    <n v="814.36"/>
    <n v="814.36"/>
    <x v="5"/>
    <n v="0"/>
    <x v="0"/>
    <n v="5"/>
    <x v="358"/>
    <n v="3849.5"/>
    <n v="222.30000000000018"/>
    <n v="5.4595019401738831E-2"/>
  </r>
  <r>
    <x v="358"/>
    <x v="303"/>
    <x v="9"/>
    <s v="Q1-2024"/>
    <d v="2024-02-03T00:00:00"/>
    <d v="2024-01-18T00:00:00"/>
    <n v="16"/>
    <x v="0"/>
    <n v="0"/>
    <x v="0"/>
    <x v="11"/>
    <x v="33"/>
    <s v="Non-Profit"/>
    <x v="3"/>
    <x v="4"/>
    <x v="1"/>
    <s v="High"/>
    <x v="359"/>
    <n v="666.23"/>
    <n v="1382.91"/>
    <n v="1382.91"/>
    <x v="166"/>
    <n v="0.17599999999999999"/>
    <x v="0"/>
    <n v="13"/>
    <x v="359"/>
    <n v="8660.99"/>
    <n v="6152.7419200000022"/>
    <n v="0.41534043907553048"/>
  </r>
  <r>
    <x v="359"/>
    <x v="304"/>
    <x v="17"/>
    <s v="Q2-2024"/>
    <d v="2024-06-25T00:00:00"/>
    <d v="2024-06-23T00:00:00"/>
    <n v="2"/>
    <x v="1"/>
    <n v="1"/>
    <x v="3"/>
    <x v="8"/>
    <x v="12"/>
    <s v="Small Business"/>
    <x v="2"/>
    <x v="4"/>
    <x v="6"/>
    <s v="High"/>
    <x v="360"/>
    <n v="951.44"/>
    <n v="1646.43"/>
    <n v="1646.43"/>
    <x v="46"/>
    <n v="0.11"/>
    <x v="0"/>
    <n v="24"/>
    <x v="360"/>
    <n v="22834.560000000001"/>
    <n v="12333.184799999999"/>
    <n v="0.35069592520473475"/>
  </r>
  <r>
    <x v="360"/>
    <x v="305"/>
    <x v="16"/>
    <s v="Q2-2025"/>
    <d v="2025-07-10T00:00:00"/>
    <d v="2025-06-25T00:00:00"/>
    <n v="15"/>
    <x v="0"/>
    <n v="0"/>
    <x v="3"/>
    <x v="8"/>
    <x v="12"/>
    <s v="Non-Profit"/>
    <x v="2"/>
    <x v="14"/>
    <x v="3"/>
    <s v="Low"/>
    <x v="361"/>
    <n v="546.83000000000004"/>
    <n v="400.84"/>
    <n v="400.84"/>
    <x v="117"/>
    <n v="7.8E-2"/>
    <x v="0"/>
    <n v="13"/>
    <x v="361"/>
    <n v="7108.7900000000009"/>
    <n v="-2304.3217600000007"/>
    <n v="-0.47962056254533608"/>
  </r>
  <r>
    <x v="361"/>
    <x v="306"/>
    <x v="24"/>
    <s v="Q3-2023"/>
    <d v="2023-07-08T00:00:00"/>
    <d v="2023-07-01T00:00:00"/>
    <n v="7"/>
    <x v="1"/>
    <n v="1"/>
    <x v="0"/>
    <x v="1"/>
    <x v="1"/>
    <s v="Corporate"/>
    <x v="0"/>
    <x v="8"/>
    <x v="4"/>
    <s v="High"/>
    <x v="362"/>
    <n v="834.26"/>
    <n v="1780.56"/>
    <n v="1780.56"/>
    <x v="170"/>
    <n v="1.4E-2"/>
    <x v="0"/>
    <n v="47"/>
    <x v="362"/>
    <n v="39210.22"/>
    <n v="43304.491519999996"/>
    <n v="0.5248093427497933"/>
  </r>
  <r>
    <x v="362"/>
    <x v="307"/>
    <x v="0"/>
    <s v="Q1-2024"/>
    <d v="2024-03-26T00:00:00"/>
    <d v="2024-03-09T00:00:00"/>
    <n v="17"/>
    <x v="0"/>
    <n v="0"/>
    <x v="1"/>
    <x v="9"/>
    <x v="14"/>
    <s v="Enterprise"/>
    <x v="1"/>
    <x v="11"/>
    <x v="5"/>
    <s v="High"/>
    <x v="363"/>
    <n v="1029.67"/>
    <n v="1118.43"/>
    <n v="1118.43"/>
    <x v="190"/>
    <n v="0.27200000000000002"/>
    <x v="1"/>
    <n v="9"/>
    <x v="363"/>
    <n v="9267.0300000000007"/>
    <n v="-1939.0766400000002"/>
    <n v="-0.26461367106736061"/>
  </r>
  <r>
    <x v="363"/>
    <x v="308"/>
    <x v="23"/>
    <s v="Q2-2023"/>
    <d v="2023-06-28T00:00:00"/>
    <d v="2023-06-05T00:00:00"/>
    <n v="23"/>
    <x v="0"/>
    <n v="0"/>
    <x v="3"/>
    <x v="8"/>
    <x v="12"/>
    <s v="Corporate"/>
    <x v="4"/>
    <x v="11"/>
    <x v="1"/>
    <s v="High"/>
    <x v="364"/>
    <n v="605.82000000000005"/>
    <n v="771.12"/>
    <n v="771.12"/>
    <x v="191"/>
    <n v="0.13200000000000001"/>
    <x v="0"/>
    <n v="19"/>
    <x v="364"/>
    <n v="11510.580000000002"/>
    <n v="1206.7310399999988"/>
    <n v="9.4888851597986767E-2"/>
  </r>
  <r>
    <x v="364"/>
    <x v="309"/>
    <x v="3"/>
    <s v="Q1-2025"/>
    <d v="2025-04-09T00:00:00"/>
    <d v="2025-03-21T00:00:00"/>
    <n v="19"/>
    <x v="0"/>
    <n v="0"/>
    <x v="1"/>
    <x v="2"/>
    <x v="27"/>
    <s v="Small Business"/>
    <x v="3"/>
    <x v="6"/>
    <x v="0"/>
    <s v="High"/>
    <x v="365"/>
    <n v="1055.45"/>
    <n v="1210.04"/>
    <n v="1210.04"/>
    <x v="99"/>
    <n v="8.9999999999999993E-3"/>
    <x v="0"/>
    <n v="18"/>
    <x v="365"/>
    <n v="18998.100000000002"/>
    <n v="2586.5935199999985"/>
    <n v="0.1198346188053727"/>
  </r>
  <r>
    <x v="365"/>
    <x v="101"/>
    <x v="17"/>
    <s v="Q2-2024"/>
    <d v="2024-06-15T00:00:00"/>
    <d v="2024-06-02T00:00:00"/>
    <n v="13"/>
    <x v="0"/>
    <n v="0"/>
    <x v="0"/>
    <x v="0"/>
    <x v="13"/>
    <s v="Education"/>
    <x v="1"/>
    <x v="7"/>
    <x v="3"/>
    <s v="High"/>
    <x v="366"/>
    <n v="1295.18"/>
    <n v="3024.03"/>
    <n v="3024.03"/>
    <x v="98"/>
    <n v="0.192"/>
    <x v="0"/>
    <n v="8"/>
    <x v="366"/>
    <n v="10361.44"/>
    <n v="9185.8899200000033"/>
    <n v="0.46993067378483178"/>
  </r>
  <r>
    <x v="366"/>
    <x v="310"/>
    <x v="3"/>
    <s v="Q1-2025"/>
    <d v="2025-03-29T00:00:00"/>
    <d v="2025-03-15T00:00:00"/>
    <n v="14"/>
    <x v="0"/>
    <n v="0"/>
    <x v="1"/>
    <x v="4"/>
    <x v="29"/>
    <s v="Enterprise"/>
    <x v="4"/>
    <x v="0"/>
    <x v="0"/>
    <s v="High"/>
    <x v="367"/>
    <n v="935.83"/>
    <n v="2303.46"/>
    <n v="2303.46"/>
    <x v="52"/>
    <n v="0.105"/>
    <x v="0"/>
    <n v="9"/>
    <x v="367"/>
    <n v="8422.4700000000012"/>
    <n v="10131.900299999998"/>
    <n v="0.54606543559174292"/>
  </r>
  <r>
    <x v="367"/>
    <x v="199"/>
    <x v="27"/>
    <s v="Q3-2023"/>
    <d v="2023-10-09T00:00:00"/>
    <d v="2023-09-25T00:00:00"/>
    <n v="14"/>
    <x v="0"/>
    <n v="0"/>
    <x v="2"/>
    <x v="10"/>
    <x v="39"/>
    <s v="Small Business"/>
    <x v="2"/>
    <x v="1"/>
    <x v="4"/>
    <s v="High"/>
    <x v="368"/>
    <n v="1279.56"/>
    <n v="3083.8"/>
    <n v="3083.8"/>
    <x v="192"/>
    <n v="0.106"/>
    <x v="0"/>
    <n v="5"/>
    <x v="368"/>
    <n v="6397.7999999999993"/>
    <n v="7386.7860000000019"/>
    <n v="0.53587289455047848"/>
  </r>
  <r>
    <x v="368"/>
    <x v="35"/>
    <x v="16"/>
    <s v="Q2-2025"/>
    <d v="2025-07-23T00:00:00"/>
    <d v="2025-06-24T00:00:00"/>
    <n v="29"/>
    <x v="0"/>
    <n v="0"/>
    <x v="2"/>
    <x v="3"/>
    <x v="26"/>
    <s v="Non-Profit"/>
    <x v="2"/>
    <x v="2"/>
    <x v="1"/>
    <s v="Low"/>
    <x v="369"/>
    <n v="255.4"/>
    <n v="322.70999999999998"/>
    <n v="322.70999999999998"/>
    <x v="158"/>
    <n v="0.115"/>
    <x v="0"/>
    <n v="16"/>
    <x v="369"/>
    <n v="4086.4"/>
    <n v="483.17359999999962"/>
    <n v="0.10573713048412212"/>
  </r>
  <r>
    <x v="369"/>
    <x v="311"/>
    <x v="4"/>
    <s v="Q4-2023"/>
    <d v="2024-01-03T00:00:00"/>
    <d v="2023-12-26T00:00:00"/>
    <n v="8"/>
    <x v="0"/>
    <n v="0"/>
    <x v="3"/>
    <x v="7"/>
    <x v="17"/>
    <s v="Small Business"/>
    <x v="0"/>
    <x v="12"/>
    <x v="4"/>
    <s v="High"/>
    <x v="370"/>
    <n v="492.75"/>
    <n v="731.29"/>
    <n v="731.29"/>
    <x v="193"/>
    <n v="5.8000000000000003E-2"/>
    <x v="0"/>
    <n v="6"/>
    <x v="370"/>
    <n v="2956.5"/>
    <n v="1176.75108"/>
    <n v="0.28470350753528384"/>
  </r>
  <r>
    <x v="370"/>
    <x v="312"/>
    <x v="2"/>
    <s v="Q1-2023"/>
    <d v="2023-02-28T00:00:00"/>
    <d v="2023-02-05T00:00:00"/>
    <n v="23"/>
    <x v="0"/>
    <n v="0"/>
    <x v="2"/>
    <x v="10"/>
    <x v="36"/>
    <s v="Non-Profit"/>
    <x v="3"/>
    <x v="4"/>
    <x v="3"/>
    <s v="High"/>
    <x v="371"/>
    <n v="1214.49"/>
    <n v="1533.95"/>
    <n v="1533.95"/>
    <x v="5"/>
    <n v="0"/>
    <x v="0"/>
    <n v="11"/>
    <x v="371"/>
    <n v="13359.39"/>
    <n v="3514.0600000000013"/>
    <n v="0.20825972163369086"/>
  </r>
  <r>
    <x v="371"/>
    <x v="89"/>
    <x v="12"/>
    <s v="Q2-2023"/>
    <d v="2023-04-08T00:00:00"/>
    <d v="2023-04-06T00:00:00"/>
    <n v="2"/>
    <x v="1"/>
    <n v="1"/>
    <x v="0"/>
    <x v="1"/>
    <x v="7"/>
    <s v="Small Business"/>
    <x v="2"/>
    <x v="11"/>
    <x v="5"/>
    <s v="High"/>
    <x v="372"/>
    <n v="720.35"/>
    <n v="1571.66"/>
    <n v="1571.66"/>
    <x v="105"/>
    <n v="0.107"/>
    <x v="0"/>
    <n v="23"/>
    <x v="372"/>
    <n v="16568.05"/>
    <n v="15712.274740000001"/>
    <n v="0.4867446305622265"/>
  </r>
  <r>
    <x v="372"/>
    <x v="254"/>
    <x v="19"/>
    <s v="Q2-2025"/>
    <d v="2025-04-10T00:00:00"/>
    <d v="2025-04-04T00:00:00"/>
    <n v="6"/>
    <x v="1"/>
    <n v="1"/>
    <x v="3"/>
    <x v="8"/>
    <x v="12"/>
    <s v="Non-Profit"/>
    <x v="4"/>
    <x v="13"/>
    <x v="1"/>
    <s v="Low"/>
    <x v="373"/>
    <n v="290.14"/>
    <n v="250.73"/>
    <n v="250.73"/>
    <x v="76"/>
    <n v="3.4000000000000002E-2"/>
    <x v="0"/>
    <n v="17"/>
    <x v="373"/>
    <n v="4932.38"/>
    <n v="-814.89194000000043"/>
    <n v="-0.19790997038131072"/>
  </r>
  <r>
    <x v="373"/>
    <x v="313"/>
    <x v="7"/>
    <s v="Q2-2024"/>
    <d v="2024-05-27T00:00:00"/>
    <d v="2024-05-17T00:00:00"/>
    <n v="10"/>
    <x v="0"/>
    <n v="0"/>
    <x v="2"/>
    <x v="10"/>
    <x v="36"/>
    <s v="Non-Profit"/>
    <x v="1"/>
    <x v="0"/>
    <x v="3"/>
    <s v="High"/>
    <x v="374"/>
    <n v="1484.23"/>
    <n v="3472.81"/>
    <n v="3472.81"/>
    <x v="194"/>
    <n v="0.25600000000000001"/>
    <x v="1"/>
    <n v="12"/>
    <x v="374"/>
    <n v="17810.760000000002"/>
    <n v="13194.487679999998"/>
    <n v="0.42555659661803413"/>
  </r>
  <r>
    <x v="374"/>
    <x v="314"/>
    <x v="0"/>
    <s v="Q1-2024"/>
    <d v="2024-03-19T00:00:00"/>
    <d v="2024-03-03T00:00:00"/>
    <n v="16"/>
    <x v="0"/>
    <n v="0"/>
    <x v="1"/>
    <x v="9"/>
    <x v="38"/>
    <s v="Consumer"/>
    <x v="3"/>
    <x v="3"/>
    <x v="3"/>
    <s v="High"/>
    <x v="375"/>
    <n v="988.83"/>
    <n v="1206.04"/>
    <n v="1206.04"/>
    <x v="96"/>
    <n v="6.3E-2"/>
    <x v="0"/>
    <n v="34"/>
    <x v="375"/>
    <n v="33620.22"/>
    <n v="4801.8023200000025"/>
    <n v="0.12497526236406606"/>
  </r>
  <r>
    <x v="375"/>
    <x v="232"/>
    <x v="16"/>
    <s v="Q2-2025"/>
    <d v="2025-07-11T00:00:00"/>
    <d v="2025-06-27T00:00:00"/>
    <n v="14"/>
    <x v="0"/>
    <n v="0"/>
    <x v="1"/>
    <x v="9"/>
    <x v="23"/>
    <s v="Small Business"/>
    <x v="2"/>
    <x v="4"/>
    <x v="2"/>
    <s v="High"/>
    <x v="376"/>
    <n v="1227.7"/>
    <n v="2197.23"/>
    <n v="2197.23"/>
    <x v="74"/>
    <n v="9.9000000000000005E-2"/>
    <x v="0"/>
    <n v="22"/>
    <x v="376"/>
    <n v="27009.4"/>
    <n v="16544.093059999999"/>
    <n v="0.37985685871873898"/>
  </r>
  <r>
    <x v="376"/>
    <x v="315"/>
    <x v="22"/>
    <s v="Q1-2023"/>
    <d v="2023-04-04T00:00:00"/>
    <d v="2023-03-13T00:00:00"/>
    <n v="22"/>
    <x v="0"/>
    <n v="0"/>
    <x v="0"/>
    <x v="11"/>
    <x v="25"/>
    <s v="Small Business"/>
    <x v="0"/>
    <x v="8"/>
    <x v="0"/>
    <s v="High"/>
    <x v="377"/>
    <n v="1113.7"/>
    <n v="1620.6"/>
    <n v="1620.6"/>
    <x v="23"/>
    <n v="0.13900000000000001"/>
    <x v="0"/>
    <n v="11"/>
    <x v="377"/>
    <n v="12250.7"/>
    <n v="3098.002599999998"/>
    <n v="0.20184133348182787"/>
  </r>
  <r>
    <x v="377"/>
    <x v="316"/>
    <x v="10"/>
    <s v="Q1-2025"/>
    <d v="2025-01-20T00:00:00"/>
    <d v="2025-01-07T00:00:00"/>
    <n v="13"/>
    <x v="0"/>
    <n v="0"/>
    <x v="0"/>
    <x v="11"/>
    <x v="33"/>
    <s v="Corporate"/>
    <x v="4"/>
    <x v="11"/>
    <x v="2"/>
    <s v="High"/>
    <x v="378"/>
    <n v="432.13"/>
    <n v="1034.6600000000001"/>
    <n v="1034.6600000000001"/>
    <x v="77"/>
    <n v="9.1999999999999998E-2"/>
    <x v="0"/>
    <n v="7"/>
    <x v="378"/>
    <n v="3024.91"/>
    <n v="3551.3889600000011"/>
    <n v="0.54002851476204794"/>
  </r>
  <r>
    <x v="378"/>
    <x v="317"/>
    <x v="26"/>
    <s v="Q1-2025"/>
    <d v="2025-02-15T00:00:00"/>
    <d v="2025-02-06T00:00:00"/>
    <n v="9"/>
    <x v="0"/>
    <n v="0"/>
    <x v="2"/>
    <x v="5"/>
    <x v="8"/>
    <s v="Non-Profit"/>
    <x v="3"/>
    <x v="9"/>
    <x v="2"/>
    <s v="High"/>
    <x v="379"/>
    <n v="837.39"/>
    <n v="1905.42"/>
    <n v="1905.42"/>
    <x v="195"/>
    <n v="3.2000000000000001E-2"/>
    <x v="0"/>
    <n v="18"/>
    <x v="379"/>
    <n v="15073.02"/>
    <n v="18127.018079999998"/>
    <n v="0.54599389423350919"/>
  </r>
  <r>
    <x v="379"/>
    <x v="318"/>
    <x v="10"/>
    <s v="Q1-2025"/>
    <d v="2025-02-17T00:00:00"/>
    <d v="2025-01-31T00:00:00"/>
    <n v="17"/>
    <x v="0"/>
    <n v="0"/>
    <x v="3"/>
    <x v="8"/>
    <x v="21"/>
    <s v="Enterprise"/>
    <x v="0"/>
    <x v="10"/>
    <x v="0"/>
    <s v="Low"/>
    <x v="78"/>
    <n v="378.26"/>
    <n v="541.55999999999995"/>
    <n v="541.55999999999995"/>
    <x v="196"/>
    <n v="0.16300000000000001"/>
    <x v="0"/>
    <n v="25"/>
    <x v="380"/>
    <n v="9456.5"/>
    <n v="1875.6429999999982"/>
    <n v="0.16551529573885526"/>
  </r>
  <r>
    <x v="380"/>
    <x v="83"/>
    <x v="28"/>
    <s v="Q3-2025"/>
    <d v="2025-09-06T00:00:00"/>
    <d v="2025-08-07T00:00:00"/>
    <n v="30"/>
    <x v="0"/>
    <n v="0"/>
    <x v="2"/>
    <x v="3"/>
    <x v="19"/>
    <s v="Education"/>
    <x v="4"/>
    <x v="12"/>
    <x v="2"/>
    <s v="High"/>
    <x v="380"/>
    <n v="833.73"/>
    <n v="1116.5999999999999"/>
    <n v="1116.5999999999999"/>
    <x v="166"/>
    <n v="0.17599999999999999"/>
    <x v="0"/>
    <n v="14"/>
    <x v="381"/>
    <n v="11672.220000000001"/>
    <n v="1208.877599999998"/>
    <n v="9.3848958958279924E-2"/>
  </r>
  <r>
    <x v="381"/>
    <x v="319"/>
    <x v="13"/>
    <s v="Q3-2025"/>
    <d v="2025-08-17T00:00:00"/>
    <d v="2025-07-23T00:00:00"/>
    <n v="25"/>
    <x v="0"/>
    <n v="0"/>
    <x v="3"/>
    <x v="8"/>
    <x v="12"/>
    <s v="Education"/>
    <x v="1"/>
    <x v="2"/>
    <x v="1"/>
    <s v="High"/>
    <x v="381"/>
    <n v="1142.06"/>
    <n v="1455"/>
    <n v="1455"/>
    <x v="117"/>
    <n v="7.8E-2"/>
    <x v="0"/>
    <n v="28"/>
    <x v="382"/>
    <n v="31977.68"/>
    <n v="5584.5999999999985"/>
    <n v="0.1486757459877302"/>
  </r>
  <r>
    <x v="382"/>
    <x v="264"/>
    <x v="23"/>
    <s v="Q2-2023"/>
    <d v="2023-07-08T00:00:00"/>
    <d v="2023-06-20T00:00:00"/>
    <n v="18"/>
    <x v="0"/>
    <n v="0"/>
    <x v="2"/>
    <x v="10"/>
    <x v="39"/>
    <s v="Consumer"/>
    <x v="2"/>
    <x v="7"/>
    <x v="2"/>
    <s v="High"/>
    <x v="382"/>
    <n v="1145.53"/>
    <n v="1278.3"/>
    <n v="1278.3"/>
    <x v="168"/>
    <n v="0.09"/>
    <x v="0"/>
    <n v="41"/>
    <x v="383"/>
    <n v="46966.729999999996"/>
    <n v="726.64300000000367"/>
    <n v="1.5235722581416158E-2"/>
  </r>
  <r>
    <x v="383"/>
    <x v="320"/>
    <x v="14"/>
    <s v="Q3-2024"/>
    <d v="2024-08-07T00:00:00"/>
    <d v="2024-07-18T00:00:00"/>
    <n v="20"/>
    <x v="0"/>
    <n v="0"/>
    <x v="3"/>
    <x v="7"/>
    <x v="11"/>
    <s v="Corporate"/>
    <x v="0"/>
    <x v="9"/>
    <x v="5"/>
    <s v="High"/>
    <x v="383"/>
    <n v="941.35"/>
    <n v="899.83"/>
    <n v="899.83"/>
    <x v="193"/>
    <n v="5.8000000000000003E-2"/>
    <x v="0"/>
    <n v="18"/>
    <x v="384"/>
    <n v="16944.3"/>
    <n v="-1686.7825199999988"/>
    <n v="-0.11055419220139073"/>
  </r>
  <r>
    <x v="384"/>
    <x v="72"/>
    <x v="15"/>
    <s v="Q2-2023"/>
    <d v="2023-06-19T00:00:00"/>
    <d v="2023-05-20T00:00:00"/>
    <n v="30"/>
    <x v="0"/>
    <n v="0"/>
    <x v="1"/>
    <x v="4"/>
    <x v="18"/>
    <s v="Non-Profit"/>
    <x v="2"/>
    <x v="10"/>
    <x v="4"/>
    <s v="High"/>
    <x v="384"/>
    <n v="1161.2"/>
    <n v="878.73"/>
    <n v="878.73"/>
    <x v="197"/>
    <n v="0.19"/>
    <x v="0"/>
    <n v="31"/>
    <x v="385"/>
    <n v="35997.200000000004"/>
    <n v="-13932.289700000001"/>
    <n v="-0.63142290227212028"/>
  </r>
  <r>
    <x v="385"/>
    <x v="321"/>
    <x v="8"/>
    <s v="Q2-2025"/>
    <d v="2025-05-26T00:00:00"/>
    <d v="2025-05-12T00:00:00"/>
    <n v="14"/>
    <x v="0"/>
    <n v="0"/>
    <x v="1"/>
    <x v="4"/>
    <x v="34"/>
    <s v="Corporate"/>
    <x v="2"/>
    <x v="3"/>
    <x v="1"/>
    <s v="Low"/>
    <x v="385"/>
    <n v="320.12"/>
    <n v="594.41999999999996"/>
    <n v="594.41999999999996"/>
    <x v="67"/>
    <n v="0.104"/>
    <x v="0"/>
    <n v="18"/>
    <x v="386"/>
    <n v="5762.16"/>
    <n v="3824.6457599999994"/>
    <n v="0.39894891538931104"/>
  </r>
  <r>
    <x v="386"/>
    <x v="322"/>
    <x v="7"/>
    <s v="Q2-2024"/>
    <d v="2024-05-12T00:00:00"/>
    <d v="2024-05-07T00:00:00"/>
    <n v="5"/>
    <x v="1"/>
    <n v="1"/>
    <x v="0"/>
    <x v="1"/>
    <x v="7"/>
    <s v="Non-Profit"/>
    <x v="3"/>
    <x v="4"/>
    <x v="4"/>
    <s v="High"/>
    <x v="386"/>
    <n v="1163.99"/>
    <n v="1617.85"/>
    <n v="1617.85"/>
    <x v="110"/>
    <n v="0.127"/>
    <x v="0"/>
    <n v="14"/>
    <x v="387"/>
    <n v="16295.86"/>
    <n v="3477.5026999999973"/>
    <n v="0.17586804797749436"/>
  </r>
  <r>
    <x v="387"/>
    <x v="323"/>
    <x v="27"/>
    <s v="Q3-2023"/>
    <d v="2023-10-03T00:00:00"/>
    <d v="2023-09-30T00:00:00"/>
    <n v="3"/>
    <x v="1"/>
    <n v="1"/>
    <x v="1"/>
    <x v="9"/>
    <x v="38"/>
    <s v="Non-Profit"/>
    <x v="0"/>
    <x v="1"/>
    <x v="4"/>
    <s v="High"/>
    <x v="387"/>
    <n v="1019.36"/>
    <n v="972.91"/>
    <n v="972.91"/>
    <x v="6"/>
    <n v="0.14699999999999999"/>
    <x v="0"/>
    <n v="17"/>
    <x v="388"/>
    <n v="17329.12"/>
    <n v="-3220.9520899999989"/>
    <n v="-0.22830406545678819"/>
  </r>
  <r>
    <x v="388"/>
    <x v="324"/>
    <x v="32"/>
    <s v="Q4-2023"/>
    <d v="2023-11-05T00:00:00"/>
    <d v="2023-10-26T00:00:00"/>
    <n v="10"/>
    <x v="0"/>
    <n v="0"/>
    <x v="0"/>
    <x v="11"/>
    <x v="33"/>
    <s v="Non-Profit"/>
    <x v="1"/>
    <x v="2"/>
    <x v="4"/>
    <s v="Low"/>
    <x v="388"/>
    <n v="20.38"/>
    <n v="42.56"/>
    <n v="42.56"/>
    <x v="3"/>
    <n v="7.1999999999999995E-2"/>
    <x v="0"/>
    <n v="11"/>
    <x v="389"/>
    <n v="224.17999999999998"/>
    <n v="210.27248000000006"/>
    <n v="0.48399419885921713"/>
  </r>
  <r>
    <x v="389"/>
    <x v="325"/>
    <x v="16"/>
    <s v="Q2-2025"/>
    <d v="2025-06-30T00:00:00"/>
    <d v="2025-06-15T00:00:00"/>
    <n v="15"/>
    <x v="0"/>
    <n v="0"/>
    <x v="0"/>
    <x v="11"/>
    <x v="20"/>
    <s v="Small Business"/>
    <x v="4"/>
    <x v="0"/>
    <x v="5"/>
    <s v="High"/>
    <x v="389"/>
    <n v="1487.59"/>
    <n v="1480.83"/>
    <n v="1480.83"/>
    <x v="99"/>
    <n v="8.9999999999999993E-3"/>
    <x v="0"/>
    <n v="11"/>
    <x v="390"/>
    <n v="16363.49"/>
    <n v="-220.9621700000007"/>
    <n v="-1.3688201273492908E-2"/>
  </r>
  <r>
    <x v="390"/>
    <x v="326"/>
    <x v="21"/>
    <s v="Q3-2024"/>
    <d v="2024-09-07T00:00:00"/>
    <d v="2024-08-10T00:00:00"/>
    <n v="28"/>
    <x v="0"/>
    <n v="0"/>
    <x v="3"/>
    <x v="7"/>
    <x v="11"/>
    <s v="Non-Profit"/>
    <x v="4"/>
    <x v="9"/>
    <x v="1"/>
    <s v="Low"/>
    <x v="390"/>
    <n v="229.96"/>
    <n v="564.26"/>
    <n v="564.26"/>
    <x v="52"/>
    <n v="0.105"/>
    <x v="0"/>
    <n v="5"/>
    <x v="391"/>
    <n v="1149.8"/>
    <n v="1375.2635000000002"/>
    <n v="0.54464511486542821"/>
  </r>
  <r>
    <x v="391"/>
    <x v="327"/>
    <x v="32"/>
    <s v="Q4-2023"/>
    <d v="2023-10-26T00:00:00"/>
    <d v="2023-10-09T00:00:00"/>
    <n v="17"/>
    <x v="0"/>
    <n v="0"/>
    <x v="1"/>
    <x v="9"/>
    <x v="23"/>
    <s v="Consumer"/>
    <x v="2"/>
    <x v="0"/>
    <x v="0"/>
    <s v="High"/>
    <x v="391"/>
    <n v="1132.03"/>
    <n v="2137.21"/>
    <n v="2137.21"/>
    <x v="198"/>
    <n v="0.35699999999999998"/>
    <x v="1"/>
    <n v="35"/>
    <x v="392"/>
    <n v="39621.049999999996"/>
    <n v="8476.8610500000068"/>
    <n v="0.17624177152284051"/>
  </r>
  <r>
    <x v="392"/>
    <x v="307"/>
    <x v="0"/>
    <s v="Q1-2024"/>
    <d v="2024-03-26T00:00:00"/>
    <d v="2024-03-09T00:00:00"/>
    <n v="17"/>
    <x v="0"/>
    <n v="0"/>
    <x v="2"/>
    <x v="10"/>
    <x v="24"/>
    <s v="Education"/>
    <x v="4"/>
    <x v="2"/>
    <x v="3"/>
    <s v="High"/>
    <x v="392"/>
    <n v="1137.4100000000001"/>
    <n v="1680.93"/>
    <n v="1680.93"/>
    <x v="116"/>
    <n v="0.254"/>
    <x v="1"/>
    <n v="9"/>
    <x v="393"/>
    <n v="10236.69"/>
    <n v="1049.07402"/>
    <n v="9.2955516183121464E-2"/>
  </r>
  <r>
    <x v="393"/>
    <x v="328"/>
    <x v="15"/>
    <s v="Q2-2023"/>
    <d v="2023-06-20T00:00:00"/>
    <d v="2023-05-29T00:00:00"/>
    <n v="22"/>
    <x v="0"/>
    <n v="0"/>
    <x v="3"/>
    <x v="8"/>
    <x v="21"/>
    <s v="Small Business"/>
    <x v="4"/>
    <x v="11"/>
    <x v="0"/>
    <s v="High"/>
    <x v="393"/>
    <n v="1295.3900000000001"/>
    <n v="2905.06"/>
    <n v="2905.06"/>
    <x v="135"/>
    <n v="0.14799999999999999"/>
    <x v="0"/>
    <n v="8"/>
    <x v="394"/>
    <n v="10363.120000000001"/>
    <n v="9437.7689599999994"/>
    <n v="0.47663359857556614"/>
  </r>
  <r>
    <x v="394"/>
    <x v="329"/>
    <x v="8"/>
    <s v="Q2-2025"/>
    <d v="2025-06-08T00:00:00"/>
    <d v="2025-05-27T00:00:00"/>
    <n v="12"/>
    <x v="0"/>
    <n v="0"/>
    <x v="1"/>
    <x v="2"/>
    <x v="4"/>
    <s v="Corporate"/>
    <x v="0"/>
    <x v="10"/>
    <x v="6"/>
    <s v="High"/>
    <x v="394"/>
    <n v="653.6"/>
    <n v="842.09"/>
    <n v="842.09"/>
    <x v="199"/>
    <n v="9.8000000000000004E-2"/>
    <x v="0"/>
    <n v="19"/>
    <x v="395"/>
    <n v="12418.4"/>
    <n v="2013.3384200000019"/>
    <n v="0.13950768517324622"/>
  </r>
  <r>
    <x v="395"/>
    <x v="164"/>
    <x v="28"/>
    <s v="Q3-2025"/>
    <d v="2025-09-14T00:00:00"/>
    <d v="2025-08-21T00:00:00"/>
    <n v="24"/>
    <x v="0"/>
    <n v="0"/>
    <x v="3"/>
    <x v="6"/>
    <x v="9"/>
    <s v="Non-Profit"/>
    <x v="1"/>
    <x v="8"/>
    <x v="5"/>
    <s v="High"/>
    <x v="395"/>
    <n v="1397.67"/>
    <n v="3131.37"/>
    <n v="3131.37"/>
    <x v="172"/>
    <n v="0.10299999999999999"/>
    <x v="0"/>
    <n v="20"/>
    <x v="396"/>
    <n v="27953.4"/>
    <n v="28223.377799999995"/>
    <n v="0.50240293062874808"/>
  </r>
  <r>
    <x v="396"/>
    <x v="330"/>
    <x v="6"/>
    <s v="Q4-2024"/>
    <d v="2024-12-20T00:00:00"/>
    <d v="2024-12-12T00:00:00"/>
    <n v="8"/>
    <x v="0"/>
    <n v="0"/>
    <x v="1"/>
    <x v="2"/>
    <x v="27"/>
    <s v="Corporate"/>
    <x v="0"/>
    <x v="5"/>
    <x v="4"/>
    <s v="High"/>
    <x v="396"/>
    <n v="1202.47"/>
    <n v="1444.72"/>
    <n v="1444.72"/>
    <x v="65"/>
    <n v="0.24099999999999999"/>
    <x v="1"/>
    <n v="17"/>
    <x v="397"/>
    <n v="20441.990000000002"/>
    <n v="-1800.7678400000004"/>
    <n v="-9.6601382921343834E-2"/>
  </r>
  <r>
    <x v="397"/>
    <x v="284"/>
    <x v="11"/>
    <s v="Q3-2025"/>
    <d v="2025-09-23T00:00:00"/>
    <d v="2025-09-14T00:00:00"/>
    <n v="9"/>
    <x v="0"/>
    <n v="0"/>
    <x v="0"/>
    <x v="11"/>
    <x v="25"/>
    <s v="Non-Profit"/>
    <x v="1"/>
    <x v="14"/>
    <x v="0"/>
    <s v="High"/>
    <x v="397"/>
    <n v="1310.3"/>
    <n v="2875.8"/>
    <n v="2875.8"/>
    <x v="200"/>
    <n v="8.3000000000000004E-2"/>
    <x v="0"/>
    <n v="5"/>
    <x v="398"/>
    <n v="6551.5"/>
    <n v="6634.0429999999997"/>
    <n v="0.50313005691157353"/>
  </r>
  <r>
    <x v="398"/>
    <x v="331"/>
    <x v="29"/>
    <s v="Q3-2024"/>
    <d v="2024-10-04T00:00:00"/>
    <d v="2024-09-06T00:00:00"/>
    <n v="28"/>
    <x v="0"/>
    <n v="0"/>
    <x v="0"/>
    <x v="11"/>
    <x v="33"/>
    <s v="Corporate"/>
    <x v="2"/>
    <x v="14"/>
    <x v="5"/>
    <s v="High"/>
    <x v="398"/>
    <n v="1174.17"/>
    <n v="1641.61"/>
    <n v="1641.61"/>
    <x v="153"/>
    <n v="0.122"/>
    <x v="0"/>
    <n v="9"/>
    <x v="399"/>
    <n v="10567.53"/>
    <n v="2404.4722199999997"/>
    <n v="0.18535860380079394"/>
  </r>
  <r>
    <x v="399"/>
    <x v="332"/>
    <x v="19"/>
    <s v="Q2-2025"/>
    <d v="2025-04-30T00:00:00"/>
    <d v="2025-04-12T00:00:00"/>
    <n v="18"/>
    <x v="0"/>
    <n v="0"/>
    <x v="0"/>
    <x v="0"/>
    <x v="0"/>
    <s v="Corporate"/>
    <x v="2"/>
    <x v="9"/>
    <x v="2"/>
    <s v="High"/>
    <x v="399"/>
    <n v="1119.04"/>
    <n v="1299.02"/>
    <n v="1299.02"/>
    <x v="109"/>
    <n v="2.5000000000000001E-2"/>
    <x v="0"/>
    <n v="14"/>
    <x v="400"/>
    <n v="15666.56"/>
    <n v="2065.0630000000001"/>
    <n v="0.11646215352085933"/>
  </r>
  <r>
    <x v="400"/>
    <x v="175"/>
    <x v="21"/>
    <s v="Q3-2024"/>
    <d v="2024-08-15T00:00:00"/>
    <d v="2024-08-12T00:00:00"/>
    <n v="3"/>
    <x v="1"/>
    <n v="1"/>
    <x v="2"/>
    <x v="10"/>
    <x v="15"/>
    <s v="Corporate"/>
    <x v="2"/>
    <x v="14"/>
    <x v="1"/>
    <s v="High"/>
    <x v="400"/>
    <n v="850.7"/>
    <n v="1118.56"/>
    <n v="1118.56"/>
    <x v="79"/>
    <n v="0.18"/>
    <x v="0"/>
    <n v="19"/>
    <x v="401"/>
    <n v="16163.300000000001"/>
    <n v="1263.8648000000012"/>
    <n v="7.2522685962090688E-2"/>
  </r>
  <r>
    <x v="401"/>
    <x v="333"/>
    <x v="18"/>
    <s v="Q4-2024"/>
    <d v="2024-11-08T00:00:00"/>
    <d v="2024-11-05T00:00:00"/>
    <n v="3"/>
    <x v="1"/>
    <n v="1"/>
    <x v="2"/>
    <x v="3"/>
    <x v="5"/>
    <s v="Education"/>
    <x v="2"/>
    <x v="7"/>
    <x v="0"/>
    <s v="High"/>
    <x v="401"/>
    <n v="1020.4"/>
    <n v="1184.71"/>
    <n v="1184.71"/>
    <x v="192"/>
    <n v="0.106"/>
    <x v="0"/>
    <n v="16"/>
    <x v="402"/>
    <n v="16326.4"/>
    <n v="619.69184000000132"/>
    <n v="3.6568422138328345E-2"/>
  </r>
  <r>
    <x v="402"/>
    <x v="334"/>
    <x v="14"/>
    <s v="Q3-2024"/>
    <d v="2024-08-08T00:00:00"/>
    <d v="2024-07-24T00:00:00"/>
    <n v="15"/>
    <x v="0"/>
    <n v="0"/>
    <x v="3"/>
    <x v="7"/>
    <x v="11"/>
    <s v="Enterprise"/>
    <x v="2"/>
    <x v="10"/>
    <x v="4"/>
    <s v="High"/>
    <x v="402"/>
    <n v="501.5"/>
    <n v="1201.47"/>
    <n v="1201.47"/>
    <x v="38"/>
    <n v="0.126"/>
    <x v="0"/>
    <n v="5"/>
    <x v="403"/>
    <n v="2507.5"/>
    <n v="2742.9239000000007"/>
    <n v="0.52241951359394057"/>
  </r>
  <r>
    <x v="403"/>
    <x v="335"/>
    <x v="10"/>
    <s v="Q1-2025"/>
    <d v="2025-02-03T00:00:00"/>
    <d v="2025-01-20T00:00:00"/>
    <n v="14"/>
    <x v="0"/>
    <n v="0"/>
    <x v="2"/>
    <x v="5"/>
    <x v="10"/>
    <s v="Enterprise"/>
    <x v="2"/>
    <x v="9"/>
    <x v="0"/>
    <s v="High"/>
    <x v="403"/>
    <n v="974.11"/>
    <n v="880.99"/>
    <n v="880.99"/>
    <x v="95"/>
    <n v="0.111"/>
    <x v="0"/>
    <n v="10"/>
    <x v="404"/>
    <n v="9741.1"/>
    <n v="-1909.0989000000009"/>
    <n v="-0.2437562093805121"/>
  </r>
  <r>
    <x v="404"/>
    <x v="336"/>
    <x v="22"/>
    <s v="Q1-2023"/>
    <d v="2023-04-04T00:00:00"/>
    <d v="2023-03-06T00:00:00"/>
    <n v="29"/>
    <x v="0"/>
    <n v="0"/>
    <x v="1"/>
    <x v="9"/>
    <x v="38"/>
    <s v="Small Business"/>
    <x v="4"/>
    <x v="0"/>
    <x v="5"/>
    <s v="High"/>
    <x v="404"/>
    <n v="1126.29"/>
    <n v="2050.87"/>
    <n v="2050.87"/>
    <x v="201"/>
    <n v="6.4000000000000001E-2"/>
    <x v="0"/>
    <n v="7"/>
    <x v="405"/>
    <n v="7884.03"/>
    <n v="5553.2702399999989"/>
    <n v="0.41327276616690373"/>
  </r>
  <r>
    <x v="405"/>
    <x v="337"/>
    <x v="6"/>
    <s v="Q4-2024"/>
    <d v="2025-01-14T00:00:00"/>
    <d v="2024-12-20T00:00:00"/>
    <n v="25"/>
    <x v="0"/>
    <n v="0"/>
    <x v="1"/>
    <x v="4"/>
    <x v="18"/>
    <s v="Small Business"/>
    <x v="0"/>
    <x v="12"/>
    <x v="1"/>
    <s v="High"/>
    <x v="405"/>
    <n v="1361.34"/>
    <n v="1737.9"/>
    <n v="1737.9"/>
    <x v="202"/>
    <n v="7.6999999999999999E-2"/>
    <x v="0"/>
    <n v="14"/>
    <x v="406"/>
    <n v="19058.759999999998"/>
    <n v="3398.3838000000032"/>
    <n v="0.15132751654731813"/>
  </r>
  <r>
    <x v="406"/>
    <x v="338"/>
    <x v="26"/>
    <s v="Q1-2025"/>
    <d v="2025-03-21T00:00:00"/>
    <d v="2025-02-21T00:00:00"/>
    <n v="28"/>
    <x v="0"/>
    <n v="0"/>
    <x v="0"/>
    <x v="1"/>
    <x v="7"/>
    <s v="Enterprise"/>
    <x v="2"/>
    <x v="2"/>
    <x v="3"/>
    <s v="High"/>
    <x v="406"/>
    <n v="1437.39"/>
    <n v="1388.31"/>
    <n v="1388.31"/>
    <x v="159"/>
    <n v="0.13800000000000001"/>
    <x v="0"/>
    <n v="18"/>
    <x v="407"/>
    <n v="25873.02"/>
    <n v="-4332.002040000003"/>
    <n v="-0.20110479681341872"/>
  </r>
  <r>
    <x v="407"/>
    <x v="339"/>
    <x v="3"/>
    <s v="Q1-2025"/>
    <d v="2025-03-15T00:00:00"/>
    <d v="2025-03-08T00:00:00"/>
    <n v="7"/>
    <x v="1"/>
    <n v="1"/>
    <x v="1"/>
    <x v="4"/>
    <x v="6"/>
    <s v="Corporate"/>
    <x v="3"/>
    <x v="11"/>
    <x v="4"/>
    <s v="Low"/>
    <x v="407"/>
    <n v="475.66"/>
    <n v="529.14"/>
    <n v="529.14"/>
    <x v="124"/>
    <n v="0.19600000000000001"/>
    <x v="0"/>
    <n v="11"/>
    <x v="408"/>
    <n v="5232.26"/>
    <n v="-552.54583999999977"/>
    <n v="-0.11807256193613323"/>
  </r>
  <r>
    <x v="408"/>
    <x v="340"/>
    <x v="4"/>
    <s v="Q4-2023"/>
    <d v="2023-12-19T00:00:00"/>
    <d v="2023-12-16T00:00:00"/>
    <n v="3"/>
    <x v="1"/>
    <n v="1"/>
    <x v="1"/>
    <x v="9"/>
    <x v="38"/>
    <s v="Education"/>
    <x v="0"/>
    <x v="8"/>
    <x v="6"/>
    <s v="High"/>
    <x v="408"/>
    <n v="1415.05"/>
    <n v="1972.38"/>
    <n v="1972.38"/>
    <x v="5"/>
    <n v="0"/>
    <x v="0"/>
    <n v="12"/>
    <x v="409"/>
    <n v="16980.599999999999"/>
    <n v="6687.9600000000028"/>
    <n v="0.28256725377462771"/>
  </r>
  <r>
    <x v="409"/>
    <x v="341"/>
    <x v="21"/>
    <s v="Q3-2024"/>
    <d v="2024-09-05T00:00:00"/>
    <d v="2024-08-30T00:00:00"/>
    <n v="6"/>
    <x v="1"/>
    <n v="1"/>
    <x v="1"/>
    <x v="2"/>
    <x v="32"/>
    <s v="Education"/>
    <x v="1"/>
    <x v="13"/>
    <x v="4"/>
    <s v="High"/>
    <x v="409"/>
    <n v="466.16"/>
    <n v="876.81"/>
    <n v="876.81"/>
    <x v="65"/>
    <n v="0.24099999999999999"/>
    <x v="1"/>
    <n v="8"/>
    <x v="410"/>
    <n v="3729.28"/>
    <n v="1594.7103199999997"/>
    <n v="0.29953291124691594"/>
  </r>
  <r>
    <x v="410"/>
    <x v="22"/>
    <x v="7"/>
    <s v="Q2-2024"/>
    <d v="2024-05-21T00:00:00"/>
    <d v="2024-05-18T00:00:00"/>
    <n v="3"/>
    <x v="1"/>
    <n v="1"/>
    <x v="3"/>
    <x v="7"/>
    <x v="11"/>
    <s v="Non-Profit"/>
    <x v="2"/>
    <x v="14"/>
    <x v="1"/>
    <s v="High"/>
    <x v="410"/>
    <n v="663.66"/>
    <n v="824.26"/>
    <n v="824.26"/>
    <x v="177"/>
    <n v="0.23899999999999999"/>
    <x v="1"/>
    <n v="11"/>
    <x v="411"/>
    <n v="7300.2599999999993"/>
    <n v="-400.379539999999"/>
    <n v="-5.8027025587048933E-2"/>
  </r>
  <r>
    <x v="411"/>
    <x v="342"/>
    <x v="22"/>
    <s v="Q1-2023"/>
    <d v="2023-04-06T00:00:00"/>
    <d v="2023-03-17T00:00:00"/>
    <n v="20"/>
    <x v="0"/>
    <n v="0"/>
    <x v="3"/>
    <x v="6"/>
    <x v="22"/>
    <s v="Consumer"/>
    <x v="0"/>
    <x v="7"/>
    <x v="3"/>
    <s v="High"/>
    <x v="411"/>
    <n v="692.18"/>
    <n v="1159.3499999999999"/>
    <n v="1159.3499999999999"/>
    <x v="0"/>
    <n v="0.112"/>
    <x v="0"/>
    <n v="2"/>
    <x v="412"/>
    <n v="1384.36"/>
    <n v="674.64560000000006"/>
    <n v="0.32765602968734037"/>
  </r>
  <r>
    <x v="412"/>
    <x v="343"/>
    <x v="25"/>
    <s v="Q3-2023"/>
    <d v="2023-09-16T00:00:00"/>
    <d v="2023-08-25T00:00:00"/>
    <n v="22"/>
    <x v="0"/>
    <n v="0"/>
    <x v="0"/>
    <x v="1"/>
    <x v="7"/>
    <s v="Corporate"/>
    <x v="2"/>
    <x v="4"/>
    <x v="3"/>
    <s v="High"/>
    <x v="412"/>
    <n v="1196.83"/>
    <n v="2513.5100000000002"/>
    <n v="2513.5100000000002"/>
    <x v="200"/>
    <n v="8.3000000000000004E-2"/>
    <x v="0"/>
    <n v="7"/>
    <x v="413"/>
    <n v="8377.81"/>
    <n v="7756.4106900000006"/>
    <n v="0.48074281609445374"/>
  </r>
  <r>
    <x v="413"/>
    <x v="344"/>
    <x v="17"/>
    <s v="Q2-2024"/>
    <d v="2024-06-24T00:00:00"/>
    <d v="2024-06-06T00:00:00"/>
    <n v="18"/>
    <x v="0"/>
    <n v="0"/>
    <x v="1"/>
    <x v="4"/>
    <x v="6"/>
    <s v="Small Business"/>
    <x v="4"/>
    <x v="10"/>
    <x v="2"/>
    <s v="High"/>
    <x v="413"/>
    <n v="1253.25"/>
    <n v="3087.13"/>
    <n v="3087.13"/>
    <x v="3"/>
    <n v="7.1999999999999995E-2"/>
    <x v="0"/>
    <n v="11"/>
    <x v="414"/>
    <n v="13785.75"/>
    <n v="17727.673040000001"/>
    <n v="0.562543555408064"/>
  </r>
  <r>
    <x v="414"/>
    <x v="345"/>
    <x v="25"/>
    <s v="Q3-2023"/>
    <d v="2023-09-13T00:00:00"/>
    <d v="2023-08-29T00:00:00"/>
    <n v="15"/>
    <x v="0"/>
    <n v="0"/>
    <x v="2"/>
    <x v="3"/>
    <x v="26"/>
    <s v="Small Business"/>
    <x v="2"/>
    <x v="7"/>
    <x v="1"/>
    <s v="High"/>
    <x v="414"/>
    <n v="1287.6400000000001"/>
    <n v="2717.15"/>
    <n v="2717.15"/>
    <x v="195"/>
    <n v="3.2000000000000001E-2"/>
    <x v="0"/>
    <n v="7"/>
    <x v="415"/>
    <n v="9013.4800000000014"/>
    <n v="9397.9283999999989"/>
    <n v="0.51044049405802105"/>
  </r>
  <r>
    <x v="415"/>
    <x v="25"/>
    <x v="18"/>
    <s v="Q4-2024"/>
    <d v="2024-12-10T00:00:00"/>
    <d v="2024-11-30T00:00:00"/>
    <n v="10"/>
    <x v="0"/>
    <n v="0"/>
    <x v="1"/>
    <x v="4"/>
    <x v="34"/>
    <s v="Small Business"/>
    <x v="0"/>
    <x v="9"/>
    <x v="6"/>
    <s v="High"/>
    <x v="415"/>
    <n v="851.49"/>
    <n v="901.79"/>
    <n v="901.79"/>
    <x v="103"/>
    <n v="0.245"/>
    <x v="1"/>
    <n v="16"/>
    <x v="416"/>
    <n v="13623.84"/>
    <n v="-2730.2168000000001"/>
    <n v="-0.25062522816100341"/>
  </r>
  <r>
    <x v="416"/>
    <x v="346"/>
    <x v="16"/>
    <s v="Q2-2025"/>
    <d v="2025-06-14T00:00:00"/>
    <d v="2025-06-05T00:00:00"/>
    <n v="9"/>
    <x v="0"/>
    <n v="0"/>
    <x v="1"/>
    <x v="4"/>
    <x v="18"/>
    <s v="Non-Profit"/>
    <x v="0"/>
    <x v="8"/>
    <x v="6"/>
    <s v="High"/>
    <x v="416"/>
    <n v="618.69000000000005"/>
    <n v="796.15"/>
    <n v="796.15"/>
    <x v="168"/>
    <n v="0.09"/>
    <x v="0"/>
    <n v="11"/>
    <x v="417"/>
    <n v="6805.59"/>
    <n v="1163.8715000000002"/>
    <n v="0.14604142325049191"/>
  </r>
  <r>
    <x v="417"/>
    <x v="252"/>
    <x v="3"/>
    <s v="Q1-2025"/>
    <d v="2025-04-08T00:00:00"/>
    <d v="2025-03-14T00:00:00"/>
    <n v="25"/>
    <x v="0"/>
    <n v="0"/>
    <x v="1"/>
    <x v="9"/>
    <x v="35"/>
    <s v="Corporate"/>
    <x v="3"/>
    <x v="14"/>
    <x v="1"/>
    <s v="Low"/>
    <x v="417"/>
    <n v="80.59"/>
    <n v="157.82"/>
    <n v="157.82"/>
    <x v="203"/>
    <n v="0.217"/>
    <x v="1"/>
    <n v="6"/>
    <x v="418"/>
    <n v="483.54"/>
    <n v="257.89835999999997"/>
    <n v="0.34783519967863541"/>
  </r>
  <r>
    <x v="418"/>
    <x v="347"/>
    <x v="9"/>
    <s v="Q1-2024"/>
    <d v="2024-02-11T00:00:00"/>
    <d v="2024-01-16T00:00:00"/>
    <n v="26"/>
    <x v="0"/>
    <n v="0"/>
    <x v="3"/>
    <x v="6"/>
    <x v="37"/>
    <s v="Non-Profit"/>
    <x v="3"/>
    <x v="6"/>
    <x v="5"/>
    <s v="High"/>
    <x v="418"/>
    <n v="504.93"/>
    <n v="819.06"/>
    <n v="819.06"/>
    <x v="204"/>
    <n v="0.22600000000000001"/>
    <x v="1"/>
    <n v="15"/>
    <x v="419"/>
    <n v="7573.95"/>
    <n v="1935.3365999999996"/>
    <n v="0.20352069312959814"/>
  </r>
  <r>
    <x v="419"/>
    <x v="348"/>
    <x v="32"/>
    <s v="Q4-2023"/>
    <d v="2023-10-29T00:00:00"/>
    <d v="2023-10-12T00:00:00"/>
    <n v="17"/>
    <x v="0"/>
    <n v="0"/>
    <x v="1"/>
    <x v="2"/>
    <x v="32"/>
    <s v="Non-Profit"/>
    <x v="4"/>
    <x v="10"/>
    <x v="3"/>
    <s v="High"/>
    <x v="419"/>
    <n v="1102.19"/>
    <n v="1711.16"/>
    <n v="1711.16"/>
    <x v="102"/>
    <n v="0.151"/>
    <x v="0"/>
    <n v="10"/>
    <x v="420"/>
    <n v="11021.900000000001"/>
    <n v="3505.8484000000008"/>
    <n v="0.24132083675127525"/>
  </r>
  <r>
    <x v="420"/>
    <x v="349"/>
    <x v="26"/>
    <s v="Q1-2025"/>
    <d v="2025-03-17T00:00:00"/>
    <d v="2025-02-25T00:00:00"/>
    <n v="20"/>
    <x v="0"/>
    <n v="0"/>
    <x v="2"/>
    <x v="10"/>
    <x v="24"/>
    <s v="Non-Profit"/>
    <x v="2"/>
    <x v="10"/>
    <x v="3"/>
    <s v="High"/>
    <x v="420"/>
    <n v="1205.26"/>
    <n v="1696.35"/>
    <n v="1696.35"/>
    <x v="205"/>
    <n v="1.9E-2"/>
    <x v="0"/>
    <n v="6"/>
    <x v="421"/>
    <n v="7231.5599999999995"/>
    <n v="2753.1560999999983"/>
    <n v="0.27573704374028213"/>
  </r>
  <r>
    <x v="421"/>
    <x v="350"/>
    <x v="13"/>
    <s v="Q3-2025"/>
    <d v="2025-07-06T00:00:00"/>
    <d v="2025-07-03T00:00:00"/>
    <n v="3"/>
    <x v="1"/>
    <n v="1"/>
    <x v="0"/>
    <x v="1"/>
    <x v="3"/>
    <s v="Consumer"/>
    <x v="1"/>
    <x v="15"/>
    <x v="4"/>
    <s v="High"/>
    <x v="421"/>
    <n v="1313.3"/>
    <n v="2884.34"/>
    <n v="2884.34"/>
    <x v="87"/>
    <n v="0.157"/>
    <x v="0"/>
    <n v="42"/>
    <x v="422"/>
    <n v="55158.6"/>
    <n v="46964.342039999996"/>
    <n v="0.45988042551305253"/>
  </r>
  <r>
    <x v="422"/>
    <x v="165"/>
    <x v="11"/>
    <s v="Q3-2025"/>
    <d v="2025-09-25T00:00:00"/>
    <d v="2025-09-15T00:00:00"/>
    <n v="10"/>
    <x v="0"/>
    <n v="0"/>
    <x v="1"/>
    <x v="4"/>
    <x v="18"/>
    <s v="Consumer"/>
    <x v="0"/>
    <x v="8"/>
    <x v="3"/>
    <s v="High"/>
    <x v="422"/>
    <n v="1488.91"/>
    <n v="1483.74"/>
    <n v="1483.74"/>
    <x v="21"/>
    <n v="0.16800000000000001"/>
    <x v="0"/>
    <n v="24"/>
    <x v="423"/>
    <n v="35733.840000000004"/>
    <n v="-6106.5196800000049"/>
    <n v="-0.20611110333450519"/>
  </r>
  <r>
    <x v="423"/>
    <x v="351"/>
    <x v="31"/>
    <s v="Q1-2024"/>
    <d v="2024-03-06T00:00:00"/>
    <d v="2024-02-19T00:00:00"/>
    <n v="16"/>
    <x v="0"/>
    <n v="0"/>
    <x v="1"/>
    <x v="9"/>
    <x v="38"/>
    <s v="Education"/>
    <x v="2"/>
    <x v="7"/>
    <x v="1"/>
    <s v="High"/>
    <x v="423"/>
    <n v="1477.84"/>
    <n v="3197.47"/>
    <n v="3197.47"/>
    <x v="28"/>
    <n v="0.24299999999999999"/>
    <x v="1"/>
    <n v="24"/>
    <x v="424"/>
    <n v="35468.159999999996"/>
    <n v="22623.474960000007"/>
    <n v="0.38944462443823091"/>
  </r>
  <r>
    <x v="424"/>
    <x v="352"/>
    <x v="31"/>
    <s v="Q1-2024"/>
    <d v="2024-03-26T00:00:00"/>
    <d v="2024-02-27T00:00:00"/>
    <n v="28"/>
    <x v="0"/>
    <n v="0"/>
    <x v="1"/>
    <x v="4"/>
    <x v="29"/>
    <s v="Education"/>
    <x v="2"/>
    <x v="3"/>
    <x v="4"/>
    <s v="High"/>
    <x v="424"/>
    <n v="1035.19"/>
    <n v="2322.6999999999998"/>
    <n v="2322.6999999999998"/>
    <x v="122"/>
    <n v="0.17299999999999999"/>
    <x v="0"/>
    <n v="8"/>
    <x v="425"/>
    <n v="8281.52"/>
    <n v="7085.4631999999983"/>
    <n v="0.46108355217047409"/>
  </r>
  <r>
    <x v="425"/>
    <x v="257"/>
    <x v="28"/>
    <s v="Q3-2025"/>
    <d v="2025-09-05T00:00:00"/>
    <d v="2025-08-28T00:00:00"/>
    <n v="8"/>
    <x v="0"/>
    <n v="0"/>
    <x v="0"/>
    <x v="1"/>
    <x v="1"/>
    <s v="Small Business"/>
    <x v="2"/>
    <x v="6"/>
    <x v="4"/>
    <s v="High"/>
    <x v="425"/>
    <n v="1271.0999999999999"/>
    <n v="1932.42"/>
    <n v="1932.42"/>
    <x v="11"/>
    <n v="0.25"/>
    <x v="1"/>
    <n v="21"/>
    <x v="426"/>
    <n v="26693.1"/>
    <n v="3742.5149999999994"/>
    <n v="0.12296498690760807"/>
  </r>
  <r>
    <x v="426"/>
    <x v="353"/>
    <x v="21"/>
    <s v="Q3-2024"/>
    <d v="2024-09-12T00:00:00"/>
    <d v="2024-08-18T00:00:00"/>
    <n v="25"/>
    <x v="0"/>
    <n v="0"/>
    <x v="1"/>
    <x v="4"/>
    <x v="29"/>
    <s v="Consumer"/>
    <x v="2"/>
    <x v="0"/>
    <x v="3"/>
    <s v="High"/>
    <x v="426"/>
    <n v="1154.03"/>
    <n v="1590.36"/>
    <n v="1590.36"/>
    <x v="206"/>
    <n v="0.314"/>
    <x v="1"/>
    <n v="18"/>
    <x v="427"/>
    <n v="20772.54"/>
    <n v="-1134.7747200000013"/>
    <n v="-5.7785328616576745E-2"/>
  </r>
  <r>
    <x v="427"/>
    <x v="354"/>
    <x v="31"/>
    <s v="Q1-2024"/>
    <d v="2024-03-09T00:00:00"/>
    <d v="2024-02-25T00:00:00"/>
    <n v="13"/>
    <x v="0"/>
    <n v="0"/>
    <x v="3"/>
    <x v="7"/>
    <x v="11"/>
    <s v="Small Business"/>
    <x v="3"/>
    <x v="6"/>
    <x v="5"/>
    <s v="Low"/>
    <x v="427"/>
    <n v="322.44"/>
    <n v="395.61"/>
    <n v="395.61"/>
    <x v="5"/>
    <n v="0"/>
    <x v="0"/>
    <n v="34"/>
    <x v="428"/>
    <n v="10962.96"/>
    <n v="2487.7800000000007"/>
    <n v="0.18495487980586947"/>
  </r>
  <r>
    <x v="428"/>
    <x v="355"/>
    <x v="8"/>
    <s v="Q2-2025"/>
    <d v="2025-05-13T00:00:00"/>
    <d v="2025-05-07T00:00:00"/>
    <n v="6"/>
    <x v="1"/>
    <n v="1"/>
    <x v="1"/>
    <x v="4"/>
    <x v="6"/>
    <s v="Enterprise"/>
    <x v="4"/>
    <x v="1"/>
    <x v="3"/>
    <s v="High"/>
    <x v="428"/>
    <n v="935.98"/>
    <n v="2077.69"/>
    <n v="2077.69"/>
    <x v="30"/>
    <n v="0.17499999999999999"/>
    <x v="0"/>
    <n v="24"/>
    <x v="429"/>
    <n v="22463.52"/>
    <n v="18674.741999999995"/>
    <n v="0.45395067978321491"/>
  </r>
  <r>
    <x v="429"/>
    <x v="356"/>
    <x v="18"/>
    <s v="Q4-2024"/>
    <d v="2024-11-12T00:00:00"/>
    <d v="2024-11-01T00:00:00"/>
    <n v="11"/>
    <x v="0"/>
    <n v="0"/>
    <x v="3"/>
    <x v="6"/>
    <x v="37"/>
    <s v="Consumer"/>
    <x v="1"/>
    <x v="5"/>
    <x v="1"/>
    <s v="High"/>
    <x v="429"/>
    <n v="599.84"/>
    <n v="1330.85"/>
    <n v="1330.85"/>
    <x v="158"/>
    <n v="0.115"/>
    <x v="0"/>
    <n v="11"/>
    <x v="430"/>
    <n v="6598.2400000000007"/>
    <n v="6357.5847499999973"/>
    <n v="0.49071246892252063"/>
  </r>
  <r>
    <x v="430"/>
    <x v="357"/>
    <x v="6"/>
    <s v="Q4-2024"/>
    <d v="2025-01-08T00:00:00"/>
    <d v="2024-12-28T00:00:00"/>
    <n v="11"/>
    <x v="0"/>
    <n v="0"/>
    <x v="1"/>
    <x v="9"/>
    <x v="14"/>
    <s v="Enterprise"/>
    <x v="1"/>
    <x v="11"/>
    <x v="4"/>
    <s v="High"/>
    <x v="430"/>
    <n v="1201.31"/>
    <n v="2764.65"/>
    <n v="2764.65"/>
    <x v="5"/>
    <n v="0"/>
    <x v="0"/>
    <n v="21"/>
    <x v="431"/>
    <n v="25227.51"/>
    <n v="32830.14"/>
    <n v="0.56547483406579491"/>
  </r>
  <r>
    <x v="431"/>
    <x v="259"/>
    <x v="32"/>
    <s v="Q4-2023"/>
    <d v="2023-10-21T00:00:00"/>
    <d v="2023-10-21T00:00:00"/>
    <n v="0"/>
    <x v="1"/>
    <n v="1"/>
    <x v="3"/>
    <x v="8"/>
    <x v="31"/>
    <s v="Enterprise"/>
    <x v="3"/>
    <x v="1"/>
    <x v="5"/>
    <s v="Low"/>
    <x v="431"/>
    <n v="384.19"/>
    <n v="278.35000000000002"/>
    <n v="278.35000000000002"/>
    <x v="121"/>
    <n v="5.6000000000000001E-2"/>
    <x v="0"/>
    <n v="10"/>
    <x v="432"/>
    <n v="3841.9"/>
    <n v="-1214.2760000000003"/>
    <n v="-0.46211938998882657"/>
  </r>
  <r>
    <x v="432"/>
    <x v="16"/>
    <x v="6"/>
    <s v="Q4-2024"/>
    <d v="2024-12-19T00:00:00"/>
    <d v="2024-12-10T00:00:00"/>
    <n v="9"/>
    <x v="0"/>
    <n v="0"/>
    <x v="0"/>
    <x v="1"/>
    <x v="3"/>
    <s v="Corporate"/>
    <x v="0"/>
    <x v="7"/>
    <x v="5"/>
    <s v="High"/>
    <x v="432"/>
    <n v="488.68"/>
    <n v="984.36"/>
    <n v="984.36"/>
    <x v="163"/>
    <n v="5.8999999999999997E-2"/>
    <x v="0"/>
    <n v="14"/>
    <x v="433"/>
    <n v="6841.52"/>
    <n v="6126.4386400000003"/>
    <n v="0.47242891576649876"/>
  </r>
  <r>
    <x v="433"/>
    <x v="255"/>
    <x v="29"/>
    <s v="Q3-2024"/>
    <d v="2024-09-18T00:00:00"/>
    <d v="2024-09-07T00:00:00"/>
    <n v="11"/>
    <x v="0"/>
    <n v="0"/>
    <x v="1"/>
    <x v="9"/>
    <x v="38"/>
    <s v="Consumer"/>
    <x v="3"/>
    <x v="7"/>
    <x v="2"/>
    <s v="Low"/>
    <x v="433"/>
    <n v="181.74"/>
    <n v="190.84"/>
    <n v="190.84"/>
    <x v="207"/>
    <n v="0.214"/>
    <x v="1"/>
    <n v="13"/>
    <x v="434"/>
    <n v="2362.62"/>
    <n v="-412.61687999999981"/>
    <n v="-0.21159806144310159"/>
  </r>
  <r>
    <x v="434"/>
    <x v="358"/>
    <x v="32"/>
    <s v="Q4-2023"/>
    <d v="2023-10-20T00:00:00"/>
    <d v="2023-10-18T00:00:00"/>
    <n v="2"/>
    <x v="1"/>
    <n v="1"/>
    <x v="0"/>
    <x v="0"/>
    <x v="0"/>
    <s v="Consumer"/>
    <x v="0"/>
    <x v="1"/>
    <x v="3"/>
    <s v="High"/>
    <x v="434"/>
    <n v="774.12"/>
    <n v="908.3"/>
    <n v="908.3"/>
    <x v="5"/>
    <n v="0"/>
    <x v="0"/>
    <n v="30"/>
    <x v="435"/>
    <n v="23223.599999999999"/>
    <n v="4025.4000000000015"/>
    <n v="0.14772652207420461"/>
  </r>
  <r>
    <x v="435"/>
    <x v="359"/>
    <x v="6"/>
    <s v="Q4-2024"/>
    <d v="2025-01-13T00:00:00"/>
    <d v="2024-12-24T00:00:00"/>
    <n v="20"/>
    <x v="0"/>
    <n v="0"/>
    <x v="1"/>
    <x v="4"/>
    <x v="6"/>
    <s v="Corporate"/>
    <x v="2"/>
    <x v="14"/>
    <x v="2"/>
    <s v="Low"/>
    <x v="435"/>
    <n v="126.15"/>
    <n v="284.23"/>
    <n v="284.23"/>
    <x v="139"/>
    <n v="0.113"/>
    <x v="0"/>
    <n v="22"/>
    <x v="436"/>
    <n v="2775.3"/>
    <n v="2771.1642200000006"/>
    <n v="0.49962716968541088"/>
  </r>
  <r>
    <x v="436"/>
    <x v="67"/>
    <x v="12"/>
    <s v="Q2-2023"/>
    <d v="2023-04-19T00:00:00"/>
    <d v="2023-04-28T00:00:00"/>
    <n v="-9"/>
    <x v="1"/>
    <n v="1"/>
    <x v="1"/>
    <x v="2"/>
    <x v="32"/>
    <s v="Small Business"/>
    <x v="4"/>
    <x v="12"/>
    <x v="0"/>
    <s v="High"/>
    <x v="436"/>
    <n v="607.04"/>
    <n v="1229.3399999999999"/>
    <n v="1229.3399999999999"/>
    <x v="6"/>
    <n v="0.14699999999999999"/>
    <x v="0"/>
    <n v="7"/>
    <x v="437"/>
    <n v="4249.28"/>
    <n v="3091.1091399999996"/>
    <n v="0.42110970972310058"/>
  </r>
  <r>
    <x v="437"/>
    <x v="360"/>
    <x v="4"/>
    <s v="Q4-2023"/>
    <d v="2024-01-08T00:00:00"/>
    <d v="2023-12-30T00:00:00"/>
    <n v="9"/>
    <x v="0"/>
    <n v="0"/>
    <x v="3"/>
    <x v="7"/>
    <x v="11"/>
    <s v="Consumer"/>
    <x v="2"/>
    <x v="4"/>
    <x v="6"/>
    <s v="High"/>
    <x v="437"/>
    <n v="861.1"/>
    <n v="1224.72"/>
    <n v="1224.72"/>
    <x v="155"/>
    <n v="0.17399999999999999"/>
    <x v="0"/>
    <n v="24"/>
    <x v="438"/>
    <n v="20666.400000000001"/>
    <n v="3612.4492800000007"/>
    <n v="0.14878997098827909"/>
  </r>
  <r>
    <x v="438"/>
    <x v="361"/>
    <x v="2"/>
    <s v="Q1-2023"/>
    <d v="2023-03-12T00:00:00"/>
    <d v="2023-02-21T00:00:00"/>
    <n v="19"/>
    <x v="0"/>
    <n v="0"/>
    <x v="0"/>
    <x v="0"/>
    <x v="16"/>
    <s v="Corporate"/>
    <x v="1"/>
    <x v="9"/>
    <x v="2"/>
    <s v="Low"/>
    <x v="438"/>
    <n v="352.65"/>
    <n v="485.86"/>
    <n v="485.86"/>
    <x v="208"/>
    <n v="4.1000000000000002E-2"/>
    <x v="0"/>
    <n v="6"/>
    <x v="439"/>
    <n v="2115.8999999999996"/>
    <n v="679.73844000000008"/>
    <n v="0.24314247159943908"/>
  </r>
  <r>
    <x v="439"/>
    <x v="362"/>
    <x v="15"/>
    <s v="Q2-2023"/>
    <d v="2023-06-03T00:00:00"/>
    <d v="2023-05-17T00:00:00"/>
    <n v="17"/>
    <x v="0"/>
    <n v="0"/>
    <x v="1"/>
    <x v="9"/>
    <x v="38"/>
    <s v="Non-Profit"/>
    <x v="3"/>
    <x v="12"/>
    <x v="1"/>
    <s v="High"/>
    <x v="439"/>
    <n v="979.59"/>
    <n v="2210.94"/>
    <n v="2210.94"/>
    <x v="209"/>
    <n v="0.15"/>
    <x v="0"/>
    <n v="11"/>
    <x v="440"/>
    <n v="10775.49"/>
    <n v="9896.7990000000009"/>
    <n v="0.47874712858358359"/>
  </r>
  <r>
    <x v="440"/>
    <x v="363"/>
    <x v="0"/>
    <s v="Q1-2024"/>
    <d v="2024-03-26T00:00:00"/>
    <d v="2024-03-23T00:00:00"/>
    <n v="3"/>
    <x v="1"/>
    <n v="1"/>
    <x v="1"/>
    <x v="4"/>
    <x v="6"/>
    <s v="Education"/>
    <x v="4"/>
    <x v="3"/>
    <x v="3"/>
    <s v="Low"/>
    <x v="440"/>
    <n v="382.21"/>
    <n v="571.89"/>
    <n v="571.89"/>
    <x v="135"/>
    <n v="0.14799999999999999"/>
    <x v="0"/>
    <n v="26"/>
    <x v="441"/>
    <n v="9937.4599999999991"/>
    <n v="2731.0472800000007"/>
    <n v="0.2155776698578809"/>
  </r>
  <r>
    <x v="441"/>
    <x v="364"/>
    <x v="27"/>
    <s v="Q3-2023"/>
    <d v="2023-09-28T00:00:00"/>
    <d v="2023-09-20T00:00:00"/>
    <n v="8"/>
    <x v="0"/>
    <n v="0"/>
    <x v="1"/>
    <x v="4"/>
    <x v="35"/>
    <s v="Corporate"/>
    <x v="5"/>
    <x v="5"/>
    <x v="6"/>
    <s v="High"/>
    <x v="441"/>
    <n v="1362.06"/>
    <n v="3398.37"/>
    <n v="3398.37"/>
    <x v="87"/>
    <n v="0.157"/>
    <x v="0"/>
    <n v="11"/>
    <x v="442"/>
    <n v="14982.66"/>
    <n v="16530.425009999999"/>
    <n v="0.52455749745714919"/>
  </r>
  <r>
    <x v="442"/>
    <x v="365"/>
    <x v="21"/>
    <s v="Q3-2024"/>
    <d v="2024-09-04T00:00:00"/>
    <d v="2024-08-22T00:00:00"/>
    <n v="13"/>
    <x v="0"/>
    <n v="0"/>
    <x v="3"/>
    <x v="6"/>
    <x v="37"/>
    <s v="Non-Profit"/>
    <x v="0"/>
    <x v="4"/>
    <x v="1"/>
    <s v="Low"/>
    <x v="442"/>
    <n v="90.04"/>
    <n v="194.62"/>
    <n v="194.62"/>
    <x v="89"/>
    <n v="4.2999999999999997E-2"/>
    <x v="0"/>
    <n v="32"/>
    <x v="443"/>
    <n v="2881.28"/>
    <n v="3078.7628799999998"/>
    <n v="0.51656723650954672"/>
  </r>
  <r>
    <x v="443"/>
    <x v="366"/>
    <x v="29"/>
    <s v="Q3-2024"/>
    <d v="2024-10-03T00:00:00"/>
    <d v="2024-09-25T00:00:00"/>
    <n v="8"/>
    <x v="0"/>
    <n v="0"/>
    <x v="2"/>
    <x v="3"/>
    <x v="5"/>
    <s v="Consumer"/>
    <x v="1"/>
    <x v="6"/>
    <x v="1"/>
    <s v="High"/>
    <x v="443"/>
    <n v="558.19000000000005"/>
    <n v="1031.6400000000001"/>
    <n v="1031.6400000000001"/>
    <x v="5"/>
    <n v="0"/>
    <x v="0"/>
    <n v="21"/>
    <x v="444"/>
    <n v="11721.990000000002"/>
    <n v="9942.4500000000007"/>
    <n v="0.45892947152107322"/>
  </r>
  <r>
    <x v="444"/>
    <x v="367"/>
    <x v="23"/>
    <s v="Q2-2023"/>
    <d v="2023-06-24T00:00:00"/>
    <d v="2023-06-13T00:00:00"/>
    <n v="11"/>
    <x v="0"/>
    <n v="0"/>
    <x v="2"/>
    <x v="3"/>
    <x v="5"/>
    <s v="Corporate"/>
    <x v="1"/>
    <x v="0"/>
    <x v="1"/>
    <s v="Low"/>
    <x v="444"/>
    <n v="247.07"/>
    <n v="495.19"/>
    <n v="495.19"/>
    <x v="179"/>
    <n v="2.8000000000000001E-2"/>
    <x v="0"/>
    <n v="4"/>
    <x v="445"/>
    <n v="988.28"/>
    <n v="937.01872000000003"/>
    <n v="0.48668744764968214"/>
  </r>
  <r>
    <x v="445"/>
    <x v="240"/>
    <x v="4"/>
    <s v="Q4-2023"/>
    <d v="2024-01-13T00:00:00"/>
    <d v="2023-12-24T00:00:00"/>
    <n v="20"/>
    <x v="0"/>
    <n v="0"/>
    <x v="1"/>
    <x v="2"/>
    <x v="32"/>
    <s v="Education"/>
    <x v="4"/>
    <x v="5"/>
    <x v="4"/>
    <s v="High"/>
    <x v="445"/>
    <n v="625.37"/>
    <n v="1319.04"/>
    <n v="1319.04"/>
    <x v="13"/>
    <n v="7.3999999999999996E-2"/>
    <x v="0"/>
    <n v="8"/>
    <x v="446"/>
    <n v="5002.96"/>
    <n v="4768.4883199999995"/>
    <n v="0.48800220436513547"/>
  </r>
  <r>
    <x v="446"/>
    <x v="258"/>
    <x v="3"/>
    <s v="Q1-2025"/>
    <d v="2025-04-29T00:00:00"/>
    <d v="2025-03-30T00:00:00"/>
    <n v="30"/>
    <x v="0"/>
    <n v="0"/>
    <x v="0"/>
    <x v="11"/>
    <x v="25"/>
    <s v="Consumer"/>
    <x v="2"/>
    <x v="1"/>
    <x v="5"/>
    <s v="Low"/>
    <x v="446"/>
    <n v="194.6"/>
    <n v="314.87"/>
    <n v="314.87"/>
    <x v="210"/>
    <n v="0.29299999999999998"/>
    <x v="1"/>
    <n v="25"/>
    <x v="447"/>
    <n v="4865"/>
    <n v="700.32725000000028"/>
    <n v="0.1258375686712763"/>
  </r>
  <r>
    <x v="447"/>
    <x v="368"/>
    <x v="17"/>
    <s v="Q2-2024"/>
    <d v="2024-06-24T00:00:00"/>
    <d v="2024-06-03T00:00:00"/>
    <n v="21"/>
    <x v="0"/>
    <n v="0"/>
    <x v="2"/>
    <x v="3"/>
    <x v="5"/>
    <s v="Small Business"/>
    <x v="4"/>
    <x v="3"/>
    <x v="5"/>
    <s v="High"/>
    <x v="447"/>
    <n v="1205.5"/>
    <n v="2210.17"/>
    <n v="2210.17"/>
    <x v="67"/>
    <n v="0.104"/>
    <x v="0"/>
    <n v="23"/>
    <x v="448"/>
    <n v="27726.5"/>
    <n v="17820.683360000003"/>
    <n v="0.39125763758314652"/>
  </r>
  <r>
    <x v="448"/>
    <x v="369"/>
    <x v="17"/>
    <s v="Q2-2024"/>
    <d v="2024-07-09T00:00:00"/>
    <d v="2024-06-11T00:00:00"/>
    <n v="28"/>
    <x v="0"/>
    <n v="0"/>
    <x v="0"/>
    <x v="1"/>
    <x v="1"/>
    <s v="Corporate"/>
    <x v="2"/>
    <x v="2"/>
    <x v="3"/>
    <s v="High"/>
    <x v="448"/>
    <n v="895.54"/>
    <n v="1045"/>
    <n v="1045"/>
    <x v="154"/>
    <n v="0.216"/>
    <x v="1"/>
    <n v="15"/>
    <x v="449"/>
    <n v="13433.099999999999"/>
    <n v="-1143.8999999999978"/>
    <n v="-9.3081730299775234E-2"/>
  </r>
  <r>
    <x v="449"/>
    <x v="370"/>
    <x v="24"/>
    <s v="Q3-2023"/>
    <d v="2023-07-21T00:00:00"/>
    <d v="2023-07-29T00:00:00"/>
    <n v="-8"/>
    <x v="1"/>
    <n v="1"/>
    <x v="1"/>
    <x v="4"/>
    <x v="18"/>
    <s v="Small Business"/>
    <x v="3"/>
    <x v="6"/>
    <x v="1"/>
    <s v="High"/>
    <x v="449"/>
    <n v="946.99"/>
    <n v="2132.19"/>
    <n v="2132.19"/>
    <x v="211"/>
    <n v="0.16500000000000001"/>
    <x v="0"/>
    <n v="7"/>
    <x v="450"/>
    <n v="6628.93"/>
    <n v="5833.72055"/>
    <n v="0.46809629513362228"/>
  </r>
  <r>
    <x v="450"/>
    <x v="371"/>
    <x v="5"/>
    <s v="Q1-2023"/>
    <d v="2023-02-03T00:00:00"/>
    <d v="2023-01-19T00:00:00"/>
    <n v="15"/>
    <x v="0"/>
    <n v="0"/>
    <x v="3"/>
    <x v="8"/>
    <x v="21"/>
    <s v="Enterprise"/>
    <x v="3"/>
    <x v="3"/>
    <x v="6"/>
    <s v="High"/>
    <x v="450"/>
    <n v="873.06"/>
    <n v="2101.5500000000002"/>
    <n v="2101.5500000000002"/>
    <x v="72"/>
    <n v="6.6000000000000003E-2"/>
    <x v="0"/>
    <n v="10"/>
    <x v="451"/>
    <n v="8730.5999999999985"/>
    <n v="10897.877"/>
    <n v="0.55520746719167269"/>
  </r>
  <r>
    <x v="451"/>
    <x v="372"/>
    <x v="7"/>
    <s v="Q2-2024"/>
    <d v="2024-05-16T00:00:00"/>
    <d v="2024-05-01T00:00:00"/>
    <n v="15"/>
    <x v="0"/>
    <n v="0"/>
    <x v="1"/>
    <x v="4"/>
    <x v="6"/>
    <s v="Small Business"/>
    <x v="0"/>
    <x v="4"/>
    <x v="0"/>
    <s v="High"/>
    <x v="451"/>
    <n v="901.19"/>
    <n v="2125.44"/>
    <n v="2125.44"/>
    <x v="88"/>
    <n v="7.0999999999999994E-2"/>
    <x v="0"/>
    <n v="12"/>
    <x v="452"/>
    <n v="10814.28"/>
    <n v="12880.125119999999"/>
    <n v="0.54359352154100415"/>
  </r>
  <r>
    <x v="452"/>
    <x v="56"/>
    <x v="16"/>
    <s v="Q2-2025"/>
    <d v="2025-06-24T00:00:00"/>
    <d v="2025-06-09T00:00:00"/>
    <n v="15"/>
    <x v="0"/>
    <n v="0"/>
    <x v="1"/>
    <x v="2"/>
    <x v="32"/>
    <s v="Corporate"/>
    <x v="4"/>
    <x v="5"/>
    <x v="3"/>
    <s v="High"/>
    <x v="452"/>
    <n v="400.39"/>
    <n v="712.75"/>
    <n v="712.75"/>
    <x v="158"/>
    <n v="0.115"/>
    <x v="0"/>
    <n v="19"/>
    <x v="453"/>
    <n v="7607.41"/>
    <n v="4377.4812500000007"/>
    <n v="0.36524997671547504"/>
  </r>
  <r>
    <x v="453"/>
    <x v="373"/>
    <x v="15"/>
    <s v="Q2-2023"/>
    <d v="2023-06-21T00:00:00"/>
    <d v="2023-05-24T00:00:00"/>
    <n v="28"/>
    <x v="0"/>
    <n v="0"/>
    <x v="2"/>
    <x v="10"/>
    <x v="36"/>
    <s v="Small Business"/>
    <x v="2"/>
    <x v="3"/>
    <x v="5"/>
    <s v="High"/>
    <x v="453"/>
    <n v="813.97"/>
    <n v="1568.83"/>
    <n v="1568.83"/>
    <x v="212"/>
    <n v="1.7000000000000001E-2"/>
    <x v="0"/>
    <n v="15"/>
    <x v="454"/>
    <n v="12209.550000000001"/>
    <n v="10922.848349999995"/>
    <n v="0.4721883215364911"/>
  </r>
  <r>
    <x v="454"/>
    <x v="6"/>
    <x v="6"/>
    <s v="Q4-2024"/>
    <d v="2024-12-29T00:00:00"/>
    <d v="2024-12-27T00:00:00"/>
    <n v="2"/>
    <x v="1"/>
    <n v="1"/>
    <x v="2"/>
    <x v="3"/>
    <x v="26"/>
    <s v="Enterprise"/>
    <x v="2"/>
    <x v="0"/>
    <x v="6"/>
    <s v="High"/>
    <x v="454"/>
    <n v="1146.72"/>
    <n v="2074.34"/>
    <n v="2074.34"/>
    <x v="95"/>
    <n v="0.111"/>
    <x v="0"/>
    <n v="8"/>
    <x v="455"/>
    <n v="9173.76"/>
    <n v="5578.9460800000015"/>
    <n v="0.37816425337472737"/>
  </r>
  <r>
    <x v="455"/>
    <x v="374"/>
    <x v="4"/>
    <s v="Q4-2023"/>
    <d v="2023-12-12T00:00:00"/>
    <d v="2023-12-05T00:00:00"/>
    <n v="7"/>
    <x v="1"/>
    <n v="1"/>
    <x v="2"/>
    <x v="5"/>
    <x v="10"/>
    <s v="Corporate"/>
    <x v="4"/>
    <x v="9"/>
    <x v="3"/>
    <s v="Low"/>
    <x v="455"/>
    <n v="307.43"/>
    <n v="495.19"/>
    <n v="495.19"/>
    <x v="5"/>
    <n v="0"/>
    <x v="0"/>
    <n v="42"/>
    <x v="456"/>
    <n v="12912.06"/>
    <n v="7885.92"/>
    <n v="0.37916759223732305"/>
  </r>
  <r>
    <x v="456"/>
    <x v="129"/>
    <x v="15"/>
    <s v="Q2-2023"/>
    <d v="2023-05-19T00:00:00"/>
    <d v="2023-05-02T00:00:00"/>
    <n v="17"/>
    <x v="0"/>
    <n v="0"/>
    <x v="1"/>
    <x v="9"/>
    <x v="23"/>
    <s v="Non-Profit"/>
    <x v="4"/>
    <x v="1"/>
    <x v="5"/>
    <s v="High"/>
    <x v="456"/>
    <n v="714.28"/>
    <n v="757.59"/>
    <n v="757.59"/>
    <x v="29"/>
    <n v="0.13600000000000001"/>
    <x v="0"/>
    <n v="12"/>
    <x v="457"/>
    <n v="8571.36"/>
    <n v="-716.66688000000067"/>
    <n v="-9.1240595787910383E-2"/>
  </r>
  <r>
    <x v="457"/>
    <x v="134"/>
    <x v="30"/>
    <s v="Q4-2023"/>
    <d v="2023-12-10T00:00:00"/>
    <d v="2023-11-30T00:00:00"/>
    <n v="10"/>
    <x v="0"/>
    <n v="0"/>
    <x v="3"/>
    <x v="6"/>
    <x v="22"/>
    <s v="Small Business"/>
    <x v="4"/>
    <x v="9"/>
    <x v="4"/>
    <s v="Low"/>
    <x v="457"/>
    <n v="174.74"/>
    <n v="415.96"/>
    <n v="415.96"/>
    <x v="22"/>
    <n v="0.125"/>
    <x v="0"/>
    <n v="21"/>
    <x v="458"/>
    <n v="3669.54"/>
    <n v="3973.7249999999995"/>
    <n v="0.51989889137691803"/>
  </r>
  <r>
    <x v="458"/>
    <x v="375"/>
    <x v="7"/>
    <s v="Q2-2024"/>
    <d v="2024-05-18T00:00:00"/>
    <d v="2024-05-05T00:00:00"/>
    <n v="13"/>
    <x v="0"/>
    <n v="0"/>
    <x v="3"/>
    <x v="7"/>
    <x v="11"/>
    <s v="Corporate"/>
    <x v="2"/>
    <x v="8"/>
    <x v="0"/>
    <s v="High"/>
    <x v="458"/>
    <n v="1264.04"/>
    <n v="1870.89"/>
    <n v="1870.89"/>
    <x v="5"/>
    <n v="0"/>
    <x v="0"/>
    <n v="13"/>
    <x v="459"/>
    <n v="16432.52"/>
    <n v="7889.0499999999993"/>
    <n v="0.32436433996653996"/>
  </r>
  <r>
    <x v="459"/>
    <x v="376"/>
    <x v="24"/>
    <s v="Q3-2023"/>
    <d v="2023-07-19T00:00:00"/>
    <d v="2023-07-09T00:00:00"/>
    <n v="10"/>
    <x v="0"/>
    <n v="0"/>
    <x v="1"/>
    <x v="2"/>
    <x v="27"/>
    <s v="Enterprise"/>
    <x v="3"/>
    <x v="13"/>
    <x v="0"/>
    <s v="Low"/>
    <x v="459"/>
    <n v="141.26"/>
    <n v="206.88"/>
    <n v="206.88"/>
    <x v="105"/>
    <n v="0.107"/>
    <x v="0"/>
    <n v="9"/>
    <x v="460"/>
    <n v="1271.3399999999999"/>
    <n v="391.35456000000022"/>
    <n v="0.23537369365062469"/>
  </r>
  <r>
    <x v="460"/>
    <x v="362"/>
    <x v="15"/>
    <s v="Q2-2023"/>
    <d v="2023-06-15T00:00:00"/>
    <d v="2023-05-17T00:00:00"/>
    <n v="29"/>
    <x v="0"/>
    <n v="0"/>
    <x v="0"/>
    <x v="11"/>
    <x v="25"/>
    <s v="Enterprise"/>
    <x v="0"/>
    <x v="11"/>
    <x v="6"/>
    <s v="Low"/>
    <x v="460"/>
    <n v="40.89"/>
    <n v="62.82"/>
    <n v="62.82"/>
    <x v="31"/>
    <n v="0.129"/>
    <x v="0"/>
    <n v="17"/>
    <x v="461"/>
    <n v="695.13"/>
    <n v="235.04574000000002"/>
    <n v="0.25268960465470752"/>
  </r>
  <r>
    <x v="461"/>
    <x v="34"/>
    <x v="0"/>
    <s v="Q1-2024"/>
    <d v="2024-04-03T00:00:00"/>
    <d v="2024-03-07T00:00:00"/>
    <n v="27"/>
    <x v="0"/>
    <n v="0"/>
    <x v="3"/>
    <x v="6"/>
    <x v="37"/>
    <s v="Corporate"/>
    <x v="4"/>
    <x v="12"/>
    <x v="1"/>
    <s v="High"/>
    <x v="461"/>
    <n v="738.16"/>
    <n v="956.49"/>
    <n v="956.49"/>
    <x v="136"/>
    <n v="0.152"/>
    <x v="0"/>
    <n v="5"/>
    <x v="462"/>
    <n v="3690.7999999999997"/>
    <n v="364.71759999999995"/>
    <n v="8.9931208780847108E-2"/>
  </r>
  <r>
    <x v="462"/>
    <x v="377"/>
    <x v="19"/>
    <s v="Q2-2025"/>
    <d v="2025-04-19T00:00:00"/>
    <d v="2025-04-10T00:00:00"/>
    <n v="9"/>
    <x v="0"/>
    <n v="0"/>
    <x v="0"/>
    <x v="11"/>
    <x v="25"/>
    <s v="Enterprise"/>
    <x v="5"/>
    <x v="3"/>
    <x v="2"/>
    <s v="Low"/>
    <x v="462"/>
    <n v="113.74"/>
    <n v="165.7"/>
    <n v="165.7"/>
    <x v="213"/>
    <n v="0.124"/>
    <x v="0"/>
    <n v="13"/>
    <x v="463"/>
    <n v="1478.62"/>
    <n v="408.37159999999994"/>
    <n v="0.21641410592394794"/>
  </r>
  <r>
    <x v="463"/>
    <x v="378"/>
    <x v="13"/>
    <s v="Q3-2025"/>
    <d v="2025-08-15T00:00:00"/>
    <d v="2025-07-27T00:00:00"/>
    <n v="19"/>
    <x v="0"/>
    <n v="0"/>
    <x v="1"/>
    <x v="2"/>
    <x v="27"/>
    <s v="Small Business"/>
    <x v="2"/>
    <x v="1"/>
    <x v="0"/>
    <s v="Low"/>
    <x v="463"/>
    <n v="275.43"/>
    <n v="608.36"/>
    <n v="608.36"/>
    <x v="62"/>
    <n v="0.25700000000000001"/>
    <x v="1"/>
    <n v="4"/>
    <x v="464"/>
    <n v="1101.72"/>
    <n v="706.32592"/>
    <n v="0.39065706915231446"/>
  </r>
  <r>
    <x v="464"/>
    <x v="379"/>
    <x v="18"/>
    <s v="Q4-2024"/>
    <d v="2024-12-15T00:00:00"/>
    <d v="2024-11-22T00:00:00"/>
    <n v="23"/>
    <x v="0"/>
    <n v="0"/>
    <x v="0"/>
    <x v="0"/>
    <x v="13"/>
    <s v="Non-Profit"/>
    <x v="3"/>
    <x v="0"/>
    <x v="0"/>
    <s v="High"/>
    <x v="464"/>
    <n v="1335.76"/>
    <n v="2665.91"/>
    <n v="2665.91"/>
    <x v="126"/>
    <n v="0.21099999999999999"/>
    <x v="1"/>
    <n v="40"/>
    <x v="465"/>
    <n v="53430.400000000001"/>
    <n v="30705.719600000004"/>
    <n v="0.36495288522909253"/>
  </r>
  <r>
    <x v="465"/>
    <x v="304"/>
    <x v="17"/>
    <s v="Q2-2024"/>
    <d v="2024-06-28T00:00:00"/>
    <d v="2024-06-23T00:00:00"/>
    <n v="5"/>
    <x v="1"/>
    <n v="1"/>
    <x v="0"/>
    <x v="1"/>
    <x v="1"/>
    <s v="Non-Profit"/>
    <x v="4"/>
    <x v="12"/>
    <x v="6"/>
    <s v="Low"/>
    <x v="465"/>
    <n v="242.31"/>
    <n v="587.95000000000005"/>
    <n v="587.95000000000005"/>
    <x v="83"/>
    <n v="0.22900000000000001"/>
    <x v="1"/>
    <n v="6"/>
    <x v="466"/>
    <n v="1453.8600000000001"/>
    <n v="1265.9967000000001"/>
    <n v="0.46546448568411714"/>
  </r>
  <r>
    <x v="466"/>
    <x v="380"/>
    <x v="4"/>
    <s v="Q4-2023"/>
    <d v="2024-01-14T00:00:00"/>
    <d v="2023-12-18T00:00:00"/>
    <n v="27"/>
    <x v="0"/>
    <n v="0"/>
    <x v="1"/>
    <x v="4"/>
    <x v="29"/>
    <s v="Consumer"/>
    <x v="3"/>
    <x v="14"/>
    <x v="2"/>
    <s v="High"/>
    <x v="466"/>
    <n v="1408.3"/>
    <n v="2193.13"/>
    <n v="2193.13"/>
    <x v="88"/>
    <n v="7.0999999999999994E-2"/>
    <x v="0"/>
    <n v="7"/>
    <x v="467"/>
    <n v="9858.1"/>
    <n v="4403.8243899999998"/>
    <n v="0.30878191957656281"/>
  </r>
  <r>
    <x v="467"/>
    <x v="262"/>
    <x v="16"/>
    <s v="Q2-2025"/>
    <d v="2025-06-05T00:00:00"/>
    <d v="2025-06-01T00:00:00"/>
    <n v="4"/>
    <x v="1"/>
    <n v="1"/>
    <x v="3"/>
    <x v="6"/>
    <x v="22"/>
    <s v="Enterprise"/>
    <x v="4"/>
    <x v="12"/>
    <x v="0"/>
    <s v="High"/>
    <x v="467"/>
    <n v="1171.42"/>
    <n v="2187.8000000000002"/>
    <n v="2187.8000000000002"/>
    <x v="214"/>
    <n v="0.23"/>
    <x v="1"/>
    <n v="15"/>
    <x v="468"/>
    <n v="17571.300000000003"/>
    <n v="7697.7899999999972"/>
    <n v="0.30463265594447592"/>
  </r>
  <r>
    <x v="468"/>
    <x v="381"/>
    <x v="3"/>
    <s v="Q1-2025"/>
    <d v="2025-04-02T00:00:00"/>
    <d v="2025-03-23T00:00:00"/>
    <n v="10"/>
    <x v="0"/>
    <n v="0"/>
    <x v="3"/>
    <x v="6"/>
    <x v="9"/>
    <s v="Enterprise"/>
    <x v="1"/>
    <x v="6"/>
    <x v="1"/>
    <s v="High"/>
    <x v="468"/>
    <n v="663.61"/>
    <n v="1002.11"/>
    <n v="1002.11"/>
    <x v="215"/>
    <n v="4.5999999999999999E-2"/>
    <x v="0"/>
    <n v="17"/>
    <x v="469"/>
    <n v="11281.37"/>
    <n v="4970.8499799999972"/>
    <n v="0.30585667595670812"/>
  </r>
  <r>
    <x v="469"/>
    <x v="382"/>
    <x v="15"/>
    <s v="Q2-2023"/>
    <d v="2023-05-22T00:00:00"/>
    <d v="2023-05-14T00:00:00"/>
    <n v="8"/>
    <x v="0"/>
    <n v="0"/>
    <x v="0"/>
    <x v="0"/>
    <x v="13"/>
    <s v="Small Business"/>
    <x v="3"/>
    <x v="9"/>
    <x v="1"/>
    <s v="High"/>
    <x v="469"/>
    <n v="432.01"/>
    <n v="913.78"/>
    <n v="913.78"/>
    <x v="216"/>
    <n v="4.9000000000000002E-2"/>
    <x v="0"/>
    <n v="12"/>
    <x v="470"/>
    <n v="5184.12"/>
    <n v="5243.9373600000008"/>
    <n v="0.50286809699711899"/>
  </r>
  <r>
    <x v="470"/>
    <x v="345"/>
    <x v="25"/>
    <s v="Q3-2023"/>
    <d v="2023-09-19T00:00:00"/>
    <d v="2023-08-29T00:00:00"/>
    <n v="21"/>
    <x v="0"/>
    <n v="0"/>
    <x v="3"/>
    <x v="7"/>
    <x v="17"/>
    <s v="Small Business"/>
    <x v="4"/>
    <x v="5"/>
    <x v="1"/>
    <s v="High"/>
    <x v="470"/>
    <n v="784.46"/>
    <n v="1843.51"/>
    <n v="1843.51"/>
    <x v="159"/>
    <n v="0.13800000000000001"/>
    <x v="0"/>
    <n v="23"/>
    <x v="471"/>
    <n v="18042.580000000002"/>
    <n v="18506.849260000003"/>
    <n v="0.50635125184441798"/>
  </r>
  <r>
    <x v="471"/>
    <x v="350"/>
    <x v="13"/>
    <s v="Q3-2025"/>
    <d v="2025-07-23T00:00:00"/>
    <d v="2025-07-03T00:00:00"/>
    <n v="20"/>
    <x v="0"/>
    <n v="0"/>
    <x v="1"/>
    <x v="9"/>
    <x v="38"/>
    <s v="Small Business"/>
    <x v="1"/>
    <x v="12"/>
    <x v="0"/>
    <s v="High"/>
    <x v="471"/>
    <n v="647.36"/>
    <n v="1383.6"/>
    <n v="1383.6"/>
    <x v="13"/>
    <n v="7.3999999999999996E-2"/>
    <x v="0"/>
    <n v="12"/>
    <x v="472"/>
    <n v="7768.32"/>
    <n v="7606.243199999999"/>
    <n v="0.49472906000997802"/>
  </r>
  <r>
    <x v="472"/>
    <x v="383"/>
    <x v="31"/>
    <s v="Q1-2024"/>
    <d v="2024-02-28T00:00:00"/>
    <d v="2024-02-06T00:00:00"/>
    <n v="22"/>
    <x v="0"/>
    <n v="0"/>
    <x v="0"/>
    <x v="0"/>
    <x v="0"/>
    <s v="Non-Profit"/>
    <x v="1"/>
    <x v="11"/>
    <x v="5"/>
    <s v="High"/>
    <x v="472"/>
    <n v="834.93"/>
    <n v="1588.53"/>
    <n v="1588.53"/>
    <x v="38"/>
    <n v="0.126"/>
    <x v="0"/>
    <n v="6"/>
    <x v="473"/>
    <n v="5009.58"/>
    <n v="3320.6713199999995"/>
    <n v="0.39862798761274343"/>
  </r>
  <r>
    <x v="473"/>
    <x v="384"/>
    <x v="28"/>
    <s v="Q3-2025"/>
    <d v="2025-09-03T00:00:00"/>
    <d v="2025-08-13T00:00:00"/>
    <n v="21"/>
    <x v="0"/>
    <n v="0"/>
    <x v="3"/>
    <x v="7"/>
    <x v="28"/>
    <s v="Education"/>
    <x v="0"/>
    <x v="2"/>
    <x v="3"/>
    <s v="High"/>
    <x v="473"/>
    <n v="603.47"/>
    <n v="1344.05"/>
    <n v="1344.05"/>
    <x v="44"/>
    <n v="0.20499999999999999"/>
    <x v="1"/>
    <n v="18"/>
    <x v="474"/>
    <n v="10862.460000000001"/>
    <n v="8370.8954999999969"/>
    <n v="0.43522803392262976"/>
  </r>
  <r>
    <x v="474"/>
    <x v="207"/>
    <x v="15"/>
    <s v="Q2-2023"/>
    <d v="2023-05-25T00:00:00"/>
    <d v="2023-05-23T00:00:00"/>
    <n v="2"/>
    <x v="1"/>
    <n v="1"/>
    <x v="2"/>
    <x v="5"/>
    <x v="30"/>
    <s v="Enterprise"/>
    <x v="0"/>
    <x v="12"/>
    <x v="1"/>
    <s v="High"/>
    <x v="474"/>
    <n v="690.49"/>
    <n v="1290.29"/>
    <n v="1290.29"/>
    <x v="174"/>
    <n v="4.2000000000000003E-2"/>
    <x v="0"/>
    <n v="22"/>
    <x v="475"/>
    <n v="15190.78"/>
    <n v="12003.372039999997"/>
    <n v="0.44139534199647718"/>
  </r>
  <r>
    <x v="475"/>
    <x v="385"/>
    <x v="7"/>
    <s v="Q2-2024"/>
    <d v="2024-05-16T00:00:00"/>
    <d v="2024-05-10T00:00:00"/>
    <n v="6"/>
    <x v="1"/>
    <n v="1"/>
    <x v="3"/>
    <x v="8"/>
    <x v="12"/>
    <s v="Non-Profit"/>
    <x v="4"/>
    <x v="3"/>
    <x v="4"/>
    <s v="Low"/>
    <x v="475"/>
    <n v="210.76"/>
    <n v="221.58"/>
    <n v="221.58"/>
    <x v="25"/>
    <n v="8.8999999999999996E-2"/>
    <x v="0"/>
    <n v="5"/>
    <x v="476"/>
    <n v="1053.8"/>
    <n v="-44.50309999999979"/>
    <n v="-4.4093170205912434E-2"/>
  </r>
  <r>
    <x v="476"/>
    <x v="211"/>
    <x v="22"/>
    <s v="Q1-2023"/>
    <d v="2023-03-18T00:00:00"/>
    <d v="2023-03-14T00:00:00"/>
    <n v="4"/>
    <x v="1"/>
    <n v="1"/>
    <x v="3"/>
    <x v="6"/>
    <x v="37"/>
    <s v="Enterprise"/>
    <x v="4"/>
    <x v="8"/>
    <x v="0"/>
    <s v="Low"/>
    <x v="476"/>
    <n v="472.33"/>
    <n v="360.34"/>
    <n v="360.34"/>
    <x v="211"/>
    <n v="0.16500000000000001"/>
    <x v="0"/>
    <n v="14"/>
    <x v="477"/>
    <n v="6612.62"/>
    <n v="-2400.2454000000007"/>
    <n v="-0.56980815523861561"/>
  </r>
  <r>
    <x v="477"/>
    <x v="386"/>
    <x v="24"/>
    <s v="Q3-2023"/>
    <d v="2023-08-13T00:00:00"/>
    <d v="2023-07-16T00:00:00"/>
    <n v="28"/>
    <x v="0"/>
    <n v="0"/>
    <x v="3"/>
    <x v="8"/>
    <x v="31"/>
    <s v="Non-Profit"/>
    <x v="1"/>
    <x v="1"/>
    <x v="4"/>
    <s v="High"/>
    <x v="477"/>
    <n v="1039.03"/>
    <n v="2545.81"/>
    <n v="2545.81"/>
    <x v="154"/>
    <n v="0.216"/>
    <x v="1"/>
    <n v="21"/>
    <x v="478"/>
    <n v="21819.63"/>
    <n v="20094.585840000003"/>
    <n v="0.47942172929364774"/>
  </r>
  <r>
    <x v="478"/>
    <x v="387"/>
    <x v="12"/>
    <s v="Q2-2023"/>
    <d v="2023-04-19T00:00:00"/>
    <d v="2023-04-16T00:00:00"/>
    <n v="3"/>
    <x v="1"/>
    <n v="1"/>
    <x v="3"/>
    <x v="6"/>
    <x v="22"/>
    <s v="Corporate"/>
    <x v="4"/>
    <x v="5"/>
    <x v="6"/>
    <s v="High"/>
    <x v="478"/>
    <n v="553.61"/>
    <n v="699.47"/>
    <n v="699.47"/>
    <x v="113"/>
    <n v="0.02"/>
    <x v="0"/>
    <n v="33"/>
    <x v="479"/>
    <n v="18269.13"/>
    <n v="4351.729800000001"/>
    <n v="0.19237685209472014"/>
  </r>
  <r>
    <x v="479"/>
    <x v="279"/>
    <x v="9"/>
    <s v="Q1-2024"/>
    <d v="2024-01-15T00:00:00"/>
    <d v="2024-01-02T00:00:00"/>
    <n v="13"/>
    <x v="0"/>
    <n v="0"/>
    <x v="1"/>
    <x v="2"/>
    <x v="32"/>
    <s v="Small Business"/>
    <x v="2"/>
    <x v="3"/>
    <x v="2"/>
    <s v="High"/>
    <x v="479"/>
    <n v="1219.06"/>
    <n v="2738.69"/>
    <n v="2738.69"/>
    <x v="171"/>
    <n v="7.5999999999999998E-2"/>
    <x v="0"/>
    <n v="16"/>
    <x v="480"/>
    <n v="19504.96"/>
    <n v="20983.832960000007"/>
    <n v="0.51826274447673737"/>
  </r>
  <r>
    <x v="480"/>
    <x v="209"/>
    <x v="29"/>
    <s v="Q3-2024"/>
    <d v="2024-09-07T00:00:00"/>
    <d v="2024-09-03T00:00:00"/>
    <n v="4"/>
    <x v="1"/>
    <n v="1"/>
    <x v="1"/>
    <x v="2"/>
    <x v="27"/>
    <s v="Small Business"/>
    <x v="3"/>
    <x v="13"/>
    <x v="1"/>
    <s v="Low"/>
    <x v="480"/>
    <n v="43.23"/>
    <n v="94.78"/>
    <n v="94.78"/>
    <x v="119"/>
    <n v="9.0999999999999998E-2"/>
    <x v="0"/>
    <n v="55"/>
    <x v="481"/>
    <n v="2377.6499999999996"/>
    <n v="2360.8761000000004"/>
    <n v="0.49823005090127082"/>
  </r>
  <r>
    <x v="481"/>
    <x v="388"/>
    <x v="28"/>
    <s v="Q3-2025"/>
    <d v="2025-09-03T00:00:00"/>
    <d v="2025-08-30T00:00:00"/>
    <n v="4"/>
    <x v="1"/>
    <n v="1"/>
    <x v="3"/>
    <x v="7"/>
    <x v="11"/>
    <s v="Small Business"/>
    <x v="2"/>
    <x v="1"/>
    <x v="4"/>
    <s v="High"/>
    <x v="481"/>
    <n v="1286.56"/>
    <n v="2777.35"/>
    <n v="2777.35"/>
    <x v="191"/>
    <n v="0.13200000000000001"/>
    <x v="0"/>
    <n v="15"/>
    <x v="482"/>
    <n v="19298.399999999998"/>
    <n v="16862.697000000004"/>
    <n v="0.46632150014696744"/>
  </r>
  <r>
    <x v="482"/>
    <x v="86"/>
    <x v="19"/>
    <s v="Q2-2025"/>
    <d v="2025-05-19T00:00:00"/>
    <d v="2025-04-28T00:00:00"/>
    <n v="21"/>
    <x v="0"/>
    <n v="0"/>
    <x v="3"/>
    <x v="6"/>
    <x v="9"/>
    <s v="Corporate"/>
    <x v="3"/>
    <x v="5"/>
    <x v="3"/>
    <s v="Low"/>
    <x v="482"/>
    <n v="350.76"/>
    <n v="492.18"/>
    <n v="492.18"/>
    <x v="114"/>
    <n v="5.2999999999999999E-2"/>
    <x v="0"/>
    <n v="11"/>
    <x v="483"/>
    <n v="3858.3599999999997"/>
    <n v="1268.6790600000004"/>
    <n v="0.24744868239798437"/>
  </r>
  <r>
    <x v="483"/>
    <x v="389"/>
    <x v="25"/>
    <s v="Q3-2023"/>
    <d v="2023-08-15T00:00:00"/>
    <d v="2023-08-10T00:00:00"/>
    <n v="5"/>
    <x v="1"/>
    <n v="1"/>
    <x v="2"/>
    <x v="5"/>
    <x v="8"/>
    <s v="Education"/>
    <x v="4"/>
    <x v="3"/>
    <x v="2"/>
    <s v="High"/>
    <x v="483"/>
    <n v="1307.52"/>
    <n v="1921.65"/>
    <n v="1921.65"/>
    <x v="82"/>
    <n v="0.123"/>
    <x v="0"/>
    <n v="13"/>
    <x v="484"/>
    <n v="16997.759999999998"/>
    <n v="4910.9716500000031"/>
    <n v="0.22415590863289445"/>
  </r>
  <r>
    <x v="484"/>
    <x v="390"/>
    <x v="6"/>
    <s v="Q4-2024"/>
    <d v="2024-12-08T00:00:00"/>
    <d v="2024-12-08T00:00:00"/>
    <n v="0"/>
    <x v="1"/>
    <n v="1"/>
    <x v="3"/>
    <x v="7"/>
    <x v="17"/>
    <s v="Enterprise"/>
    <x v="0"/>
    <x v="10"/>
    <x v="0"/>
    <s v="Low"/>
    <x v="484"/>
    <n v="257.44"/>
    <n v="290.33"/>
    <n v="290.33"/>
    <x v="77"/>
    <n v="9.1999999999999998E-2"/>
    <x v="0"/>
    <n v="23"/>
    <x v="485"/>
    <n v="5921.12"/>
    <n v="142.1317199999994"/>
    <n v="2.3441500792581216E-2"/>
  </r>
  <r>
    <x v="485"/>
    <x v="391"/>
    <x v="32"/>
    <s v="Q4-2023"/>
    <d v="2023-11-24T00:00:00"/>
    <d v="2023-10-25T00:00:00"/>
    <n v="30"/>
    <x v="0"/>
    <n v="0"/>
    <x v="3"/>
    <x v="7"/>
    <x v="28"/>
    <s v="Enterprise"/>
    <x v="3"/>
    <x v="0"/>
    <x v="3"/>
    <s v="Low"/>
    <x v="485"/>
    <n v="287.85000000000002"/>
    <n v="602.91999999999996"/>
    <n v="602.91999999999996"/>
    <x v="217"/>
    <n v="0.222"/>
    <x v="1"/>
    <n v="11"/>
    <x v="486"/>
    <n v="3166.3500000000004"/>
    <n v="1993.4393599999994"/>
    <n v="0.38634122847216373"/>
  </r>
  <r>
    <x v="486"/>
    <x v="392"/>
    <x v="18"/>
    <s v="Q4-2024"/>
    <d v="2024-11-28T00:00:00"/>
    <d v="2024-11-17T00:00:00"/>
    <n v="11"/>
    <x v="0"/>
    <n v="0"/>
    <x v="2"/>
    <x v="3"/>
    <x v="35"/>
    <s v="Consumer"/>
    <x v="3"/>
    <x v="8"/>
    <x v="1"/>
    <s v="High"/>
    <x v="486"/>
    <n v="1008.16"/>
    <n v="2077.5"/>
    <n v="2077.5"/>
    <x v="13"/>
    <n v="7.3999999999999996E-2"/>
    <x v="0"/>
    <n v="15"/>
    <x v="487"/>
    <n v="15122.4"/>
    <n v="13734.075000000003"/>
    <n v="0.47594430712691005"/>
  </r>
  <r>
    <x v="487"/>
    <x v="393"/>
    <x v="7"/>
    <s v="Q2-2024"/>
    <d v="2024-05-24T00:00:00"/>
    <d v="2024-05-12T00:00:00"/>
    <n v="12"/>
    <x v="0"/>
    <n v="0"/>
    <x v="3"/>
    <x v="8"/>
    <x v="31"/>
    <s v="Education"/>
    <x v="2"/>
    <x v="11"/>
    <x v="1"/>
    <s v="Low"/>
    <x v="487"/>
    <n v="111.02"/>
    <n v="172.88"/>
    <n v="172.88"/>
    <x v="115"/>
    <n v="0.19700000000000001"/>
    <x v="0"/>
    <n v="29"/>
    <x v="488"/>
    <n v="3219.58"/>
    <n v="806.27655999999934"/>
    <n v="0.20027453735212053"/>
  </r>
  <r>
    <x v="488"/>
    <x v="394"/>
    <x v="8"/>
    <s v="Q2-2025"/>
    <d v="2025-06-05T00:00:00"/>
    <d v="2025-05-15T00:00:00"/>
    <n v="21"/>
    <x v="0"/>
    <n v="0"/>
    <x v="1"/>
    <x v="2"/>
    <x v="4"/>
    <s v="Enterprise"/>
    <x v="4"/>
    <x v="10"/>
    <x v="3"/>
    <s v="High"/>
    <x v="488"/>
    <n v="1466.5"/>
    <n v="2778.74"/>
    <n v="2778.74"/>
    <x v="157"/>
    <n v="0.13500000000000001"/>
    <x v="0"/>
    <n v="4"/>
    <x v="489"/>
    <n v="5866"/>
    <n v="3748.4403999999995"/>
    <n v="0.38987608680792279"/>
  </r>
  <r>
    <x v="489"/>
    <x v="395"/>
    <x v="20"/>
    <s v="Q2-2024"/>
    <d v="2024-05-19T00:00:00"/>
    <d v="2024-04-21T00:00:00"/>
    <n v="28"/>
    <x v="0"/>
    <n v="0"/>
    <x v="0"/>
    <x v="1"/>
    <x v="3"/>
    <s v="Corporate"/>
    <x v="3"/>
    <x v="8"/>
    <x v="6"/>
    <s v="Low"/>
    <x v="489"/>
    <n v="187.22"/>
    <n v="309.47000000000003"/>
    <n v="309.47000000000003"/>
    <x v="5"/>
    <n v="0"/>
    <x v="0"/>
    <n v="5"/>
    <x v="490"/>
    <n v="936.1"/>
    <n v="611.25000000000011"/>
    <n v="0.39503021294471197"/>
  </r>
  <r>
    <x v="490"/>
    <x v="396"/>
    <x v="21"/>
    <s v="Q3-2024"/>
    <d v="2024-09-07T00:00:00"/>
    <d v="2024-08-19T00:00:00"/>
    <n v="19"/>
    <x v="0"/>
    <n v="0"/>
    <x v="3"/>
    <x v="7"/>
    <x v="17"/>
    <s v="Corporate"/>
    <x v="4"/>
    <x v="1"/>
    <x v="0"/>
    <s v="High"/>
    <x v="490"/>
    <n v="297.58999999999997"/>
    <n v="666.41"/>
    <n v="666.41"/>
    <x v="5"/>
    <n v="0"/>
    <x v="0"/>
    <n v="10"/>
    <x v="491"/>
    <n v="2975.8999999999996"/>
    <n v="3688.2"/>
    <n v="0.55344307558409989"/>
  </r>
  <r>
    <x v="491"/>
    <x v="319"/>
    <x v="13"/>
    <s v="Q3-2025"/>
    <d v="2025-08-19T00:00:00"/>
    <d v="2025-07-23T00:00:00"/>
    <n v="27"/>
    <x v="0"/>
    <n v="0"/>
    <x v="1"/>
    <x v="2"/>
    <x v="32"/>
    <s v="Consumer"/>
    <x v="2"/>
    <x v="5"/>
    <x v="6"/>
    <s v="High"/>
    <x v="491"/>
    <n v="896.09"/>
    <n v="744.27"/>
    <n v="744.27"/>
    <x v="200"/>
    <n v="8.3000000000000004E-2"/>
    <x v="0"/>
    <n v="11"/>
    <x v="492"/>
    <n v="9856.99"/>
    <n v="-2349.5385100000003"/>
    <n v="-0.31296086469950679"/>
  </r>
  <r>
    <x v="492"/>
    <x v="397"/>
    <x v="0"/>
    <s v="Q1-2024"/>
    <d v="2024-02-29T00:00:00"/>
    <d v="2024-03-08T00:00:00"/>
    <n v="-8"/>
    <x v="1"/>
    <n v="1"/>
    <x v="2"/>
    <x v="5"/>
    <x v="8"/>
    <s v="Non-Profit"/>
    <x v="4"/>
    <x v="2"/>
    <x v="3"/>
    <s v="Low"/>
    <x v="492"/>
    <n v="5.34"/>
    <n v="12.69"/>
    <n v="12.69"/>
    <x v="191"/>
    <n v="0.13200000000000001"/>
    <x v="0"/>
    <n v="10"/>
    <x v="493"/>
    <n v="53.4"/>
    <n v="56.749199999999995"/>
    <n v="0.51520301554618642"/>
  </r>
  <r>
    <x v="493"/>
    <x v="398"/>
    <x v="7"/>
    <s v="Q2-2024"/>
    <d v="2024-06-17T00:00:00"/>
    <d v="2024-05-27T00:00:00"/>
    <n v="21"/>
    <x v="0"/>
    <n v="0"/>
    <x v="1"/>
    <x v="4"/>
    <x v="18"/>
    <s v="Small Business"/>
    <x v="1"/>
    <x v="10"/>
    <x v="6"/>
    <s v="High"/>
    <x v="493"/>
    <n v="465.02"/>
    <n v="651.55999999999995"/>
    <n v="651.55999999999995"/>
    <x v="174"/>
    <n v="4.2000000000000003E-2"/>
    <x v="0"/>
    <n v="19"/>
    <x v="494"/>
    <n v="8835.3799999999992"/>
    <n v="3024.3151199999993"/>
    <n v="0.25500783025187918"/>
  </r>
  <r>
    <x v="494"/>
    <x v="399"/>
    <x v="21"/>
    <s v="Q3-2024"/>
    <d v="2024-08-17T00:00:00"/>
    <d v="2024-08-04T00:00:00"/>
    <n v="13"/>
    <x v="0"/>
    <n v="0"/>
    <x v="2"/>
    <x v="10"/>
    <x v="36"/>
    <s v="Consumer"/>
    <x v="0"/>
    <x v="14"/>
    <x v="5"/>
    <s v="High"/>
    <x v="494"/>
    <n v="352.79"/>
    <n v="754.22"/>
    <n v="754.22"/>
    <x v="139"/>
    <n v="0.113"/>
    <x v="0"/>
    <n v="7"/>
    <x v="495"/>
    <n v="2469.5300000000002"/>
    <n v="2213.4219799999996"/>
    <n v="0.47265528014233443"/>
  </r>
  <r>
    <x v="495"/>
    <x v="264"/>
    <x v="23"/>
    <s v="Q2-2023"/>
    <d v="2023-07-04T00:00:00"/>
    <d v="2023-06-20T00:00:00"/>
    <n v="14"/>
    <x v="0"/>
    <n v="0"/>
    <x v="2"/>
    <x v="5"/>
    <x v="10"/>
    <s v="Non-Profit"/>
    <x v="4"/>
    <x v="0"/>
    <x v="2"/>
    <s v="High"/>
    <x v="495"/>
    <n v="1292.8599999999999"/>
    <n v="2981.01"/>
    <n v="2981.01"/>
    <x v="56"/>
    <n v="0.14199999999999999"/>
    <x v="0"/>
    <n v="12"/>
    <x v="496"/>
    <n v="15514.32"/>
    <n v="15178.158960000001"/>
    <n v="0.49452372288927687"/>
  </r>
  <r>
    <x v="496"/>
    <x v="191"/>
    <x v="29"/>
    <s v="Q3-2024"/>
    <d v="2024-09-13T00:00:00"/>
    <d v="2024-09-09T00:00:00"/>
    <n v="4"/>
    <x v="1"/>
    <n v="1"/>
    <x v="3"/>
    <x v="8"/>
    <x v="21"/>
    <s v="Consumer"/>
    <x v="2"/>
    <x v="9"/>
    <x v="2"/>
    <s v="High"/>
    <x v="496"/>
    <n v="1133.08"/>
    <n v="976.17"/>
    <n v="976.17"/>
    <x v="174"/>
    <n v="4.2000000000000003E-2"/>
    <x v="0"/>
    <n v="27"/>
    <x v="497"/>
    <n v="30593.159999999996"/>
    <n v="-5343.5467799999969"/>
    <n v="-0.21162885678452373"/>
  </r>
  <r>
    <x v="497"/>
    <x v="391"/>
    <x v="32"/>
    <s v="Q4-2023"/>
    <d v="2023-10-28T00:00:00"/>
    <d v="2023-10-25T00:00:00"/>
    <n v="3"/>
    <x v="1"/>
    <n v="1"/>
    <x v="2"/>
    <x v="5"/>
    <x v="10"/>
    <s v="Corporate"/>
    <x v="3"/>
    <x v="4"/>
    <x v="6"/>
    <s v="High"/>
    <x v="497"/>
    <n v="509.31"/>
    <n v="1145.9000000000001"/>
    <n v="1145.9000000000001"/>
    <x v="92"/>
    <n v="5.7000000000000002E-2"/>
    <x v="0"/>
    <n v="8"/>
    <x v="498"/>
    <n v="4074.48"/>
    <n v="4570.1896000000015"/>
    <n v="0.52867140231709964"/>
  </r>
  <r>
    <x v="498"/>
    <x v="17"/>
    <x v="11"/>
    <s v="Q3-2025"/>
    <d v="2025-10-05T00:00:00"/>
    <d v="2025-09-08T00:00:00"/>
    <n v="27"/>
    <x v="0"/>
    <n v="0"/>
    <x v="2"/>
    <x v="5"/>
    <x v="30"/>
    <s v="Education"/>
    <x v="1"/>
    <x v="0"/>
    <x v="5"/>
    <s v="High"/>
    <x v="498"/>
    <n v="660.78"/>
    <n v="1630.39"/>
    <n v="1630.39"/>
    <x v="218"/>
    <n v="0.218"/>
    <x v="1"/>
    <n v="13"/>
    <x v="499"/>
    <n v="8590.14"/>
    <n v="7984.4047400000018"/>
    <n v="0.48172694123724097"/>
  </r>
  <r>
    <x v="499"/>
    <x v="129"/>
    <x v="15"/>
    <s v="Q2-2023"/>
    <d v="2023-05-16T00:00:00"/>
    <d v="2023-05-02T00:00:00"/>
    <n v="14"/>
    <x v="0"/>
    <n v="0"/>
    <x v="1"/>
    <x v="4"/>
    <x v="6"/>
    <s v="Non-Profit"/>
    <x v="0"/>
    <x v="4"/>
    <x v="5"/>
    <s v="High"/>
    <x v="499"/>
    <n v="475.37"/>
    <n v="963.73"/>
    <n v="963.73"/>
    <x v="208"/>
    <n v="4.1000000000000002E-2"/>
    <x v="0"/>
    <n v="22"/>
    <x v="500"/>
    <n v="10458.14"/>
    <n v="9874.6355399999993"/>
    <n v="0.48565113604750881"/>
  </r>
  <r>
    <x v="500"/>
    <x v="400"/>
    <x v="20"/>
    <s v="Q2-2024"/>
    <d v="2024-04-24T00:00:00"/>
    <d v="2024-05-03T00:00:00"/>
    <n v="-9"/>
    <x v="1"/>
    <n v="1"/>
    <x v="3"/>
    <x v="8"/>
    <x v="21"/>
    <s v="Non-Profit"/>
    <x v="3"/>
    <x v="13"/>
    <x v="3"/>
    <s v="High"/>
    <x v="500"/>
    <n v="1232.77"/>
    <n v="891.73"/>
    <n v="891.73"/>
    <x v="150"/>
    <n v="0.16700000000000001"/>
    <x v="0"/>
    <n v="10"/>
    <x v="501"/>
    <n v="12327.7"/>
    <n v="-4899.589100000002"/>
    <n v="-0.65960096260813805"/>
  </r>
  <r>
    <x v="501"/>
    <x v="29"/>
    <x v="2"/>
    <s v="Q1-2023"/>
    <d v="2023-03-18T00:00:00"/>
    <d v="2023-02-23T00:00:00"/>
    <n v="23"/>
    <x v="0"/>
    <n v="0"/>
    <x v="1"/>
    <x v="9"/>
    <x v="38"/>
    <s v="Education"/>
    <x v="3"/>
    <x v="11"/>
    <x v="1"/>
    <s v="High"/>
    <x v="501"/>
    <n v="770.11"/>
    <n v="1667.82"/>
    <n v="1667.82"/>
    <x v="90"/>
    <n v="6.9000000000000006E-2"/>
    <x v="0"/>
    <n v="7"/>
    <x v="502"/>
    <n v="5390.77"/>
    <n v="5478.4129400000002"/>
    <n v="0.50403171703355287"/>
  </r>
  <r>
    <x v="502"/>
    <x v="401"/>
    <x v="3"/>
    <s v="Q1-2025"/>
    <d v="2025-03-25T00:00:00"/>
    <d v="2025-03-24T00:00:00"/>
    <n v="1"/>
    <x v="1"/>
    <n v="1"/>
    <x v="1"/>
    <x v="9"/>
    <x v="38"/>
    <s v="Non-Profit"/>
    <x v="1"/>
    <x v="3"/>
    <x v="2"/>
    <s v="High"/>
    <x v="502"/>
    <n v="1133.03"/>
    <n v="1921.51"/>
    <n v="1921.51"/>
    <x v="27"/>
    <n v="0.10100000000000001"/>
    <x v="0"/>
    <n v="5"/>
    <x v="503"/>
    <n v="5665.15"/>
    <n v="2972.0374499999998"/>
    <n v="0.3440978289755654"/>
  </r>
  <r>
    <x v="503"/>
    <x v="402"/>
    <x v="3"/>
    <s v="Q1-2025"/>
    <d v="2025-03-27T00:00:00"/>
    <d v="2025-03-10T00:00:00"/>
    <n v="17"/>
    <x v="0"/>
    <n v="0"/>
    <x v="2"/>
    <x v="5"/>
    <x v="30"/>
    <s v="Enterprise"/>
    <x v="4"/>
    <x v="9"/>
    <x v="2"/>
    <s v="High"/>
    <x v="503"/>
    <n v="996.73"/>
    <n v="1217.43"/>
    <n v="1217.43"/>
    <x v="68"/>
    <n v="7.0000000000000007E-2"/>
    <x v="0"/>
    <n v="9"/>
    <x v="504"/>
    <n v="8970.57"/>
    <n v="1219.3191000000006"/>
    <n v="0.11965970267527255"/>
  </r>
  <r>
    <x v="504"/>
    <x v="403"/>
    <x v="20"/>
    <s v="Q2-2024"/>
    <d v="2024-04-09T00:00:00"/>
    <d v="2024-04-05T00:00:00"/>
    <n v="4"/>
    <x v="1"/>
    <n v="1"/>
    <x v="0"/>
    <x v="1"/>
    <x v="3"/>
    <s v="Non-Profit"/>
    <x v="4"/>
    <x v="11"/>
    <x v="0"/>
    <s v="High"/>
    <x v="504"/>
    <n v="395.07"/>
    <n v="970.27"/>
    <n v="970.27"/>
    <x v="82"/>
    <n v="0.123"/>
    <x v="0"/>
    <n v="38"/>
    <x v="505"/>
    <n v="15012.66"/>
    <n v="17322.55802"/>
    <n v="0.53571799049833657"/>
  </r>
  <r>
    <x v="505"/>
    <x v="60"/>
    <x v="19"/>
    <s v="Q2-2025"/>
    <d v="2025-05-17T00:00:00"/>
    <d v="2025-04-27T00:00:00"/>
    <n v="20"/>
    <x v="0"/>
    <n v="0"/>
    <x v="2"/>
    <x v="10"/>
    <x v="36"/>
    <s v="Corporate"/>
    <x v="4"/>
    <x v="13"/>
    <x v="3"/>
    <s v="High"/>
    <x v="505"/>
    <n v="932.26"/>
    <n v="1624.67"/>
    <n v="1624.67"/>
    <x v="146"/>
    <n v="0.23499999999999999"/>
    <x v="1"/>
    <n v="28"/>
    <x v="506"/>
    <n v="26103.279999999999"/>
    <n v="8697.1514000000025"/>
    <n v="0.24991504559337163"/>
  </r>
  <r>
    <x v="506"/>
    <x v="404"/>
    <x v="1"/>
    <s v="Q4-2024"/>
    <d v="2024-10-28T00:00:00"/>
    <d v="2024-10-24T00:00:00"/>
    <n v="4"/>
    <x v="1"/>
    <n v="1"/>
    <x v="1"/>
    <x v="9"/>
    <x v="23"/>
    <s v="Small Business"/>
    <x v="3"/>
    <x v="2"/>
    <x v="2"/>
    <s v="High"/>
    <x v="506"/>
    <n v="1331.77"/>
    <n v="2606.11"/>
    <n v="2606.11"/>
    <x v="113"/>
    <n v="0.02"/>
    <x v="0"/>
    <n v="6"/>
    <x v="507"/>
    <n v="7990.62"/>
    <n v="7333.3067999999994"/>
    <n v="0.47855271665745619"/>
  </r>
  <r>
    <x v="507"/>
    <x v="290"/>
    <x v="12"/>
    <s v="Q2-2023"/>
    <d v="2023-04-20T00:00:00"/>
    <d v="2023-04-13T00:00:00"/>
    <n v="7"/>
    <x v="1"/>
    <n v="1"/>
    <x v="3"/>
    <x v="7"/>
    <x v="17"/>
    <s v="Small Business"/>
    <x v="1"/>
    <x v="8"/>
    <x v="4"/>
    <s v="Low"/>
    <x v="507"/>
    <n v="227.02"/>
    <n v="434.72"/>
    <n v="434.72"/>
    <x v="199"/>
    <n v="9.8000000000000004E-2"/>
    <x v="0"/>
    <n v="10"/>
    <x v="508"/>
    <n v="2270.2000000000003"/>
    <n v="1650.9744000000005"/>
    <n v="0.42104079838938052"/>
  </r>
  <r>
    <x v="508"/>
    <x v="405"/>
    <x v="18"/>
    <s v="Q4-2024"/>
    <d v="2024-11-21T00:00:00"/>
    <d v="2024-11-12T00:00:00"/>
    <n v="9"/>
    <x v="0"/>
    <n v="0"/>
    <x v="1"/>
    <x v="4"/>
    <x v="29"/>
    <s v="Corporate"/>
    <x v="4"/>
    <x v="10"/>
    <x v="4"/>
    <s v="High"/>
    <x v="508"/>
    <n v="903.41"/>
    <n v="1860.41"/>
    <n v="1860.41"/>
    <x v="86"/>
    <n v="0.108"/>
    <x v="0"/>
    <n v="5"/>
    <x v="509"/>
    <n v="4517.05"/>
    <n v="3780.3786000000009"/>
    <n v="0.455608451996803"/>
  </r>
  <r>
    <x v="509"/>
    <x v="406"/>
    <x v="15"/>
    <s v="Q2-2023"/>
    <d v="2023-05-14T00:00:00"/>
    <d v="2023-05-10T00:00:00"/>
    <n v="4"/>
    <x v="1"/>
    <n v="1"/>
    <x v="1"/>
    <x v="4"/>
    <x v="18"/>
    <s v="Non-Profit"/>
    <x v="3"/>
    <x v="0"/>
    <x v="5"/>
    <s v="High"/>
    <x v="509"/>
    <n v="622.6"/>
    <n v="833.69"/>
    <n v="833.69"/>
    <x v="219"/>
    <n v="0.20899999999999999"/>
    <x v="1"/>
    <n v="14"/>
    <x v="510"/>
    <n v="8716.4"/>
    <n v="515.88306000000011"/>
    <n v="5.5878167582959715E-2"/>
  </r>
  <r>
    <x v="510"/>
    <x v="263"/>
    <x v="0"/>
    <s v="Q1-2024"/>
    <d v="2024-03-23T00:00:00"/>
    <d v="2024-03-02T00:00:00"/>
    <n v="21"/>
    <x v="0"/>
    <n v="0"/>
    <x v="2"/>
    <x v="10"/>
    <x v="15"/>
    <s v="Small Business"/>
    <x v="1"/>
    <x v="9"/>
    <x v="0"/>
    <s v="Low"/>
    <x v="510"/>
    <n v="225.01"/>
    <n v="333.48"/>
    <n v="333.48"/>
    <x v="45"/>
    <n v="0.11899999999999999"/>
    <x v="0"/>
    <n v="12"/>
    <x v="511"/>
    <n v="2700.12"/>
    <n v="825.43056000000024"/>
    <n v="0.23412813004729685"/>
  </r>
  <r>
    <x v="511"/>
    <x v="407"/>
    <x v="1"/>
    <s v="Q4-2024"/>
    <d v="2024-10-11T00:00:00"/>
    <d v="2024-10-10T00:00:00"/>
    <n v="1"/>
    <x v="1"/>
    <n v="1"/>
    <x v="3"/>
    <x v="8"/>
    <x v="31"/>
    <s v="Non-Profit"/>
    <x v="3"/>
    <x v="4"/>
    <x v="0"/>
    <s v="High"/>
    <x v="511"/>
    <n v="1389.46"/>
    <n v="1784.7"/>
    <n v="1784.7"/>
    <x v="34"/>
    <n v="0.14599999999999999"/>
    <x v="0"/>
    <n v="33"/>
    <x v="512"/>
    <n v="45852.18"/>
    <n v="4444.2353999999978"/>
    <n v="8.8360877503011831E-2"/>
  </r>
  <r>
    <x v="512"/>
    <x v="408"/>
    <x v="23"/>
    <s v="Q2-2023"/>
    <d v="2023-06-08T00:00:00"/>
    <d v="2023-06-01T00:00:00"/>
    <n v="7"/>
    <x v="1"/>
    <n v="1"/>
    <x v="3"/>
    <x v="6"/>
    <x v="37"/>
    <s v="Consumer"/>
    <x v="1"/>
    <x v="8"/>
    <x v="3"/>
    <s v="High"/>
    <x v="512"/>
    <n v="804.17"/>
    <n v="1072.29"/>
    <n v="1072.29"/>
    <x v="195"/>
    <n v="3.2000000000000001E-2"/>
    <x v="0"/>
    <n v="5"/>
    <x v="513"/>
    <n v="4020.85"/>
    <n v="1169.0336000000002"/>
    <n v="0.2252523736755869"/>
  </r>
  <r>
    <x v="513"/>
    <x v="409"/>
    <x v="10"/>
    <s v="Q1-2025"/>
    <d v="2025-01-05T00:00:00"/>
    <d v="2025-01-04T00:00:00"/>
    <n v="1"/>
    <x v="1"/>
    <n v="1"/>
    <x v="1"/>
    <x v="4"/>
    <x v="18"/>
    <s v="Education"/>
    <x v="0"/>
    <x v="2"/>
    <x v="0"/>
    <s v="High"/>
    <x v="513"/>
    <n v="1428.33"/>
    <n v="3028.05"/>
    <n v="3028.05"/>
    <x v="5"/>
    <n v="0"/>
    <x v="0"/>
    <n v="11"/>
    <x v="514"/>
    <n v="15711.63"/>
    <n v="17596.920000000006"/>
    <n v="0.52830039134096207"/>
  </r>
  <r>
    <x v="514"/>
    <x v="117"/>
    <x v="28"/>
    <s v="Q3-2025"/>
    <d v="2025-08-28T00:00:00"/>
    <d v="2025-08-05T00:00:00"/>
    <n v="23"/>
    <x v="0"/>
    <n v="0"/>
    <x v="1"/>
    <x v="4"/>
    <x v="29"/>
    <s v="Non-Profit"/>
    <x v="3"/>
    <x v="13"/>
    <x v="4"/>
    <s v="High"/>
    <x v="514"/>
    <n v="638.54"/>
    <n v="987.24"/>
    <n v="987.24"/>
    <x v="5"/>
    <n v="0"/>
    <x v="0"/>
    <n v="11"/>
    <x v="515"/>
    <n v="7023.94"/>
    <n v="3835.7"/>
    <n v="0.35320692030306716"/>
  </r>
  <r>
    <x v="515"/>
    <x v="323"/>
    <x v="27"/>
    <s v="Q3-2023"/>
    <d v="2023-10-30T00:00:00"/>
    <d v="2023-09-30T00:00:00"/>
    <n v="30"/>
    <x v="0"/>
    <n v="0"/>
    <x v="1"/>
    <x v="2"/>
    <x v="27"/>
    <s v="Enterprise"/>
    <x v="1"/>
    <x v="14"/>
    <x v="1"/>
    <s v="High"/>
    <x v="515"/>
    <n v="649.13"/>
    <n v="975.43"/>
    <n v="975.43"/>
    <x v="87"/>
    <n v="0.157"/>
    <x v="0"/>
    <n v="27"/>
    <x v="516"/>
    <n v="17526.509999999998"/>
    <n v="4675.2522299999982"/>
    <n v="0.21058023149543473"/>
  </r>
  <r>
    <x v="516"/>
    <x v="253"/>
    <x v="8"/>
    <s v="Q2-2025"/>
    <d v="2025-05-30T00:00:00"/>
    <d v="2025-05-17T00:00:00"/>
    <n v="13"/>
    <x v="0"/>
    <n v="0"/>
    <x v="0"/>
    <x v="1"/>
    <x v="3"/>
    <s v="Consumer"/>
    <x v="3"/>
    <x v="9"/>
    <x v="6"/>
    <s v="Low"/>
    <x v="516"/>
    <n v="66.400000000000006"/>
    <n v="141.43"/>
    <n v="141.43"/>
    <x v="105"/>
    <n v="0.107"/>
    <x v="0"/>
    <n v="8"/>
    <x v="517"/>
    <n v="531.20000000000005"/>
    <n v="479.17592000000002"/>
    <n v="0.47425508715607551"/>
  </r>
  <r>
    <x v="517"/>
    <x v="372"/>
    <x v="7"/>
    <s v="Q2-2024"/>
    <d v="2024-05-26T00:00:00"/>
    <d v="2024-05-01T00:00:00"/>
    <n v="25"/>
    <x v="0"/>
    <n v="0"/>
    <x v="3"/>
    <x v="6"/>
    <x v="9"/>
    <s v="Non-Profit"/>
    <x v="0"/>
    <x v="5"/>
    <x v="2"/>
    <s v="High"/>
    <x v="517"/>
    <n v="930.71"/>
    <n v="1625.42"/>
    <n v="1625.42"/>
    <x v="159"/>
    <n v="0.13800000000000001"/>
    <x v="0"/>
    <n v="7"/>
    <x v="518"/>
    <n v="6514.97"/>
    <n v="3292.8142799999996"/>
    <n v="0.33573477821231196"/>
  </r>
  <r>
    <x v="518"/>
    <x v="410"/>
    <x v="15"/>
    <s v="Q2-2023"/>
    <d v="2023-05-18T00:00:00"/>
    <d v="2023-05-01T00:00:00"/>
    <n v="17"/>
    <x v="0"/>
    <n v="0"/>
    <x v="0"/>
    <x v="1"/>
    <x v="1"/>
    <s v="Corporate"/>
    <x v="4"/>
    <x v="9"/>
    <x v="0"/>
    <s v="Low"/>
    <x v="518"/>
    <n v="327.97"/>
    <n v="299.94"/>
    <n v="299.94"/>
    <x v="216"/>
    <n v="4.9000000000000002E-2"/>
    <x v="0"/>
    <n v="3"/>
    <x v="519"/>
    <n v="983.91000000000008"/>
    <n v="-128.18118000000015"/>
    <n v="-0.14979182306843442"/>
  </r>
  <r>
    <x v="519"/>
    <x v="411"/>
    <x v="14"/>
    <s v="Q3-2024"/>
    <d v="2024-08-08T00:00:00"/>
    <d v="2024-07-09T00:00:00"/>
    <n v="30"/>
    <x v="0"/>
    <n v="0"/>
    <x v="3"/>
    <x v="7"/>
    <x v="11"/>
    <s v="Corporate"/>
    <x v="4"/>
    <x v="1"/>
    <x v="0"/>
    <s v="High"/>
    <x v="519"/>
    <n v="1062.3800000000001"/>
    <n v="1503.96"/>
    <n v="1503.96"/>
    <x v="79"/>
    <n v="0.18"/>
    <x v="0"/>
    <n v="6"/>
    <x v="520"/>
    <n v="6374.2800000000007"/>
    <n v="1025.2031999999999"/>
    <n v="0.13855064905073369"/>
  </r>
  <r>
    <x v="520"/>
    <x v="406"/>
    <x v="15"/>
    <s v="Q2-2023"/>
    <d v="2023-05-27T00:00:00"/>
    <d v="2023-05-10T00:00:00"/>
    <n v="17"/>
    <x v="0"/>
    <n v="0"/>
    <x v="1"/>
    <x v="4"/>
    <x v="29"/>
    <s v="Consumer"/>
    <x v="0"/>
    <x v="12"/>
    <x v="4"/>
    <s v="High"/>
    <x v="520"/>
    <n v="1286.1600000000001"/>
    <n v="3101.11"/>
    <n v="3101.11"/>
    <x v="165"/>
    <n v="0.1"/>
    <x v="0"/>
    <n v="23"/>
    <x v="521"/>
    <n v="29581.68"/>
    <n v="34611.296999999999"/>
    <n v="0.53917575749758417"/>
  </r>
  <r>
    <x v="521"/>
    <x v="411"/>
    <x v="14"/>
    <s v="Q3-2024"/>
    <d v="2024-07-12T00:00:00"/>
    <d v="2024-07-09T00:00:00"/>
    <n v="3"/>
    <x v="1"/>
    <n v="1"/>
    <x v="1"/>
    <x v="9"/>
    <x v="23"/>
    <s v="Small Business"/>
    <x v="0"/>
    <x v="14"/>
    <x v="6"/>
    <s v="High"/>
    <x v="521"/>
    <n v="748.39"/>
    <n v="979.42"/>
    <n v="979.42"/>
    <x v="5"/>
    <n v="0"/>
    <x v="0"/>
    <n v="23"/>
    <x v="522"/>
    <n v="17212.97"/>
    <n v="5313.6899999999987"/>
    <n v="0.23588450307324738"/>
  </r>
  <r>
    <x v="522"/>
    <x v="412"/>
    <x v="20"/>
    <s v="Q2-2024"/>
    <d v="2024-05-10T00:00:00"/>
    <d v="2024-04-24T00:00:00"/>
    <n v="16"/>
    <x v="0"/>
    <n v="0"/>
    <x v="0"/>
    <x v="0"/>
    <x v="0"/>
    <s v="Non-Profit"/>
    <x v="1"/>
    <x v="13"/>
    <x v="5"/>
    <s v="High"/>
    <x v="522"/>
    <n v="513.30999999999995"/>
    <n v="1186.26"/>
    <n v="1186.26"/>
    <x v="12"/>
    <n v="9.4E-2"/>
    <x v="0"/>
    <n v="15"/>
    <x v="523"/>
    <n v="7699.65"/>
    <n v="8421.6234000000022"/>
    <n v="0.52239194702820446"/>
  </r>
  <r>
    <x v="523"/>
    <x v="94"/>
    <x v="9"/>
    <s v="Q1-2024"/>
    <d v="2024-01-15T00:00:00"/>
    <d v="2024-01-13T00:00:00"/>
    <n v="2"/>
    <x v="1"/>
    <n v="1"/>
    <x v="2"/>
    <x v="10"/>
    <x v="24"/>
    <s v="Non-Profit"/>
    <x v="4"/>
    <x v="6"/>
    <x v="0"/>
    <s v="High"/>
    <x v="523"/>
    <n v="1061.3699999999999"/>
    <n v="1938.33"/>
    <n v="1938.33"/>
    <x v="189"/>
    <n v="0.17"/>
    <x v="0"/>
    <n v="4"/>
    <x v="524"/>
    <n v="4245.4799999999996"/>
    <n v="2189.7755999999999"/>
    <n v="0.34027795259600879"/>
  </r>
  <r>
    <x v="524"/>
    <x v="413"/>
    <x v="20"/>
    <s v="Q2-2024"/>
    <d v="2024-04-27T00:00:00"/>
    <d v="2024-04-16T00:00:00"/>
    <n v="11"/>
    <x v="0"/>
    <n v="0"/>
    <x v="0"/>
    <x v="0"/>
    <x v="16"/>
    <s v="Enterprise"/>
    <x v="1"/>
    <x v="14"/>
    <x v="1"/>
    <s v="High"/>
    <x v="524"/>
    <n v="401.3"/>
    <n v="826.47"/>
    <n v="826.47"/>
    <x v="152"/>
    <n v="0.22500000000000001"/>
    <x v="1"/>
    <n v="13"/>
    <x v="525"/>
    <n v="5216.9000000000005"/>
    <n v="3109.7852499999999"/>
    <n v="0.37347217489696755"/>
  </r>
  <r>
    <x v="525"/>
    <x v="414"/>
    <x v="26"/>
    <s v="Q1-2025"/>
    <d v="2025-02-16T00:00:00"/>
    <d v="2025-02-07T00:00:00"/>
    <n v="9"/>
    <x v="0"/>
    <n v="0"/>
    <x v="0"/>
    <x v="1"/>
    <x v="3"/>
    <s v="Small Business"/>
    <x v="3"/>
    <x v="0"/>
    <x v="1"/>
    <s v="Low"/>
    <x v="525"/>
    <n v="90.68"/>
    <n v="118.17"/>
    <n v="118.17"/>
    <x v="157"/>
    <n v="0.13500000000000001"/>
    <x v="0"/>
    <n v="21"/>
    <x v="526"/>
    <n v="1904.2800000000002"/>
    <n v="242.27804999999989"/>
    <n v="0.11286815653552899"/>
  </r>
  <r>
    <x v="526"/>
    <x v="415"/>
    <x v="5"/>
    <s v="Q1-2023"/>
    <d v="2023-01-26T00:00:00"/>
    <d v="2023-01-12T00:00:00"/>
    <n v="14"/>
    <x v="0"/>
    <n v="0"/>
    <x v="1"/>
    <x v="9"/>
    <x v="14"/>
    <s v="Non-Profit"/>
    <x v="0"/>
    <x v="12"/>
    <x v="1"/>
    <s v="High"/>
    <x v="526"/>
    <n v="1083.0899999999999"/>
    <n v="1425.87"/>
    <n v="1425.87"/>
    <x v="5"/>
    <n v="0"/>
    <x v="0"/>
    <n v="8"/>
    <x v="527"/>
    <n v="8664.7199999999993"/>
    <n v="2742.24"/>
    <n v="0.24040059752992909"/>
  </r>
  <r>
    <x v="527"/>
    <x v="416"/>
    <x v="17"/>
    <s v="Q2-2024"/>
    <d v="2024-06-23T00:00:00"/>
    <d v="2024-06-05T00:00:00"/>
    <n v="18"/>
    <x v="0"/>
    <n v="0"/>
    <x v="0"/>
    <x v="0"/>
    <x v="2"/>
    <s v="Consumer"/>
    <x v="3"/>
    <x v="14"/>
    <x v="4"/>
    <s v="High"/>
    <x v="527"/>
    <n v="1208.74"/>
    <n v="1594.78"/>
    <n v="1594.78"/>
    <x v="163"/>
    <n v="5.8999999999999997E-2"/>
    <x v="0"/>
    <n v="39"/>
    <x v="528"/>
    <n v="47140.86"/>
    <n v="11385.971219999999"/>
    <n v="0.1945427589817838"/>
  </r>
  <r>
    <x v="528"/>
    <x v="417"/>
    <x v="25"/>
    <s v="Q3-2023"/>
    <d v="2023-09-20T00:00:00"/>
    <d v="2023-08-24T00:00:00"/>
    <n v="27"/>
    <x v="0"/>
    <n v="0"/>
    <x v="0"/>
    <x v="11"/>
    <x v="25"/>
    <s v="Small Business"/>
    <x v="2"/>
    <x v="12"/>
    <x v="1"/>
    <s v="High"/>
    <x v="528"/>
    <n v="1399.64"/>
    <n v="3342.11"/>
    <n v="3342.11"/>
    <x v="5"/>
    <n v="0"/>
    <x v="0"/>
    <n v="10"/>
    <x v="529"/>
    <n v="13996.400000000001"/>
    <n v="19424.699999999997"/>
    <n v="0.58121067229983447"/>
  </r>
  <r>
    <x v="529"/>
    <x v="247"/>
    <x v="9"/>
    <s v="Q1-2024"/>
    <d v="2024-02-08T00:00:00"/>
    <d v="2024-01-25T00:00:00"/>
    <n v="14"/>
    <x v="0"/>
    <n v="0"/>
    <x v="1"/>
    <x v="2"/>
    <x v="4"/>
    <s v="Consumer"/>
    <x v="2"/>
    <x v="2"/>
    <x v="2"/>
    <s v="High"/>
    <x v="529"/>
    <n v="937.16"/>
    <n v="1069.77"/>
    <n v="1069.77"/>
    <x v="16"/>
    <n v="3.7999999999999999E-2"/>
    <x v="0"/>
    <n v="9"/>
    <x v="530"/>
    <n v="8434.44"/>
    <n v="827.62866000000031"/>
    <n v="8.9356783066645962E-2"/>
  </r>
  <r>
    <x v="530"/>
    <x v="418"/>
    <x v="3"/>
    <s v="Q1-2025"/>
    <d v="2025-03-26T00:00:00"/>
    <d v="2025-03-11T00:00:00"/>
    <n v="15"/>
    <x v="0"/>
    <n v="0"/>
    <x v="3"/>
    <x v="6"/>
    <x v="9"/>
    <s v="Small Business"/>
    <x v="1"/>
    <x v="2"/>
    <x v="3"/>
    <s v="Low"/>
    <x v="530"/>
    <n v="116.97"/>
    <n v="140.82"/>
    <n v="140.82"/>
    <x v="153"/>
    <n v="0.122"/>
    <x v="0"/>
    <n v="5"/>
    <x v="531"/>
    <n v="584.85"/>
    <n v="33.349799999999846"/>
    <n v="5.3946636669891926E-2"/>
  </r>
  <r>
    <x v="531"/>
    <x v="222"/>
    <x v="19"/>
    <s v="Q2-2025"/>
    <d v="2025-05-12T00:00:00"/>
    <d v="2025-04-22T00:00:00"/>
    <n v="20"/>
    <x v="0"/>
    <n v="0"/>
    <x v="3"/>
    <x v="7"/>
    <x v="17"/>
    <s v="Enterprise"/>
    <x v="2"/>
    <x v="11"/>
    <x v="5"/>
    <s v="Low"/>
    <x v="531"/>
    <n v="59.51"/>
    <n v="67.040000000000006"/>
    <n v="67.040000000000006"/>
    <x v="60"/>
    <n v="0.114"/>
    <x v="0"/>
    <n v="9"/>
    <x v="532"/>
    <n v="535.59"/>
    <n v="-1.0130400000000463"/>
    <n v="-1.8950311663264469E-3"/>
  </r>
  <r>
    <x v="532"/>
    <x v="419"/>
    <x v="25"/>
    <s v="Q3-2023"/>
    <d v="2023-09-03T00:00:00"/>
    <d v="2023-08-17T00:00:00"/>
    <n v="17"/>
    <x v="0"/>
    <n v="0"/>
    <x v="0"/>
    <x v="11"/>
    <x v="25"/>
    <s v="Enterprise"/>
    <x v="0"/>
    <x v="8"/>
    <x v="3"/>
    <s v="High"/>
    <x v="532"/>
    <n v="676.37"/>
    <n v="1276.67"/>
    <n v="1276.67"/>
    <x v="72"/>
    <n v="6.6000000000000003E-2"/>
    <x v="0"/>
    <n v="10"/>
    <x v="533"/>
    <n v="6763.7"/>
    <n v="5160.3977999999997"/>
    <n v="0.4327705027712872"/>
  </r>
  <r>
    <x v="533"/>
    <x v="35"/>
    <x v="16"/>
    <s v="Q2-2025"/>
    <d v="2025-07-14T00:00:00"/>
    <d v="2025-06-24T00:00:00"/>
    <n v="20"/>
    <x v="0"/>
    <n v="0"/>
    <x v="0"/>
    <x v="11"/>
    <x v="20"/>
    <s v="Enterprise"/>
    <x v="2"/>
    <x v="1"/>
    <x v="4"/>
    <s v="High"/>
    <x v="533"/>
    <n v="1151.06"/>
    <n v="2821.36"/>
    <n v="2821.36"/>
    <x v="220"/>
    <n v="0.248"/>
    <x v="1"/>
    <n v="20"/>
    <x v="534"/>
    <n v="23021.199999999997"/>
    <n v="19412.054400000008"/>
    <n v="0.45747267501594235"/>
  </r>
  <r>
    <x v="534"/>
    <x v="420"/>
    <x v="10"/>
    <s v="Q1-2025"/>
    <d v="2025-02-06T00:00:00"/>
    <d v="2025-01-10T00:00:00"/>
    <n v="27"/>
    <x v="0"/>
    <n v="0"/>
    <x v="2"/>
    <x v="5"/>
    <x v="10"/>
    <s v="Non-Profit"/>
    <x v="0"/>
    <x v="5"/>
    <x v="4"/>
    <s v="High"/>
    <x v="534"/>
    <n v="725.62"/>
    <n v="1559.19"/>
    <n v="1559.19"/>
    <x v="197"/>
    <n v="0.19"/>
    <x v="0"/>
    <n v="12"/>
    <x v="535"/>
    <n v="8707.44"/>
    <n v="6447.8868000000002"/>
    <n v="0.42545349797405885"/>
  </r>
  <r>
    <x v="535"/>
    <x v="306"/>
    <x v="24"/>
    <s v="Q3-2023"/>
    <d v="2023-07-11T00:00:00"/>
    <d v="2023-07-01T00:00:00"/>
    <n v="10"/>
    <x v="0"/>
    <n v="0"/>
    <x v="3"/>
    <x v="7"/>
    <x v="28"/>
    <s v="Corporate"/>
    <x v="4"/>
    <x v="9"/>
    <x v="2"/>
    <s v="High"/>
    <x v="535"/>
    <n v="479.5"/>
    <n v="656.66"/>
    <n v="656.66"/>
    <x v="9"/>
    <n v="0.14899999999999999"/>
    <x v="0"/>
    <n v="14"/>
    <x v="536"/>
    <n v="6713"/>
    <n v="1110.4472399999995"/>
    <n v="0.14193835606412289"/>
  </r>
  <r>
    <x v="536"/>
    <x v="421"/>
    <x v="21"/>
    <s v="Q3-2024"/>
    <d v="2024-08-26T00:00:00"/>
    <d v="2024-08-16T00:00:00"/>
    <n v="10"/>
    <x v="0"/>
    <n v="0"/>
    <x v="2"/>
    <x v="10"/>
    <x v="15"/>
    <s v="Corporate"/>
    <x v="3"/>
    <x v="4"/>
    <x v="4"/>
    <s v="High"/>
    <x v="387"/>
    <n v="1291.7"/>
    <n v="2657.84"/>
    <n v="2657.84"/>
    <x v="24"/>
    <n v="8.6999999999999994E-2"/>
    <x v="0"/>
    <n v="21"/>
    <x v="537"/>
    <n v="27125.7"/>
    <n v="23833.066320000002"/>
    <n v="0.46769315745083367"/>
  </r>
  <r>
    <x v="537"/>
    <x v="422"/>
    <x v="24"/>
    <s v="Q3-2023"/>
    <d v="2023-07-13T00:00:00"/>
    <d v="2023-07-07T00:00:00"/>
    <n v="6"/>
    <x v="1"/>
    <n v="1"/>
    <x v="0"/>
    <x v="11"/>
    <x v="33"/>
    <s v="Small Business"/>
    <x v="2"/>
    <x v="5"/>
    <x v="6"/>
    <s v="High"/>
    <x v="536"/>
    <n v="612.59"/>
    <n v="1424.74"/>
    <n v="1424.74"/>
    <x v="221"/>
    <n v="4.3999999999999997E-2"/>
    <x v="0"/>
    <n v="15"/>
    <x v="538"/>
    <n v="9188.85"/>
    <n v="11241.921599999996"/>
    <n v="0.55024459281802152"/>
  </r>
  <r>
    <x v="538"/>
    <x v="423"/>
    <x v="4"/>
    <s v="Q4-2023"/>
    <d v="2024-01-01T00:00:00"/>
    <d v="2023-12-28T00:00:00"/>
    <n v="4"/>
    <x v="1"/>
    <n v="1"/>
    <x v="0"/>
    <x v="11"/>
    <x v="33"/>
    <s v="Education"/>
    <x v="3"/>
    <x v="8"/>
    <x v="1"/>
    <s v="High"/>
    <x v="537"/>
    <n v="1141.8"/>
    <n v="2318.7399999999998"/>
    <n v="2318.7399999999998"/>
    <x v="105"/>
    <n v="0.107"/>
    <x v="0"/>
    <n v="32"/>
    <x v="539"/>
    <n v="36537.599999999999"/>
    <n v="29722.714239999994"/>
    <n v="0.44857490612468304"/>
  </r>
  <r>
    <x v="539"/>
    <x v="424"/>
    <x v="5"/>
    <s v="Q1-2023"/>
    <d v="2023-02-15T00:00:00"/>
    <d v="2023-01-26T00:00:00"/>
    <n v="20"/>
    <x v="0"/>
    <n v="0"/>
    <x v="3"/>
    <x v="6"/>
    <x v="9"/>
    <s v="Small Business"/>
    <x v="1"/>
    <x v="7"/>
    <x v="2"/>
    <s v="Low"/>
    <x v="538"/>
    <n v="492.62"/>
    <n v="366.7"/>
    <n v="366.7"/>
    <x v="25"/>
    <n v="8.8999999999999996E-2"/>
    <x v="0"/>
    <n v="10"/>
    <x v="540"/>
    <n v="4926.2"/>
    <n v="-1585.5629999999996"/>
    <n v="-0.47462894052840809"/>
  </r>
  <r>
    <x v="540"/>
    <x v="425"/>
    <x v="24"/>
    <s v="Q3-2023"/>
    <d v="2023-07-09T00:00:00"/>
    <d v="2023-07-08T00:00:00"/>
    <n v="1"/>
    <x v="1"/>
    <n v="1"/>
    <x v="0"/>
    <x v="0"/>
    <x v="2"/>
    <s v="Consumer"/>
    <x v="1"/>
    <x v="14"/>
    <x v="4"/>
    <s v="High"/>
    <x v="539"/>
    <n v="1258.72"/>
    <n v="2797.41"/>
    <n v="2797.41"/>
    <x v="5"/>
    <n v="0"/>
    <x v="0"/>
    <n v="7"/>
    <x v="541"/>
    <n v="8811.0400000000009"/>
    <n v="10770.829999999998"/>
    <n v="0.55004093071805704"/>
  </r>
  <r>
    <x v="541"/>
    <x v="116"/>
    <x v="17"/>
    <s v="Q2-2024"/>
    <d v="2024-06-09T00:00:00"/>
    <d v="2024-06-07T00:00:00"/>
    <n v="2"/>
    <x v="1"/>
    <n v="1"/>
    <x v="1"/>
    <x v="9"/>
    <x v="23"/>
    <s v="Corporate"/>
    <x v="0"/>
    <x v="7"/>
    <x v="5"/>
    <s v="High"/>
    <x v="540"/>
    <n v="1370.28"/>
    <n v="2209.66"/>
    <n v="2209.66"/>
    <x v="112"/>
    <n v="0.13300000000000001"/>
    <x v="0"/>
    <n v="16"/>
    <x v="542"/>
    <n v="21924.48"/>
    <n v="8727.9235199999966"/>
    <n v="0.28473863442079589"/>
  </r>
  <r>
    <x v="542"/>
    <x v="426"/>
    <x v="2"/>
    <s v="Q1-2023"/>
    <d v="2023-02-12T00:00:00"/>
    <d v="2023-02-11T00:00:00"/>
    <n v="1"/>
    <x v="1"/>
    <n v="1"/>
    <x v="0"/>
    <x v="1"/>
    <x v="1"/>
    <s v="Non-Profit"/>
    <x v="4"/>
    <x v="14"/>
    <x v="6"/>
    <s v="High"/>
    <x v="541"/>
    <n v="944.61"/>
    <n v="839.04"/>
    <n v="839.04"/>
    <x v="163"/>
    <n v="5.8999999999999997E-2"/>
    <x v="0"/>
    <n v="6"/>
    <x v="543"/>
    <n v="5667.66"/>
    <n v="-930.44016000000011"/>
    <n v="-0.19641059343363726"/>
  </r>
  <r>
    <x v="543"/>
    <x v="306"/>
    <x v="24"/>
    <s v="Q3-2023"/>
    <d v="2023-07-08T00:00:00"/>
    <d v="2023-07-01T00:00:00"/>
    <n v="7"/>
    <x v="1"/>
    <n v="1"/>
    <x v="3"/>
    <x v="6"/>
    <x v="37"/>
    <s v="Small Business"/>
    <x v="3"/>
    <x v="13"/>
    <x v="4"/>
    <s v="High"/>
    <x v="542"/>
    <n v="460.21"/>
    <n v="1139.1500000000001"/>
    <n v="1139.1500000000001"/>
    <x v="158"/>
    <n v="0.115"/>
    <x v="0"/>
    <n v="14"/>
    <x v="544"/>
    <n v="6442.94"/>
    <n v="7671.1285000000016"/>
    <n v="0.54350937151821255"/>
  </r>
  <r>
    <x v="544"/>
    <x v="427"/>
    <x v="28"/>
    <s v="Q3-2025"/>
    <d v="2025-08-26T00:00:00"/>
    <d v="2025-08-20T00:00:00"/>
    <n v="6"/>
    <x v="1"/>
    <n v="1"/>
    <x v="2"/>
    <x v="10"/>
    <x v="39"/>
    <s v="Corporate"/>
    <x v="0"/>
    <x v="12"/>
    <x v="2"/>
    <s v="High"/>
    <x v="543"/>
    <n v="1304.95"/>
    <n v="1712.03"/>
    <n v="1712.03"/>
    <x v="123"/>
    <n v="0.21199999999999999"/>
    <x v="1"/>
    <n v="8"/>
    <x v="545"/>
    <n v="10439.6"/>
    <n v="353.03711999999905"/>
    <n v="3.2710922833287949E-2"/>
  </r>
  <r>
    <x v="545"/>
    <x v="428"/>
    <x v="0"/>
    <s v="Q1-2024"/>
    <d v="2024-03-16T00:00:00"/>
    <d v="2024-03-04T00:00:00"/>
    <n v="12"/>
    <x v="0"/>
    <n v="0"/>
    <x v="0"/>
    <x v="11"/>
    <x v="20"/>
    <s v="Enterprise"/>
    <x v="3"/>
    <x v="12"/>
    <x v="5"/>
    <s v="High"/>
    <x v="544"/>
    <n v="441.08"/>
    <n v="1054.29"/>
    <n v="1054.29"/>
    <x v="1"/>
    <n v="0.23699999999999999"/>
    <x v="1"/>
    <n v="6"/>
    <x v="546"/>
    <n v="2646.48"/>
    <n v="2180.0596199999995"/>
    <n v="0.45168169985932899"/>
  </r>
  <r>
    <x v="546"/>
    <x v="429"/>
    <x v="27"/>
    <s v="Q3-2023"/>
    <d v="2023-10-02T00:00:00"/>
    <d v="2023-09-08T00:00:00"/>
    <n v="24"/>
    <x v="0"/>
    <n v="0"/>
    <x v="2"/>
    <x v="3"/>
    <x v="5"/>
    <s v="Education"/>
    <x v="4"/>
    <x v="8"/>
    <x v="6"/>
    <s v="High"/>
    <x v="545"/>
    <n v="1299.03"/>
    <n v="2451.2199999999998"/>
    <n v="2451.2199999999998"/>
    <x v="222"/>
    <n v="0.20799999999999999"/>
    <x v="1"/>
    <n v="8"/>
    <x v="547"/>
    <n v="10392.24"/>
    <n v="5138.6899199999989"/>
    <n v="0.3308681416032041"/>
  </r>
  <r>
    <x v="547"/>
    <x v="2"/>
    <x v="2"/>
    <s v="Q1-2023"/>
    <d v="2023-03-06T00:00:00"/>
    <d v="2023-02-28T00:00:00"/>
    <n v="6"/>
    <x v="1"/>
    <n v="1"/>
    <x v="3"/>
    <x v="6"/>
    <x v="37"/>
    <s v="Small Business"/>
    <x v="2"/>
    <x v="14"/>
    <x v="1"/>
    <s v="High"/>
    <x v="546"/>
    <n v="880.02"/>
    <n v="1251.21"/>
    <n v="1251.21"/>
    <x v="82"/>
    <n v="0.123"/>
    <x v="0"/>
    <n v="29"/>
    <x v="548"/>
    <n v="25520.579999999998"/>
    <n v="6301.4439300000049"/>
    <n v="0.19802146915172672"/>
  </r>
  <r>
    <x v="548"/>
    <x v="293"/>
    <x v="14"/>
    <s v="Q3-2024"/>
    <d v="2024-08-03T00:00:00"/>
    <d v="2024-07-13T00:00:00"/>
    <n v="21"/>
    <x v="0"/>
    <n v="0"/>
    <x v="2"/>
    <x v="5"/>
    <x v="30"/>
    <s v="Corporate"/>
    <x v="2"/>
    <x v="12"/>
    <x v="5"/>
    <s v="High"/>
    <x v="547"/>
    <n v="702.98"/>
    <n v="1104.8"/>
    <n v="1104.8"/>
    <x v="30"/>
    <n v="0.17499999999999999"/>
    <x v="0"/>
    <n v="12"/>
    <x v="549"/>
    <n v="8435.76"/>
    <n v="2501.7599999999984"/>
    <n v="0.22873192460448061"/>
  </r>
  <r>
    <x v="549"/>
    <x v="430"/>
    <x v="6"/>
    <s v="Q4-2024"/>
    <d v="2024-12-26T00:00:00"/>
    <d v="2024-12-07T00:00:00"/>
    <n v="19"/>
    <x v="0"/>
    <n v="0"/>
    <x v="3"/>
    <x v="8"/>
    <x v="21"/>
    <s v="Enterprise"/>
    <x v="1"/>
    <x v="14"/>
    <x v="2"/>
    <s v="High"/>
    <x v="548"/>
    <n v="1035.24"/>
    <n v="2383.41"/>
    <n v="2383.41"/>
    <x v="189"/>
    <n v="0.17"/>
    <x v="0"/>
    <n v="15"/>
    <x v="550"/>
    <n v="15528.6"/>
    <n v="14144.854499999992"/>
    <n v="0.47668378145860962"/>
  </r>
  <r>
    <x v="550"/>
    <x v="431"/>
    <x v="28"/>
    <s v="Q3-2025"/>
    <d v="2025-08-23T00:00:00"/>
    <d v="2025-08-06T00:00:00"/>
    <n v="17"/>
    <x v="0"/>
    <n v="0"/>
    <x v="2"/>
    <x v="5"/>
    <x v="10"/>
    <s v="Consumer"/>
    <x v="3"/>
    <x v="8"/>
    <x v="5"/>
    <s v="Low"/>
    <x v="549"/>
    <n v="86.64"/>
    <n v="213.06"/>
    <n v="213.06"/>
    <x v="123"/>
    <n v="0.21199999999999999"/>
    <x v="1"/>
    <n v="11"/>
    <x v="551"/>
    <n v="953.04"/>
    <n v="893.76407999999992"/>
    <n v="0.48395175735154322"/>
  </r>
  <r>
    <x v="551"/>
    <x v="432"/>
    <x v="22"/>
    <s v="Q1-2023"/>
    <d v="2023-03-20T00:00:00"/>
    <d v="2023-03-03T00:00:00"/>
    <n v="17"/>
    <x v="0"/>
    <n v="0"/>
    <x v="1"/>
    <x v="2"/>
    <x v="32"/>
    <s v="Small Business"/>
    <x v="1"/>
    <x v="14"/>
    <x v="2"/>
    <s v="High"/>
    <x v="550"/>
    <n v="1171.17"/>
    <n v="2030.64"/>
    <n v="2030.64"/>
    <x v="87"/>
    <n v="0.157"/>
    <x v="0"/>
    <n v="11"/>
    <x v="552"/>
    <n v="12882.87"/>
    <n v="5947.254719999999"/>
    <n v="0.31583724528830415"/>
  </r>
  <r>
    <x v="552"/>
    <x v="433"/>
    <x v="26"/>
    <s v="Q1-2025"/>
    <d v="2025-03-17T00:00:00"/>
    <d v="2025-02-16T00:00:00"/>
    <n v="29"/>
    <x v="0"/>
    <n v="0"/>
    <x v="3"/>
    <x v="6"/>
    <x v="22"/>
    <s v="Consumer"/>
    <x v="0"/>
    <x v="4"/>
    <x v="6"/>
    <s v="High"/>
    <x v="551"/>
    <n v="730.42"/>
    <n v="956.7"/>
    <n v="956.7"/>
    <x v="174"/>
    <n v="4.2000000000000003E-2"/>
    <x v="0"/>
    <n v="22"/>
    <x v="553"/>
    <n v="16069.24"/>
    <n v="4094.1692000000021"/>
    <n v="0.20304945256975698"/>
  </r>
  <r>
    <x v="553"/>
    <x v="146"/>
    <x v="26"/>
    <s v="Q1-2025"/>
    <d v="2025-03-01T00:00:00"/>
    <d v="2025-02-15T00:00:00"/>
    <n v="14"/>
    <x v="0"/>
    <n v="0"/>
    <x v="0"/>
    <x v="0"/>
    <x v="13"/>
    <s v="Education"/>
    <x v="4"/>
    <x v="4"/>
    <x v="6"/>
    <s v="High"/>
    <x v="552"/>
    <n v="1162.8599999999999"/>
    <n v="1447.68"/>
    <n v="1447.68"/>
    <x v="24"/>
    <n v="8.6999999999999994E-2"/>
    <x v="0"/>
    <n v="12"/>
    <x v="554"/>
    <n v="13954.32"/>
    <n v="1906.4620800000012"/>
    <n v="0.12019975247021369"/>
  </r>
  <r>
    <x v="554"/>
    <x v="434"/>
    <x v="21"/>
    <s v="Q3-2024"/>
    <d v="2024-09-26T00:00:00"/>
    <d v="2024-08-31T00:00:00"/>
    <n v="26"/>
    <x v="0"/>
    <n v="0"/>
    <x v="1"/>
    <x v="2"/>
    <x v="27"/>
    <s v="Education"/>
    <x v="1"/>
    <x v="2"/>
    <x v="3"/>
    <s v="High"/>
    <x v="553"/>
    <n v="1189.03"/>
    <n v="2949.62"/>
    <n v="2949.62"/>
    <x v="22"/>
    <n v="0.125"/>
    <x v="0"/>
    <n v="13"/>
    <x v="555"/>
    <n v="15457.39"/>
    <n v="18094.537499999999"/>
    <n v="0.53929949330034765"/>
  </r>
  <r>
    <x v="555"/>
    <x v="239"/>
    <x v="15"/>
    <s v="Q2-2023"/>
    <d v="2023-05-20T00:00:00"/>
    <d v="2023-05-07T00:00:00"/>
    <n v="13"/>
    <x v="0"/>
    <n v="0"/>
    <x v="1"/>
    <x v="4"/>
    <x v="29"/>
    <s v="Enterprise"/>
    <x v="0"/>
    <x v="14"/>
    <x v="6"/>
    <s v="High"/>
    <x v="554"/>
    <n v="1443.28"/>
    <n v="2580.5700000000002"/>
    <n v="2580.5700000000002"/>
    <x v="5"/>
    <n v="0"/>
    <x v="0"/>
    <n v="18"/>
    <x v="556"/>
    <n v="25979.040000000001"/>
    <n v="20471.22"/>
    <n v="0.4407127107577008"/>
  </r>
  <r>
    <x v="556"/>
    <x v="78"/>
    <x v="8"/>
    <s v="Q2-2025"/>
    <d v="2025-05-12T00:00:00"/>
    <d v="2025-05-21T00:00:00"/>
    <n v="-9"/>
    <x v="1"/>
    <n v="1"/>
    <x v="2"/>
    <x v="3"/>
    <x v="26"/>
    <s v="Non-Profit"/>
    <x v="3"/>
    <x v="9"/>
    <x v="1"/>
    <s v="High"/>
    <x v="555"/>
    <n v="883.5"/>
    <n v="1978.91"/>
    <n v="1978.91"/>
    <x v="223"/>
    <n v="5.3999999999999999E-2"/>
    <x v="0"/>
    <n v="27"/>
    <x v="557"/>
    <n v="23854.5"/>
    <n v="26690.819219999998"/>
    <n v="0.52805718970390547"/>
  </r>
  <r>
    <x v="557"/>
    <x v="0"/>
    <x v="0"/>
    <s v="Q1-2024"/>
    <d v="2024-03-29T00:00:00"/>
    <d v="2024-03-11T00:00:00"/>
    <n v="18"/>
    <x v="0"/>
    <n v="0"/>
    <x v="2"/>
    <x v="10"/>
    <x v="39"/>
    <s v="Corporate"/>
    <x v="0"/>
    <x v="12"/>
    <x v="5"/>
    <s v="High"/>
    <x v="556"/>
    <n v="710.98"/>
    <n v="1481.45"/>
    <n v="1481.45"/>
    <x v="126"/>
    <n v="0.21099999999999999"/>
    <x v="1"/>
    <n v="9"/>
    <x v="558"/>
    <n v="6398.82"/>
    <n v="4120.9564500000015"/>
    <n v="0.39173422264120461"/>
  </r>
  <r>
    <x v="558"/>
    <x v="22"/>
    <x v="7"/>
    <s v="Q2-2024"/>
    <d v="2024-05-22T00:00:00"/>
    <d v="2024-05-18T00:00:00"/>
    <n v="4"/>
    <x v="1"/>
    <n v="1"/>
    <x v="0"/>
    <x v="0"/>
    <x v="2"/>
    <s v="Corporate"/>
    <x v="4"/>
    <x v="10"/>
    <x v="6"/>
    <s v="High"/>
    <x v="557"/>
    <n v="857.42"/>
    <n v="1658.92"/>
    <n v="1658.92"/>
    <x v="153"/>
    <n v="0.122"/>
    <x v="0"/>
    <n v="9"/>
    <x v="559"/>
    <n v="7716.78"/>
    <n v="5392.0058400000007"/>
    <n v="0.41132763215544305"/>
  </r>
  <r>
    <x v="559"/>
    <x v="435"/>
    <x v="9"/>
    <s v="Q1-2024"/>
    <d v="2024-01-12T00:00:00"/>
    <d v="2024-01-08T00:00:00"/>
    <n v="4"/>
    <x v="1"/>
    <n v="1"/>
    <x v="1"/>
    <x v="4"/>
    <x v="6"/>
    <s v="Corporate"/>
    <x v="4"/>
    <x v="6"/>
    <x v="1"/>
    <s v="Low"/>
    <x v="558"/>
    <n v="802.32"/>
    <n v="602.34"/>
    <n v="602.34"/>
    <x v="18"/>
    <n v="0.12"/>
    <x v="0"/>
    <n v="25"/>
    <x v="560"/>
    <n v="20058"/>
    <n v="-6806.52"/>
    <n v="-0.51364224977134632"/>
  </r>
  <r>
    <x v="560"/>
    <x v="40"/>
    <x v="1"/>
    <s v="Q4-2024"/>
    <d v="2024-11-05T00:00:00"/>
    <d v="2024-10-25T00:00:00"/>
    <n v="11"/>
    <x v="0"/>
    <n v="0"/>
    <x v="2"/>
    <x v="10"/>
    <x v="39"/>
    <s v="Corporate"/>
    <x v="3"/>
    <x v="13"/>
    <x v="0"/>
    <s v="Low"/>
    <x v="559"/>
    <n v="446.66"/>
    <n v="527.64"/>
    <n v="527.64"/>
    <x v="180"/>
    <n v="0.14499999999999999"/>
    <x v="0"/>
    <n v="15"/>
    <x v="561"/>
    <n v="6699.9000000000005"/>
    <n v="67.082999999998719"/>
    <n v="9.9132804087137105E-3"/>
  </r>
  <r>
    <x v="561"/>
    <x v="25"/>
    <x v="18"/>
    <s v="Q4-2024"/>
    <d v="2024-12-19T00:00:00"/>
    <d v="2024-11-30T00:00:00"/>
    <n v="19"/>
    <x v="0"/>
    <n v="0"/>
    <x v="0"/>
    <x v="0"/>
    <x v="0"/>
    <s v="Corporate"/>
    <x v="1"/>
    <x v="4"/>
    <x v="3"/>
    <s v="High"/>
    <x v="560"/>
    <n v="1195.98"/>
    <n v="1841.9"/>
    <n v="1841.9"/>
    <x v="133"/>
    <n v="5.5E-2"/>
    <x v="0"/>
    <n v="19"/>
    <x v="562"/>
    <n v="22723.62"/>
    <n v="10347.694500000001"/>
    <n v="0.31289032977506842"/>
  </r>
  <r>
    <x v="562"/>
    <x v="290"/>
    <x v="12"/>
    <s v="Q2-2023"/>
    <d v="2023-05-02T00:00:00"/>
    <d v="2023-04-13T00:00:00"/>
    <n v="19"/>
    <x v="0"/>
    <n v="0"/>
    <x v="2"/>
    <x v="3"/>
    <x v="19"/>
    <s v="Consumer"/>
    <x v="3"/>
    <x v="6"/>
    <x v="5"/>
    <s v="High"/>
    <x v="561"/>
    <n v="671.05"/>
    <n v="1645.48"/>
    <n v="1645.48"/>
    <x v="81"/>
    <n v="0.13700000000000001"/>
    <x v="0"/>
    <n v="6"/>
    <x v="563"/>
    <n v="4026.2999999999997"/>
    <n v="4493.9954400000006"/>
    <n v="0.52744596377517172"/>
  </r>
  <r>
    <x v="563"/>
    <x v="185"/>
    <x v="26"/>
    <s v="Q1-2025"/>
    <d v="2025-02-08T00:00:00"/>
    <d v="2025-02-04T00:00:00"/>
    <n v="4"/>
    <x v="1"/>
    <n v="1"/>
    <x v="3"/>
    <x v="8"/>
    <x v="31"/>
    <s v="Enterprise"/>
    <x v="2"/>
    <x v="4"/>
    <x v="2"/>
    <s v="High"/>
    <x v="562"/>
    <n v="586.21"/>
    <n v="727.22"/>
    <n v="727.22"/>
    <x v="55"/>
    <n v="6.8000000000000005E-2"/>
    <x v="0"/>
    <n v="15"/>
    <x v="564"/>
    <n v="8793.1500000000015"/>
    <n v="1373.3855999999996"/>
    <n v="0.13508884973559721"/>
  </r>
  <r>
    <x v="564"/>
    <x v="436"/>
    <x v="9"/>
    <s v="Q1-2024"/>
    <d v="2024-02-04T00:00:00"/>
    <d v="2024-01-24T00:00:00"/>
    <n v="11"/>
    <x v="0"/>
    <n v="0"/>
    <x v="3"/>
    <x v="8"/>
    <x v="31"/>
    <s v="Consumer"/>
    <x v="0"/>
    <x v="5"/>
    <x v="4"/>
    <s v="High"/>
    <x v="563"/>
    <n v="525.34"/>
    <n v="1233.79"/>
    <n v="1233.79"/>
    <x v="17"/>
    <n v="0.14299999999999999"/>
    <x v="0"/>
    <n v="4"/>
    <x v="565"/>
    <n v="2101.36"/>
    <n v="2128.0721199999994"/>
    <n v="0.50315788494082736"/>
  </r>
  <r>
    <x v="565"/>
    <x v="437"/>
    <x v="31"/>
    <s v="Q1-2024"/>
    <d v="2024-02-09T00:00:00"/>
    <d v="2024-02-08T00:00:00"/>
    <n v="1"/>
    <x v="1"/>
    <n v="1"/>
    <x v="0"/>
    <x v="0"/>
    <x v="13"/>
    <s v="Corporate"/>
    <x v="4"/>
    <x v="9"/>
    <x v="0"/>
    <s v="High"/>
    <x v="564"/>
    <n v="1233.52"/>
    <n v="1543.76"/>
    <n v="1543.76"/>
    <x v="38"/>
    <n v="0.126"/>
    <x v="0"/>
    <n v="13"/>
    <x v="566"/>
    <n v="16035.76"/>
    <n v="1504.4411200000013"/>
    <n v="8.5771030201277493E-2"/>
  </r>
  <r>
    <x v="566"/>
    <x v="438"/>
    <x v="16"/>
    <s v="Q2-2025"/>
    <d v="2025-07-11T00:00:00"/>
    <d v="2025-06-26T00:00:00"/>
    <n v="15"/>
    <x v="0"/>
    <n v="0"/>
    <x v="0"/>
    <x v="1"/>
    <x v="1"/>
    <s v="Small Business"/>
    <x v="1"/>
    <x v="8"/>
    <x v="4"/>
    <s v="High"/>
    <x v="565"/>
    <n v="1170.1500000000001"/>
    <n v="2115.19"/>
    <n v="2115.19"/>
    <x v="77"/>
    <n v="9.1999999999999998E-2"/>
    <x v="0"/>
    <n v="23"/>
    <x v="567"/>
    <n v="26913.45"/>
    <n v="17260.177960000005"/>
    <n v="0.39073489674946776"/>
  </r>
  <r>
    <x v="567"/>
    <x v="273"/>
    <x v="18"/>
    <s v="Q4-2024"/>
    <d v="2024-11-07T00:00:00"/>
    <d v="2024-11-04T00:00:00"/>
    <n v="3"/>
    <x v="1"/>
    <n v="1"/>
    <x v="3"/>
    <x v="7"/>
    <x v="17"/>
    <s v="Corporate"/>
    <x v="1"/>
    <x v="7"/>
    <x v="5"/>
    <s v="High"/>
    <x v="566"/>
    <n v="740.68"/>
    <n v="1837.19"/>
    <n v="1837.19"/>
    <x v="115"/>
    <n v="0.19700000000000001"/>
    <x v="0"/>
    <n v="17"/>
    <x v="568"/>
    <n v="12591.56"/>
    <n v="12487.920689999997"/>
    <n v="0.4979337827748298"/>
  </r>
  <r>
    <x v="568"/>
    <x v="439"/>
    <x v="31"/>
    <s v="Q1-2024"/>
    <d v="2024-02-20T00:00:00"/>
    <d v="2024-02-20T00:00:00"/>
    <n v="0"/>
    <x v="1"/>
    <n v="1"/>
    <x v="2"/>
    <x v="10"/>
    <x v="39"/>
    <s v="Enterprise"/>
    <x v="1"/>
    <x v="0"/>
    <x v="2"/>
    <s v="High"/>
    <x v="567"/>
    <n v="1407.05"/>
    <n v="2858.93"/>
    <n v="2858.93"/>
    <x v="5"/>
    <n v="0"/>
    <x v="0"/>
    <n v="12"/>
    <x v="569"/>
    <n v="16884.599999999999"/>
    <n v="17422.559999999998"/>
    <n v="0.50784034586366222"/>
  </r>
  <r>
    <x v="569"/>
    <x v="440"/>
    <x v="19"/>
    <s v="Q2-2025"/>
    <d v="2025-04-14T00:00:00"/>
    <d v="2025-04-13T00:00:00"/>
    <n v="1"/>
    <x v="1"/>
    <n v="1"/>
    <x v="1"/>
    <x v="2"/>
    <x v="4"/>
    <s v="Enterprise"/>
    <x v="1"/>
    <x v="3"/>
    <x v="0"/>
    <s v="Low"/>
    <x v="568"/>
    <n v="138.9"/>
    <n v="289.92"/>
    <n v="289.92"/>
    <x v="134"/>
    <n v="2.9000000000000001E-2"/>
    <x v="0"/>
    <n v="12"/>
    <x v="570"/>
    <n v="1666.8000000000002"/>
    <n v="1711.3478399999999"/>
    <n v="0.50659353025828491"/>
  </r>
  <r>
    <x v="570"/>
    <x v="408"/>
    <x v="23"/>
    <s v="Q2-2023"/>
    <d v="2023-06-01T00:00:00"/>
    <d v="2023-06-01T00:00:00"/>
    <n v="0"/>
    <x v="1"/>
    <n v="1"/>
    <x v="1"/>
    <x v="4"/>
    <x v="6"/>
    <s v="Corporate"/>
    <x v="0"/>
    <x v="6"/>
    <x v="6"/>
    <s v="High"/>
    <x v="569"/>
    <n v="669.37"/>
    <n v="997.2"/>
    <n v="997.2"/>
    <x v="104"/>
    <n v="8.2000000000000003E-2"/>
    <x v="0"/>
    <n v="5"/>
    <x v="571"/>
    <n v="3346.85"/>
    <n v="1230.2980000000002"/>
    <n v="0.26879139586484863"/>
  </r>
  <r>
    <x v="571"/>
    <x v="401"/>
    <x v="3"/>
    <s v="Q1-2025"/>
    <d v="2025-04-04T00:00:00"/>
    <d v="2025-03-24T00:00:00"/>
    <n v="11"/>
    <x v="0"/>
    <n v="0"/>
    <x v="1"/>
    <x v="4"/>
    <x v="29"/>
    <s v="Education"/>
    <x v="2"/>
    <x v="1"/>
    <x v="3"/>
    <s v="Low"/>
    <x v="570"/>
    <n v="23.83"/>
    <n v="47.29"/>
    <n v="47.29"/>
    <x v="201"/>
    <n v="6.4000000000000001E-2"/>
    <x v="0"/>
    <n v="19"/>
    <x v="572"/>
    <n v="452.77"/>
    <n v="388.23536000000001"/>
    <n v="0.46163244429262618"/>
  </r>
  <r>
    <x v="572"/>
    <x v="279"/>
    <x v="9"/>
    <s v="Q1-2024"/>
    <d v="2024-01-02T00:00:00"/>
    <d v="2024-01-02T00:00:00"/>
    <n v="0"/>
    <x v="1"/>
    <n v="1"/>
    <x v="2"/>
    <x v="3"/>
    <x v="26"/>
    <s v="Education"/>
    <x v="4"/>
    <x v="8"/>
    <x v="4"/>
    <s v="High"/>
    <x v="571"/>
    <n v="444.41"/>
    <n v="754.24"/>
    <n v="754.24"/>
    <x v="162"/>
    <n v="0.20699999999999999"/>
    <x v="1"/>
    <n v="32"/>
    <x v="573"/>
    <n v="14221.12"/>
    <n v="4918.4742400000014"/>
    <n v="0.25697902360546598"/>
  </r>
  <r>
    <x v="573"/>
    <x v="202"/>
    <x v="4"/>
    <s v="Q4-2023"/>
    <d v="2024-01-01T00:00:00"/>
    <d v="2023-12-19T00:00:00"/>
    <n v="13"/>
    <x v="0"/>
    <n v="0"/>
    <x v="2"/>
    <x v="3"/>
    <x v="5"/>
    <s v="Enterprise"/>
    <x v="0"/>
    <x v="11"/>
    <x v="5"/>
    <s v="High"/>
    <x v="572"/>
    <n v="856.1"/>
    <n v="901.48"/>
    <n v="901.48"/>
    <x v="121"/>
    <n v="5.6000000000000001E-2"/>
    <x v="0"/>
    <n v="17"/>
    <x v="574"/>
    <n v="14553.7"/>
    <n v="-86.748960000000807"/>
    <n v="-5.9963540182134192E-3"/>
  </r>
  <r>
    <x v="574"/>
    <x v="441"/>
    <x v="12"/>
    <s v="Q2-2023"/>
    <d v="2023-04-26T00:00:00"/>
    <d v="2023-04-26T00:00:00"/>
    <n v="0"/>
    <x v="1"/>
    <n v="1"/>
    <x v="3"/>
    <x v="7"/>
    <x v="11"/>
    <s v="Consumer"/>
    <x v="4"/>
    <x v="12"/>
    <x v="0"/>
    <s v="Low"/>
    <x v="573"/>
    <n v="81.489999999999995"/>
    <n v="113.08"/>
    <n v="113.08"/>
    <x v="173"/>
    <n v="0.121"/>
    <x v="0"/>
    <n v="5"/>
    <x v="575"/>
    <n v="407.45"/>
    <n v="89.536600000000021"/>
    <n v="0.18015898215364362"/>
  </r>
  <r>
    <x v="575"/>
    <x v="442"/>
    <x v="28"/>
    <s v="Q3-2025"/>
    <d v="2025-08-16T00:00:00"/>
    <d v="2025-08-03T00:00:00"/>
    <n v="13"/>
    <x v="0"/>
    <n v="0"/>
    <x v="2"/>
    <x v="3"/>
    <x v="19"/>
    <s v="Enterprise"/>
    <x v="3"/>
    <x v="7"/>
    <x v="2"/>
    <s v="High"/>
    <x v="574"/>
    <n v="698.66"/>
    <n v="868.62"/>
    <n v="868.62"/>
    <x v="3"/>
    <n v="7.1999999999999995E-2"/>
    <x v="0"/>
    <n v="15"/>
    <x v="576"/>
    <n v="10479.9"/>
    <n v="1611.2903999999999"/>
    <n v="0.13326151906432637"/>
  </r>
  <r>
    <x v="576"/>
    <x v="443"/>
    <x v="25"/>
    <s v="Q3-2023"/>
    <d v="2023-08-19T00:00:00"/>
    <d v="2023-08-02T00:00:00"/>
    <n v="17"/>
    <x v="0"/>
    <n v="0"/>
    <x v="2"/>
    <x v="3"/>
    <x v="26"/>
    <s v="Corporate"/>
    <x v="1"/>
    <x v="9"/>
    <x v="2"/>
    <s v="Low"/>
    <x v="575"/>
    <n v="175.38"/>
    <n v="347.9"/>
    <n v="347.9"/>
    <x v="3"/>
    <n v="7.1999999999999995E-2"/>
    <x v="0"/>
    <n v="43"/>
    <x v="577"/>
    <n v="7541.34"/>
    <n v="6341.2615999999998"/>
    <n v="0.45677761148169804"/>
  </r>
  <r>
    <x v="577"/>
    <x v="251"/>
    <x v="23"/>
    <s v="Q2-2023"/>
    <d v="2023-07-12T00:00:00"/>
    <d v="2023-06-15T00:00:00"/>
    <n v="27"/>
    <x v="0"/>
    <n v="0"/>
    <x v="3"/>
    <x v="8"/>
    <x v="31"/>
    <s v="Consumer"/>
    <x v="4"/>
    <x v="2"/>
    <x v="6"/>
    <s v="High"/>
    <x v="576"/>
    <n v="751.28"/>
    <n v="1111.8800000000001"/>
    <n v="1111.8800000000001"/>
    <x v="157"/>
    <n v="0.13500000000000001"/>
    <x v="0"/>
    <n v="7"/>
    <x v="578"/>
    <n v="5258.96"/>
    <n v="1473.4734000000008"/>
    <n v="0.21886193482433863"/>
  </r>
  <r>
    <x v="578"/>
    <x v="444"/>
    <x v="18"/>
    <s v="Q4-2024"/>
    <d v="2024-11-24T00:00:00"/>
    <d v="2024-11-11T00:00:00"/>
    <n v="13"/>
    <x v="0"/>
    <n v="0"/>
    <x v="3"/>
    <x v="8"/>
    <x v="21"/>
    <s v="Corporate"/>
    <x v="0"/>
    <x v="6"/>
    <x v="2"/>
    <s v="Low"/>
    <x v="577"/>
    <n v="164.53"/>
    <n v="327.72"/>
    <n v="327.72"/>
    <x v="143"/>
    <n v="6.7000000000000004E-2"/>
    <x v="0"/>
    <n v="14"/>
    <x v="579"/>
    <n v="2303.42"/>
    <n v="1977.25864"/>
    <n v="0.46190307805960412"/>
  </r>
  <r>
    <x v="579"/>
    <x v="445"/>
    <x v="13"/>
    <s v="Q3-2025"/>
    <d v="2025-08-03T00:00:00"/>
    <d v="2025-07-11T00:00:00"/>
    <n v="23"/>
    <x v="0"/>
    <n v="0"/>
    <x v="0"/>
    <x v="0"/>
    <x v="16"/>
    <s v="Small Business"/>
    <x v="0"/>
    <x v="0"/>
    <x v="3"/>
    <s v="Low"/>
    <x v="578"/>
    <n v="389.93"/>
    <n v="486.13"/>
    <n v="486.13"/>
    <x v="191"/>
    <n v="0.13200000000000001"/>
    <x v="0"/>
    <n v="17"/>
    <x v="580"/>
    <n v="6628.81"/>
    <n v="544.52427999999873"/>
    <n v="7.5909508569562828E-2"/>
  </r>
  <r>
    <x v="580"/>
    <x v="446"/>
    <x v="23"/>
    <s v="Q2-2023"/>
    <d v="2023-07-01T00:00:00"/>
    <d v="2023-06-03T00:00:00"/>
    <n v="28"/>
    <x v="0"/>
    <n v="0"/>
    <x v="2"/>
    <x v="5"/>
    <x v="10"/>
    <s v="Small Business"/>
    <x v="2"/>
    <x v="8"/>
    <x v="0"/>
    <s v="High"/>
    <x v="579"/>
    <n v="860.4"/>
    <n v="2066.6"/>
    <n v="2066.6"/>
    <x v="19"/>
    <n v="0.01"/>
    <x v="0"/>
    <n v="3"/>
    <x v="581"/>
    <n v="2581.1999999999998"/>
    <n v="3556.601999999999"/>
    <n v="0.57945857491004105"/>
  </r>
  <r>
    <x v="581"/>
    <x v="171"/>
    <x v="5"/>
    <s v="Q1-2023"/>
    <d v="2023-02-06T00:00:00"/>
    <d v="2023-01-29T00:00:00"/>
    <n v="8"/>
    <x v="0"/>
    <n v="0"/>
    <x v="2"/>
    <x v="5"/>
    <x v="10"/>
    <s v="Corporate"/>
    <x v="2"/>
    <x v="14"/>
    <x v="5"/>
    <s v="Low"/>
    <x v="580"/>
    <n v="41.84"/>
    <n v="86.2"/>
    <n v="86.2"/>
    <x v="204"/>
    <n v="0.22600000000000001"/>
    <x v="1"/>
    <n v="27"/>
    <x v="582"/>
    <n v="1129.68"/>
    <n v="671.72760000000017"/>
    <n v="0.37289039970742882"/>
  </r>
  <r>
    <x v="582"/>
    <x v="331"/>
    <x v="29"/>
    <s v="Q3-2024"/>
    <d v="2024-09-04T00:00:00"/>
    <d v="2024-09-13T00:00:00"/>
    <n v="-9"/>
    <x v="1"/>
    <n v="1"/>
    <x v="1"/>
    <x v="2"/>
    <x v="4"/>
    <s v="Corporate"/>
    <x v="4"/>
    <x v="8"/>
    <x v="4"/>
    <s v="High"/>
    <x v="581"/>
    <n v="1368.17"/>
    <n v="2307.75"/>
    <n v="2307.75"/>
    <x v="196"/>
    <n v="0.16300000000000001"/>
    <x v="0"/>
    <n v="21"/>
    <x v="583"/>
    <n v="28731.57"/>
    <n v="11831.751749999996"/>
    <n v="0.29168596750831921"/>
  </r>
  <r>
    <x v="583"/>
    <x v="447"/>
    <x v="21"/>
    <s v="Q3-2024"/>
    <d v="2024-08-09T00:00:00"/>
    <d v="2024-08-03T00:00:00"/>
    <n v="6"/>
    <x v="1"/>
    <n v="1"/>
    <x v="0"/>
    <x v="0"/>
    <x v="13"/>
    <s v="Consumer"/>
    <x v="2"/>
    <x v="10"/>
    <x v="4"/>
    <s v="High"/>
    <x v="582"/>
    <n v="643.21"/>
    <n v="1112.81"/>
    <n v="1112.81"/>
    <x v="169"/>
    <n v="0.14099999999999999"/>
    <x v="0"/>
    <n v="4"/>
    <x v="584"/>
    <n v="2572.84"/>
    <n v="1250.7751599999997"/>
    <n v="0.32711847496702562"/>
  </r>
  <r>
    <x v="584"/>
    <x v="448"/>
    <x v="19"/>
    <s v="Q2-2025"/>
    <d v="2025-04-17T00:00:00"/>
    <d v="2025-04-17T00:00:00"/>
    <n v="0"/>
    <x v="1"/>
    <n v="1"/>
    <x v="2"/>
    <x v="5"/>
    <x v="8"/>
    <s v="Corporate"/>
    <x v="3"/>
    <x v="4"/>
    <x v="3"/>
    <s v="High"/>
    <x v="583"/>
    <n v="719.41"/>
    <n v="1125.99"/>
    <n v="1125.99"/>
    <x v="208"/>
    <n v="4.1000000000000002E-2"/>
    <x v="0"/>
    <n v="21"/>
    <x v="585"/>
    <n v="15107.609999999999"/>
    <n v="7568.7026100000021"/>
    <n v="0.33377131194876403"/>
  </r>
  <r>
    <x v="585"/>
    <x v="449"/>
    <x v="15"/>
    <s v="Q2-2023"/>
    <d v="2023-05-16T00:00:00"/>
    <d v="2023-05-03T00:00:00"/>
    <n v="13"/>
    <x v="0"/>
    <n v="0"/>
    <x v="2"/>
    <x v="10"/>
    <x v="39"/>
    <s v="Corporate"/>
    <x v="2"/>
    <x v="4"/>
    <x v="3"/>
    <s v="Low"/>
    <x v="584"/>
    <n v="64.5"/>
    <n v="123.62"/>
    <n v="123.62"/>
    <x v="5"/>
    <n v="0"/>
    <x v="0"/>
    <n v="3"/>
    <x v="586"/>
    <n v="193.5"/>
    <n v="177.36"/>
    <n v="0.47823976702798904"/>
  </r>
  <r>
    <x v="586"/>
    <x v="450"/>
    <x v="0"/>
    <s v="Q1-2024"/>
    <d v="2024-04-06T00:00:00"/>
    <d v="2024-03-13T00:00:00"/>
    <n v="24"/>
    <x v="0"/>
    <n v="0"/>
    <x v="0"/>
    <x v="1"/>
    <x v="7"/>
    <s v="Consumer"/>
    <x v="3"/>
    <x v="4"/>
    <x v="0"/>
    <s v="High"/>
    <x v="585"/>
    <n v="1232.78"/>
    <n v="1731.75"/>
    <n v="1731.75"/>
    <x v="142"/>
    <n v="9.2999999999999999E-2"/>
    <x v="0"/>
    <n v="16"/>
    <x v="587"/>
    <n v="19724.48"/>
    <n v="5406.6759999999995"/>
    <n v="0.21513837246484005"/>
  </r>
  <r>
    <x v="587"/>
    <x v="249"/>
    <x v="17"/>
    <s v="Q2-2024"/>
    <d v="2024-06-21T00:00:00"/>
    <d v="2024-06-16T00:00:00"/>
    <n v="5"/>
    <x v="1"/>
    <n v="1"/>
    <x v="1"/>
    <x v="2"/>
    <x v="27"/>
    <s v="Small Business"/>
    <x v="3"/>
    <x v="9"/>
    <x v="3"/>
    <s v="High"/>
    <x v="586"/>
    <n v="1367.13"/>
    <n v="3062.01"/>
    <n v="3062.01"/>
    <x v="172"/>
    <n v="0.10299999999999999"/>
    <x v="0"/>
    <n v="25"/>
    <x v="588"/>
    <n v="34178.25"/>
    <n v="34487.324250000005"/>
    <n v="0.50225057645971705"/>
  </r>
  <r>
    <x v="588"/>
    <x v="146"/>
    <x v="26"/>
    <s v="Q1-2025"/>
    <d v="2025-02-27T00:00:00"/>
    <d v="2025-02-15T00:00:00"/>
    <n v="12"/>
    <x v="0"/>
    <n v="0"/>
    <x v="3"/>
    <x v="7"/>
    <x v="17"/>
    <s v="Non-Profit"/>
    <x v="4"/>
    <x v="11"/>
    <x v="6"/>
    <s v="High"/>
    <x v="587"/>
    <n v="1027.26"/>
    <n v="2200.41"/>
    <n v="2200.41"/>
    <x v="167"/>
    <n v="8.7999999999999995E-2"/>
    <x v="0"/>
    <n v="6"/>
    <x v="589"/>
    <n v="6163.5599999999995"/>
    <n v="5877.0835200000001"/>
    <n v="0.48810377204822358"/>
  </r>
  <r>
    <x v="589"/>
    <x v="451"/>
    <x v="12"/>
    <s v="Q2-2023"/>
    <d v="2023-04-16T00:00:00"/>
    <d v="2023-04-03T00:00:00"/>
    <n v="13"/>
    <x v="0"/>
    <n v="0"/>
    <x v="3"/>
    <x v="7"/>
    <x v="11"/>
    <s v="Non-Profit"/>
    <x v="2"/>
    <x v="12"/>
    <x v="6"/>
    <s v="Low"/>
    <x v="588"/>
    <n v="790.54"/>
    <n v="601.49"/>
    <n v="601.49"/>
    <x v="5"/>
    <n v="0"/>
    <x v="0"/>
    <n v="15"/>
    <x v="590"/>
    <n v="11858.099999999999"/>
    <n v="-2835.7499999999982"/>
    <n v="-0.31430281467688553"/>
  </r>
  <r>
    <x v="590"/>
    <x v="388"/>
    <x v="28"/>
    <s v="Q3-2025"/>
    <d v="2025-09-22T00:00:00"/>
    <d v="2025-08-30T00:00:00"/>
    <n v="23"/>
    <x v="0"/>
    <n v="0"/>
    <x v="3"/>
    <x v="7"/>
    <x v="11"/>
    <s v="Corporate"/>
    <x v="4"/>
    <x v="6"/>
    <x v="0"/>
    <s v="High"/>
    <x v="589"/>
    <n v="663.9"/>
    <n v="947.77"/>
    <n v="947.77"/>
    <x v="155"/>
    <n v="0.17399999999999999"/>
    <x v="0"/>
    <n v="15"/>
    <x v="591"/>
    <n v="9958.5"/>
    <n v="1784.3703000000005"/>
    <n v="0.1519535049280073"/>
  </r>
  <r>
    <x v="591"/>
    <x v="452"/>
    <x v="2"/>
    <s v="Q1-2023"/>
    <d v="2023-02-26T00:00:00"/>
    <d v="2023-03-06T00:00:00"/>
    <n v="-8"/>
    <x v="1"/>
    <n v="1"/>
    <x v="2"/>
    <x v="10"/>
    <x v="24"/>
    <s v="Non-Profit"/>
    <x v="1"/>
    <x v="4"/>
    <x v="2"/>
    <s v="High"/>
    <x v="590"/>
    <n v="1015.91"/>
    <n v="2331.48"/>
    <n v="2331.48"/>
    <x v="34"/>
    <n v="0.14599999999999999"/>
    <x v="0"/>
    <n v="26"/>
    <x v="592"/>
    <n v="26413.66"/>
    <n v="25354.521920000003"/>
    <n v="0.48977037592669626"/>
  </r>
  <r>
    <x v="592"/>
    <x v="453"/>
    <x v="14"/>
    <s v="Q3-2024"/>
    <d v="2024-08-15T00:00:00"/>
    <d v="2024-07-31T00:00:00"/>
    <n v="15"/>
    <x v="0"/>
    <n v="0"/>
    <x v="1"/>
    <x v="2"/>
    <x v="27"/>
    <s v="Corporate"/>
    <x v="2"/>
    <x v="9"/>
    <x v="5"/>
    <s v="High"/>
    <x v="591"/>
    <n v="1252.52"/>
    <n v="1417.24"/>
    <n v="1417.24"/>
    <x v="98"/>
    <n v="0.192"/>
    <x v="0"/>
    <n v="5"/>
    <x v="593"/>
    <n v="6262.6"/>
    <n v="-536.95039999999972"/>
    <n v="-9.3779821943696953E-2"/>
  </r>
  <r>
    <x v="593"/>
    <x v="325"/>
    <x v="16"/>
    <s v="Q2-2025"/>
    <d v="2025-07-12T00:00:00"/>
    <d v="2025-06-15T00:00:00"/>
    <n v="27"/>
    <x v="0"/>
    <n v="0"/>
    <x v="3"/>
    <x v="7"/>
    <x v="11"/>
    <s v="Consumer"/>
    <x v="4"/>
    <x v="0"/>
    <x v="6"/>
    <s v="High"/>
    <x v="592"/>
    <n v="318.83"/>
    <n v="699.5"/>
    <n v="699.5"/>
    <x v="164"/>
    <n v="0.08"/>
    <x v="0"/>
    <n v="13"/>
    <x v="594"/>
    <n v="4144.79"/>
    <n v="4221.2300000000005"/>
    <n v="0.50456848059172699"/>
  </r>
  <r>
    <x v="594"/>
    <x v="24"/>
    <x v="17"/>
    <s v="Q2-2024"/>
    <d v="2024-07-21T00:00:00"/>
    <d v="2024-06-30T00:00:00"/>
    <n v="21"/>
    <x v="0"/>
    <n v="0"/>
    <x v="0"/>
    <x v="0"/>
    <x v="0"/>
    <s v="Small Business"/>
    <x v="0"/>
    <x v="11"/>
    <x v="4"/>
    <s v="High"/>
    <x v="593"/>
    <n v="753.43"/>
    <n v="1787.2"/>
    <n v="1787.2"/>
    <x v="93"/>
    <n v="7.2999999999999995E-2"/>
    <x v="0"/>
    <n v="9"/>
    <x v="595"/>
    <n v="6780.87"/>
    <n v="8129.7396000000017"/>
    <n v="0.54523187301476939"/>
  </r>
  <r>
    <x v="595"/>
    <x v="454"/>
    <x v="26"/>
    <s v="Q1-2025"/>
    <d v="2025-02-15T00:00:00"/>
    <d v="2025-02-24T00:00:00"/>
    <n v="-9"/>
    <x v="1"/>
    <n v="1"/>
    <x v="2"/>
    <x v="3"/>
    <x v="5"/>
    <s v="Small Business"/>
    <x v="0"/>
    <x v="14"/>
    <x v="0"/>
    <s v="High"/>
    <x v="594"/>
    <n v="1133.47"/>
    <n v="1698.75"/>
    <n v="1698.75"/>
    <x v="89"/>
    <n v="4.2999999999999997E-2"/>
    <x v="0"/>
    <n v="5"/>
    <x v="596"/>
    <n v="5667.35"/>
    <n v="2461.1687499999989"/>
    <n v="0.30278194904821976"/>
  </r>
  <r>
    <x v="596"/>
    <x v="455"/>
    <x v="5"/>
    <s v="Q1-2023"/>
    <d v="2023-01-30T00:00:00"/>
    <d v="2023-01-07T00:00:00"/>
    <n v="23"/>
    <x v="0"/>
    <n v="0"/>
    <x v="0"/>
    <x v="11"/>
    <x v="33"/>
    <s v="Consumer"/>
    <x v="1"/>
    <x v="8"/>
    <x v="1"/>
    <s v="High"/>
    <x v="595"/>
    <n v="299.02"/>
    <n v="724.7"/>
    <n v="724.7"/>
    <x v="78"/>
    <n v="0.14000000000000001"/>
    <x v="0"/>
    <n v="5"/>
    <x v="597"/>
    <n v="1495.1"/>
    <n v="1621.1100000000001"/>
    <n v="0.52021847051386139"/>
  </r>
  <r>
    <x v="597"/>
    <x v="402"/>
    <x v="3"/>
    <s v="Q1-2025"/>
    <d v="2025-04-04T00:00:00"/>
    <d v="2025-03-10T00:00:00"/>
    <n v="25"/>
    <x v="0"/>
    <n v="0"/>
    <x v="1"/>
    <x v="2"/>
    <x v="4"/>
    <s v="Corporate"/>
    <x v="4"/>
    <x v="10"/>
    <x v="1"/>
    <s v="High"/>
    <x v="596"/>
    <n v="783.72"/>
    <n v="1355.94"/>
    <n v="1355.94"/>
    <x v="37"/>
    <n v="0.187"/>
    <x v="0"/>
    <n v="4"/>
    <x v="598"/>
    <n v="3134.88"/>
    <n v="1274.63688"/>
    <n v="0.28906497348525856"/>
  </r>
  <r>
    <x v="598"/>
    <x v="456"/>
    <x v="21"/>
    <s v="Q3-2024"/>
    <d v="2024-08-15T00:00:00"/>
    <d v="2024-08-24T00:00:00"/>
    <n v="-9"/>
    <x v="1"/>
    <n v="1"/>
    <x v="2"/>
    <x v="5"/>
    <x v="30"/>
    <s v="Consumer"/>
    <x v="4"/>
    <x v="12"/>
    <x v="5"/>
    <s v="Low"/>
    <x v="597"/>
    <n v="165.3"/>
    <n v="275.07"/>
    <n v="275.07"/>
    <x v="112"/>
    <n v="0.13300000000000001"/>
    <x v="0"/>
    <n v="25"/>
    <x v="599"/>
    <n v="4132.5"/>
    <n v="1829.6422499999999"/>
    <n v="0.30687665159280625"/>
  </r>
  <r>
    <x v="599"/>
    <x v="307"/>
    <x v="0"/>
    <s v="Q1-2024"/>
    <d v="2024-03-22T00:00:00"/>
    <d v="2024-03-09T00:00:00"/>
    <n v="13"/>
    <x v="0"/>
    <n v="0"/>
    <x v="3"/>
    <x v="8"/>
    <x v="31"/>
    <s v="Consumer"/>
    <x v="1"/>
    <x v="6"/>
    <x v="4"/>
    <s v="High"/>
    <x v="598"/>
    <n v="985.45"/>
    <n v="1802.44"/>
    <n v="1802.44"/>
    <x v="99"/>
    <n v="8.9999999999999993E-3"/>
    <x v="0"/>
    <n v="19"/>
    <x v="600"/>
    <n v="18723.55"/>
    <n v="15214.592760000003"/>
    <n v="0.44830363486867486"/>
  </r>
  <r>
    <x v="600"/>
    <x v="396"/>
    <x v="21"/>
    <s v="Q3-2024"/>
    <d v="2024-09-02T00:00:00"/>
    <d v="2024-08-19T00:00:00"/>
    <n v="14"/>
    <x v="0"/>
    <n v="0"/>
    <x v="2"/>
    <x v="3"/>
    <x v="5"/>
    <s v="Consumer"/>
    <x v="3"/>
    <x v="0"/>
    <x v="1"/>
    <s v="High"/>
    <x v="599"/>
    <n v="1337.01"/>
    <n v="1269.78"/>
    <n v="1269.78"/>
    <x v="75"/>
    <n v="0.16"/>
    <x v="0"/>
    <n v="7"/>
    <x v="601"/>
    <n v="9359.07"/>
    <n v="-1892.7636000000011"/>
    <n v="-0.25350735672996244"/>
  </r>
  <r>
    <x v="601"/>
    <x v="457"/>
    <x v="28"/>
    <s v="Q3-2025"/>
    <d v="2025-08-28T00:00:00"/>
    <d v="2025-08-11T00:00:00"/>
    <n v="17"/>
    <x v="0"/>
    <n v="0"/>
    <x v="3"/>
    <x v="7"/>
    <x v="28"/>
    <s v="Education"/>
    <x v="1"/>
    <x v="9"/>
    <x v="2"/>
    <s v="Low"/>
    <x v="600"/>
    <n v="416.16"/>
    <n v="571.9"/>
    <n v="571.9"/>
    <x v="88"/>
    <n v="7.0999999999999994E-2"/>
    <x v="0"/>
    <n v="2"/>
    <x v="602"/>
    <n v="832.32"/>
    <n v="230.27020000000005"/>
    <n v="0.21670649701079497"/>
  </r>
  <r>
    <x v="602"/>
    <x v="217"/>
    <x v="8"/>
    <s v="Q2-2025"/>
    <d v="2025-05-18T00:00:00"/>
    <d v="2025-05-16T00:00:00"/>
    <n v="2"/>
    <x v="1"/>
    <n v="1"/>
    <x v="1"/>
    <x v="2"/>
    <x v="27"/>
    <s v="Enterprise"/>
    <x v="0"/>
    <x v="1"/>
    <x v="1"/>
    <s v="High"/>
    <x v="601"/>
    <n v="1144.3800000000001"/>
    <n v="2755.04"/>
    <n v="2755.04"/>
    <x v="209"/>
    <n v="0.15"/>
    <x v="0"/>
    <n v="17"/>
    <x v="603"/>
    <n v="19454.460000000003"/>
    <n v="20355.867999999999"/>
    <n v="0.51132128326096682"/>
  </r>
  <r>
    <x v="603"/>
    <x v="458"/>
    <x v="12"/>
    <s v="Q2-2023"/>
    <d v="2023-04-25T00:00:00"/>
    <d v="2023-04-10T00:00:00"/>
    <n v="15"/>
    <x v="0"/>
    <n v="0"/>
    <x v="3"/>
    <x v="8"/>
    <x v="21"/>
    <s v="Small Business"/>
    <x v="0"/>
    <x v="14"/>
    <x v="1"/>
    <s v="High"/>
    <x v="602"/>
    <n v="405.66"/>
    <n v="962.51"/>
    <n v="962.51"/>
    <x v="197"/>
    <n v="0.19"/>
    <x v="0"/>
    <n v="7"/>
    <x v="604"/>
    <n v="2839.6200000000003"/>
    <n v="2617.8116999999997"/>
    <n v="0.47967832561239376"/>
  </r>
  <r>
    <x v="604"/>
    <x v="459"/>
    <x v="27"/>
    <s v="Q3-2023"/>
    <d v="2023-10-02T00:00:00"/>
    <d v="2023-09-17T00:00:00"/>
    <n v="15"/>
    <x v="0"/>
    <n v="0"/>
    <x v="2"/>
    <x v="5"/>
    <x v="30"/>
    <s v="Small Business"/>
    <x v="0"/>
    <x v="5"/>
    <x v="4"/>
    <s v="High"/>
    <x v="603"/>
    <n v="689.33"/>
    <n v="668.27"/>
    <n v="668.27"/>
    <x v="63"/>
    <n v="0.186"/>
    <x v="0"/>
    <n v="13"/>
    <x v="605"/>
    <n v="8961.2900000000009"/>
    <n v="-1889.6568600000001"/>
    <n v="-0.26721647214861033"/>
  </r>
  <r>
    <x v="605"/>
    <x v="460"/>
    <x v="12"/>
    <s v="Q2-2023"/>
    <d v="2023-05-14T00:00:00"/>
    <d v="2023-04-22T00:00:00"/>
    <n v="22"/>
    <x v="0"/>
    <n v="0"/>
    <x v="1"/>
    <x v="2"/>
    <x v="32"/>
    <s v="Enterprise"/>
    <x v="0"/>
    <x v="8"/>
    <x v="6"/>
    <s v="High"/>
    <x v="604"/>
    <n v="1209.22"/>
    <n v="1404.33"/>
    <n v="1404.33"/>
    <x v="172"/>
    <n v="0.10299999999999999"/>
    <x v="0"/>
    <n v="11"/>
    <x v="606"/>
    <n v="13301.42"/>
    <n v="555.10411000000022"/>
    <n v="4.0060848275751328E-2"/>
  </r>
  <r>
    <x v="606"/>
    <x v="111"/>
    <x v="16"/>
    <s v="Q2-2025"/>
    <d v="2025-06-21T00:00:00"/>
    <d v="2025-06-19T00:00:00"/>
    <n v="2"/>
    <x v="1"/>
    <n v="1"/>
    <x v="0"/>
    <x v="11"/>
    <x v="20"/>
    <s v="Small Business"/>
    <x v="5"/>
    <x v="10"/>
    <x v="3"/>
    <s v="High"/>
    <x v="605"/>
    <n v="1466.27"/>
    <n v="3589.89"/>
    <n v="3589.89"/>
    <x v="224"/>
    <n v="9.7000000000000003E-2"/>
    <x v="0"/>
    <n v="9"/>
    <x v="607"/>
    <n v="13196.43"/>
    <n v="15978.606029999999"/>
    <n v="0.54768076425234147"/>
  </r>
  <r>
    <x v="607"/>
    <x v="461"/>
    <x v="18"/>
    <s v="Q4-2024"/>
    <d v="2024-12-24T00:00:00"/>
    <d v="2024-11-27T00:00:00"/>
    <n v="27"/>
    <x v="0"/>
    <n v="0"/>
    <x v="0"/>
    <x v="0"/>
    <x v="13"/>
    <s v="Corporate"/>
    <x v="3"/>
    <x v="5"/>
    <x v="1"/>
    <s v="Low"/>
    <x v="606"/>
    <n v="143.33000000000001"/>
    <n v="233.51"/>
    <n v="233.51"/>
    <x v="196"/>
    <n v="0.16300000000000001"/>
    <x v="0"/>
    <n v="14"/>
    <x v="608"/>
    <n v="2006.6200000000001"/>
    <n v="729.65017999999986"/>
    <n v="0.26665867476580835"/>
  </r>
  <r>
    <x v="608"/>
    <x v="10"/>
    <x v="9"/>
    <s v="Q1-2024"/>
    <d v="2024-01-27T00:00:00"/>
    <d v="2024-02-04T00:00:00"/>
    <n v="-8"/>
    <x v="1"/>
    <n v="1"/>
    <x v="0"/>
    <x v="11"/>
    <x v="33"/>
    <s v="Enterprise"/>
    <x v="4"/>
    <x v="7"/>
    <x v="0"/>
    <s v="Low"/>
    <x v="607"/>
    <n v="109.75"/>
    <n v="124.25"/>
    <n v="124.25"/>
    <x v="18"/>
    <n v="0.12"/>
    <x v="0"/>
    <n v="19"/>
    <x v="609"/>
    <n v="2085.25"/>
    <n v="-7.7899999999999636"/>
    <n v="-3.7497713554051405E-3"/>
  </r>
  <r>
    <x v="609"/>
    <x v="387"/>
    <x v="12"/>
    <s v="Q2-2023"/>
    <d v="2023-04-23T00:00:00"/>
    <d v="2023-04-16T00:00:00"/>
    <n v="7"/>
    <x v="1"/>
    <n v="1"/>
    <x v="2"/>
    <x v="10"/>
    <x v="36"/>
    <s v="Corporate"/>
    <x v="3"/>
    <x v="7"/>
    <x v="1"/>
    <s v="High"/>
    <x v="608"/>
    <n v="1099.1500000000001"/>
    <n v="1431.37"/>
    <n v="1431.37"/>
    <x v="67"/>
    <n v="0.104"/>
    <x v="0"/>
    <n v="8"/>
    <x v="610"/>
    <n v="8793.2000000000007"/>
    <n v="1466.8601599999984"/>
    <n v="0.14296798821109433"/>
  </r>
  <r>
    <x v="610"/>
    <x v="145"/>
    <x v="31"/>
    <s v="Q1-2024"/>
    <d v="2024-02-01T00:00:00"/>
    <d v="2024-02-01T00:00:00"/>
    <n v="0"/>
    <x v="1"/>
    <n v="1"/>
    <x v="2"/>
    <x v="10"/>
    <x v="36"/>
    <s v="Consumer"/>
    <x v="3"/>
    <x v="10"/>
    <x v="1"/>
    <s v="High"/>
    <x v="609"/>
    <n v="714.43"/>
    <n v="1595.52"/>
    <n v="1595.52"/>
    <x v="7"/>
    <n v="0.19400000000000001"/>
    <x v="0"/>
    <n v="14"/>
    <x v="611"/>
    <n v="10002.019999999999"/>
    <n v="8001.8276800000003"/>
    <n v="0.44445097638151093"/>
  </r>
  <r>
    <x v="611"/>
    <x v="462"/>
    <x v="1"/>
    <s v="Q4-2024"/>
    <d v="2024-11-06T00:00:00"/>
    <d v="2024-10-19T00:00:00"/>
    <n v="18"/>
    <x v="0"/>
    <n v="0"/>
    <x v="2"/>
    <x v="10"/>
    <x v="15"/>
    <s v="Education"/>
    <x v="5"/>
    <x v="0"/>
    <x v="5"/>
    <s v="High"/>
    <x v="610"/>
    <n v="942.02"/>
    <n v="1028.46"/>
    <n v="1028.46"/>
    <x v="5"/>
    <n v="0"/>
    <x v="0"/>
    <n v="9"/>
    <x v="612"/>
    <n v="8478.18"/>
    <n v="777.95999999999913"/>
    <n v="8.4047994088248354E-2"/>
  </r>
  <r>
    <x v="612"/>
    <x v="463"/>
    <x v="17"/>
    <s v="Q2-2024"/>
    <d v="2024-06-30T00:00:00"/>
    <d v="2024-06-25T00:00:00"/>
    <n v="5"/>
    <x v="1"/>
    <n v="1"/>
    <x v="0"/>
    <x v="0"/>
    <x v="0"/>
    <s v="Education"/>
    <x v="4"/>
    <x v="12"/>
    <x v="2"/>
    <s v="High"/>
    <x v="611"/>
    <n v="1323.55"/>
    <n v="3230.35"/>
    <n v="3230.35"/>
    <x v="118"/>
    <n v="2.1999999999999999E-2"/>
    <x v="0"/>
    <n v="26"/>
    <x v="613"/>
    <n v="34412.299999999996"/>
    <n v="47729.039799999991"/>
    <n v="0.58105991351263542"/>
  </r>
  <r>
    <x v="613"/>
    <x v="203"/>
    <x v="24"/>
    <s v="Q3-2023"/>
    <d v="2023-08-19T00:00:00"/>
    <d v="2023-07-30T00:00:00"/>
    <n v="20"/>
    <x v="0"/>
    <n v="0"/>
    <x v="3"/>
    <x v="7"/>
    <x v="28"/>
    <s v="Enterprise"/>
    <x v="2"/>
    <x v="3"/>
    <x v="2"/>
    <s v="High"/>
    <x v="612"/>
    <n v="1418.51"/>
    <n v="2789.61"/>
    <n v="2789.61"/>
    <x v="225"/>
    <n v="0.17100000000000001"/>
    <x v="0"/>
    <n v="8"/>
    <x v="614"/>
    <n v="11348.08"/>
    <n v="7152.6135200000008"/>
    <n v="0.38661326464695689"/>
  </r>
  <r>
    <x v="614"/>
    <x v="418"/>
    <x v="3"/>
    <s v="Q1-2025"/>
    <d v="2025-03-27T00:00:00"/>
    <d v="2025-03-11T00:00:00"/>
    <n v="16"/>
    <x v="0"/>
    <n v="0"/>
    <x v="1"/>
    <x v="2"/>
    <x v="27"/>
    <s v="Enterprise"/>
    <x v="3"/>
    <x v="5"/>
    <x v="1"/>
    <s v="High"/>
    <x v="613"/>
    <n v="1317.58"/>
    <n v="1897.74"/>
    <n v="1897.74"/>
    <x v="226"/>
    <n v="8.1000000000000003E-2"/>
    <x v="0"/>
    <n v="6"/>
    <x v="615"/>
    <n v="7905.48"/>
    <n v="2558.6583600000013"/>
    <n v="0.24451687009230266"/>
  </r>
  <r>
    <x v="615"/>
    <x v="327"/>
    <x v="32"/>
    <s v="Q4-2023"/>
    <d v="2023-10-11T00:00:00"/>
    <d v="2023-10-09T00:00:00"/>
    <n v="2"/>
    <x v="1"/>
    <n v="1"/>
    <x v="0"/>
    <x v="1"/>
    <x v="1"/>
    <s v="Education"/>
    <x v="2"/>
    <x v="11"/>
    <x v="2"/>
    <s v="High"/>
    <x v="614"/>
    <n v="391.16"/>
    <n v="902.47"/>
    <n v="902.47"/>
    <x v="140"/>
    <n v="4.0000000000000001E-3"/>
    <x v="0"/>
    <n v="12"/>
    <x v="616"/>
    <n v="4693.92"/>
    <n v="6092.4014399999996"/>
    <n v="0.56482661618139207"/>
  </r>
  <r>
    <x v="616"/>
    <x v="55"/>
    <x v="6"/>
    <s v="Q4-2024"/>
    <d v="2025-01-16T00:00:00"/>
    <d v="2024-12-17T00:00:00"/>
    <n v="30"/>
    <x v="0"/>
    <n v="0"/>
    <x v="3"/>
    <x v="8"/>
    <x v="31"/>
    <s v="Corporate"/>
    <x v="0"/>
    <x v="14"/>
    <x v="5"/>
    <s v="High"/>
    <x v="615"/>
    <n v="722.87"/>
    <n v="-33.659999999999997"/>
    <s v="1193.87"/>
    <x v="4"/>
    <n v="0.10199999999999999"/>
    <x v="0"/>
    <n v="28"/>
    <x v="617"/>
    <n v="20240.36"/>
    <n v="9778.3072800000009"/>
    <n v="0.32574088612237684"/>
  </r>
  <r>
    <x v="617"/>
    <x v="445"/>
    <x v="13"/>
    <s v="Q3-2025"/>
    <d v="2025-07-16T00:00:00"/>
    <d v="2025-07-11T00:00:00"/>
    <n v="5"/>
    <x v="1"/>
    <n v="1"/>
    <x v="3"/>
    <x v="8"/>
    <x v="21"/>
    <s v="Enterprise"/>
    <x v="1"/>
    <x v="11"/>
    <x v="1"/>
    <s v="High"/>
    <x v="616"/>
    <n v="930.03"/>
    <n v="1086.68"/>
    <n v="1086.68"/>
    <x v="14"/>
    <n v="0.109"/>
    <x v="0"/>
    <n v="26"/>
    <x v="618"/>
    <n v="24180.78"/>
    <n v="993.24888000000283"/>
    <n v="3.9455300728168656E-2"/>
  </r>
  <r>
    <x v="618"/>
    <x v="464"/>
    <x v="1"/>
    <s v="Q4-2024"/>
    <d v="2024-10-24T00:00:00"/>
    <d v="2024-10-13T00:00:00"/>
    <n v="11"/>
    <x v="0"/>
    <n v="0"/>
    <x v="3"/>
    <x v="7"/>
    <x v="28"/>
    <s v="Education"/>
    <x v="3"/>
    <x v="9"/>
    <x v="0"/>
    <s v="High"/>
    <x v="617"/>
    <n v="816.7"/>
    <n v="1010.75"/>
    <n v="1010.75"/>
    <x v="58"/>
    <n v="4.7E-2"/>
    <x v="0"/>
    <n v="43"/>
    <x v="619"/>
    <n v="35118.1"/>
    <n v="6301.4242499999964"/>
    <n v="0.15213656757537472"/>
  </r>
  <r>
    <x v="619"/>
    <x v="429"/>
    <x v="27"/>
    <s v="Q3-2023"/>
    <d v="2023-09-14T00:00:00"/>
    <d v="2023-09-08T00:00:00"/>
    <n v="6"/>
    <x v="1"/>
    <n v="1"/>
    <x v="0"/>
    <x v="0"/>
    <x v="16"/>
    <s v="Education"/>
    <x v="4"/>
    <x v="2"/>
    <x v="6"/>
    <s v="Low"/>
    <x v="618"/>
    <n v="251.03"/>
    <n v="411.48"/>
    <n v="411.48"/>
    <x v="211"/>
    <n v="0.16500000000000001"/>
    <x v="0"/>
    <n v="3"/>
    <x v="620"/>
    <n v="753.09"/>
    <n v="277.66739999999993"/>
    <n v="0.26938191275658069"/>
  </r>
  <r>
    <x v="620"/>
    <x v="448"/>
    <x v="19"/>
    <s v="Q2-2025"/>
    <d v="2025-05-03T00:00:00"/>
    <d v="2025-04-17T00:00:00"/>
    <n v="16"/>
    <x v="0"/>
    <n v="0"/>
    <x v="2"/>
    <x v="5"/>
    <x v="30"/>
    <s v="Consumer"/>
    <x v="2"/>
    <x v="1"/>
    <x v="2"/>
    <s v="Low"/>
    <x v="619"/>
    <n v="168.68"/>
    <n v="413.34"/>
    <n v="413.34"/>
    <x v="63"/>
    <n v="0.186"/>
    <x v="0"/>
    <n v="7"/>
    <x v="621"/>
    <n v="1180.76"/>
    <n v="1174.4513199999999"/>
    <n v="0.49866069767361682"/>
  </r>
  <r>
    <x v="621"/>
    <x v="465"/>
    <x v="14"/>
    <s v="Q3-2024"/>
    <d v="2024-08-23T00:00:00"/>
    <d v="2024-07-28T00:00:00"/>
    <n v="26"/>
    <x v="0"/>
    <n v="0"/>
    <x v="1"/>
    <x v="4"/>
    <x v="34"/>
    <s v="Corporate"/>
    <x v="0"/>
    <x v="1"/>
    <x v="2"/>
    <s v="High"/>
    <x v="620"/>
    <n v="1339.24"/>
    <n v="1558.89"/>
    <n v="1558.89"/>
    <x v="98"/>
    <n v="0.192"/>
    <x v="0"/>
    <n v="24"/>
    <x v="622"/>
    <n v="32141.760000000002"/>
    <n v="-1911.76512"/>
    <n v="-6.3240669659021781E-2"/>
  </r>
  <r>
    <x v="622"/>
    <x v="466"/>
    <x v="13"/>
    <s v="Q3-2025"/>
    <d v="2025-07-31T00:00:00"/>
    <d v="2025-07-19T00:00:00"/>
    <n v="12"/>
    <x v="0"/>
    <n v="0"/>
    <x v="0"/>
    <x v="0"/>
    <x v="2"/>
    <s v="Small Business"/>
    <x v="2"/>
    <x v="7"/>
    <x v="6"/>
    <s v="High"/>
    <x v="621"/>
    <n v="619.64"/>
    <n v="861.16"/>
    <n v="861.16"/>
    <x v="139"/>
    <n v="0.113"/>
    <x v="0"/>
    <n v="14"/>
    <x v="623"/>
    <n v="8674.9599999999991"/>
    <n v="2018.9248800000005"/>
    <n v="0.18879246435276761"/>
  </r>
  <r>
    <x v="623"/>
    <x v="242"/>
    <x v="25"/>
    <s v="Q3-2023"/>
    <d v="2023-08-02T00:00:00"/>
    <d v="2023-08-10T00:00:00"/>
    <n v="-8"/>
    <x v="1"/>
    <n v="1"/>
    <x v="1"/>
    <x v="9"/>
    <x v="23"/>
    <s v="Non-Profit"/>
    <x v="4"/>
    <x v="1"/>
    <x v="2"/>
    <s v="High"/>
    <x v="622"/>
    <n v="1021.97"/>
    <n v="2296.25"/>
    <n v="2296.25"/>
    <x v="64"/>
    <n v="0.161"/>
    <x v="0"/>
    <n v="26"/>
    <x v="624"/>
    <n v="26571.22"/>
    <n v="23519.177499999998"/>
    <n v="0.46953465482081669"/>
  </r>
  <r>
    <x v="624"/>
    <x v="112"/>
    <x v="30"/>
    <s v="Q4-2023"/>
    <d v="2023-12-12T00:00:00"/>
    <d v="2023-11-19T00:00:00"/>
    <n v="23"/>
    <x v="0"/>
    <n v="0"/>
    <x v="1"/>
    <x v="4"/>
    <x v="18"/>
    <s v="Small Business"/>
    <x v="4"/>
    <x v="0"/>
    <x v="2"/>
    <s v="High"/>
    <x v="623"/>
    <n v="1349.04"/>
    <n v="2636.6"/>
    <n v="2636.6"/>
    <x v="60"/>
    <n v="0.114"/>
    <x v="0"/>
    <n v="14"/>
    <x v="625"/>
    <n v="18886.559999999998"/>
    <n v="13817.826400000005"/>
    <n v="0.42250682312143928"/>
  </r>
  <r>
    <x v="625"/>
    <x v="81"/>
    <x v="4"/>
    <s v="Q4-2023"/>
    <d v="2024-01-16T00:00:00"/>
    <d v="2023-12-22T00:00:00"/>
    <n v="25"/>
    <x v="0"/>
    <n v="0"/>
    <x v="1"/>
    <x v="4"/>
    <x v="34"/>
    <s v="Small Business"/>
    <x v="0"/>
    <x v="8"/>
    <x v="0"/>
    <s v="High"/>
    <x v="624"/>
    <n v="1346.81"/>
    <n v="978.09"/>
    <n v="978.09"/>
    <x v="129"/>
    <n v="0.159"/>
    <x v="0"/>
    <n v="17"/>
    <x v="626"/>
    <n v="22895.77"/>
    <n v="-8912.0172700000021"/>
    <n v="-0.6373122753293996"/>
  </r>
  <r>
    <x v="626"/>
    <x v="242"/>
    <x v="25"/>
    <s v="Q3-2023"/>
    <d v="2023-08-30T00:00:00"/>
    <d v="2023-08-03T00:00:00"/>
    <n v="27"/>
    <x v="0"/>
    <n v="0"/>
    <x v="1"/>
    <x v="9"/>
    <x v="23"/>
    <s v="Consumer"/>
    <x v="3"/>
    <x v="13"/>
    <x v="5"/>
    <s v="Low"/>
    <x v="625"/>
    <n v="226.04"/>
    <n v="545.72"/>
    <n v="545.72"/>
    <x v="102"/>
    <n v="0.151"/>
    <x v="0"/>
    <n v="11"/>
    <x v="627"/>
    <n v="2486.44"/>
    <n v="2610.03908"/>
    <n v="0.51212592831834014"/>
  </r>
  <r>
    <x v="627"/>
    <x v="44"/>
    <x v="23"/>
    <s v="Q2-2023"/>
    <d v="2023-07-18T00:00:00"/>
    <d v="2023-06-23T00:00:00"/>
    <n v="25"/>
    <x v="0"/>
    <n v="0"/>
    <x v="2"/>
    <x v="3"/>
    <x v="26"/>
    <s v="Enterprise"/>
    <x v="1"/>
    <x v="13"/>
    <x v="3"/>
    <s v="High"/>
    <x v="626"/>
    <n v="807.02"/>
    <n v="1435.54"/>
    <n v="1435.54"/>
    <x v="5"/>
    <n v="0"/>
    <x v="0"/>
    <n v="23"/>
    <x v="628"/>
    <n v="18561.46"/>
    <n v="14455.96"/>
    <n v="0.43782827368098415"/>
  </r>
  <r>
    <x v="628"/>
    <x v="141"/>
    <x v="4"/>
    <s v="Q4-2023"/>
    <d v="2024-01-02T00:00:00"/>
    <d v="2023-12-07T00:00:00"/>
    <n v="26"/>
    <x v="0"/>
    <n v="0"/>
    <x v="3"/>
    <x v="6"/>
    <x v="37"/>
    <s v="Enterprise"/>
    <x v="3"/>
    <x v="6"/>
    <x v="0"/>
    <s v="High"/>
    <x v="627"/>
    <n v="1071.99"/>
    <n v="2397.3000000000002"/>
    <n v="2397.3000000000002"/>
    <x v="227"/>
    <n v="6.2E-2"/>
    <x v="0"/>
    <n v="18"/>
    <x v="629"/>
    <n v="19295.82"/>
    <n v="21180.193200000002"/>
    <n v="0.52327765324476183"/>
  </r>
  <r>
    <x v="629"/>
    <x v="112"/>
    <x v="30"/>
    <s v="Q4-2023"/>
    <d v="2023-12-19T00:00:00"/>
    <d v="2023-11-19T00:00:00"/>
    <n v="30"/>
    <x v="0"/>
    <n v="0"/>
    <x v="1"/>
    <x v="2"/>
    <x v="32"/>
    <s v="Consumer"/>
    <x v="0"/>
    <x v="15"/>
    <x v="3"/>
    <s v="High"/>
    <x v="628"/>
    <n v="807.11"/>
    <n v="1853.86"/>
    <n v="1853.86"/>
    <x v="23"/>
    <n v="0.13900000000000001"/>
    <x v="0"/>
    <n v="8"/>
    <x v="630"/>
    <n v="6456.88"/>
    <n v="6312.5076799999997"/>
    <n v="0.49434693645388639"/>
  </r>
  <r>
    <x v="630"/>
    <x v="467"/>
    <x v="26"/>
    <s v="Q1-2025"/>
    <d v="2025-03-10T00:00:00"/>
    <d v="2025-02-28T00:00:00"/>
    <n v="10"/>
    <x v="0"/>
    <n v="0"/>
    <x v="1"/>
    <x v="2"/>
    <x v="4"/>
    <s v="Education"/>
    <x v="3"/>
    <x v="13"/>
    <x v="4"/>
    <s v="Low"/>
    <x v="629"/>
    <n v="51.86"/>
    <n v="45.98"/>
    <n v="45.98"/>
    <x v="122"/>
    <n v="0.17299999999999999"/>
    <x v="0"/>
    <n v="7"/>
    <x v="631"/>
    <n v="363.02"/>
    <n v="-96.841780000000028"/>
    <n v="-0.3638230806412337"/>
  </r>
  <r>
    <x v="631"/>
    <x v="468"/>
    <x v="33"/>
    <m/>
    <m/>
    <m/>
    <m/>
    <x v="2"/>
    <m/>
    <x v="4"/>
    <x v="12"/>
    <x v="40"/>
    <m/>
    <x v="6"/>
    <x v="16"/>
    <x v="7"/>
    <m/>
    <x v="630"/>
    <m/>
    <m/>
    <m/>
    <x v="228"/>
    <m/>
    <x v="2"/>
    <m/>
    <x v="632"/>
    <m/>
    <m/>
    <m/>
  </r>
  <r>
    <x v="631"/>
    <x v="4"/>
    <x v="33"/>
    <m/>
    <m/>
    <m/>
    <m/>
    <x v="2"/>
    <m/>
    <x v="4"/>
    <x v="12"/>
    <x v="40"/>
    <m/>
    <x v="6"/>
    <x v="16"/>
    <x v="7"/>
    <m/>
    <x v="630"/>
    <m/>
    <n v="1193.865"/>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6"/>
    <x v="7"/>
    <m/>
    <x v="630"/>
    <m/>
    <m/>
    <m/>
    <x v="229"/>
    <m/>
    <x v="2"/>
    <m/>
    <x v="632"/>
    <m/>
    <m/>
    <m/>
  </r>
  <r>
    <x v="631"/>
    <x v="468"/>
    <x v="33"/>
    <m/>
    <m/>
    <m/>
    <m/>
    <x v="2"/>
    <m/>
    <x v="4"/>
    <x v="12"/>
    <x v="40"/>
    <m/>
    <x v="6"/>
    <x v="15"/>
    <x v="7"/>
    <m/>
    <x v="630"/>
    <m/>
    <m/>
    <m/>
    <x v="229"/>
    <m/>
    <x v="2"/>
    <m/>
    <x v="632"/>
    <m/>
    <m/>
    <m/>
  </r>
  <r>
    <x v="631"/>
    <x v="468"/>
    <x v="33"/>
    <m/>
    <m/>
    <m/>
    <m/>
    <x v="2"/>
    <m/>
    <x v="4"/>
    <x v="12"/>
    <x v="40"/>
    <m/>
    <x v="6"/>
    <x v="15"/>
    <x v="7"/>
    <m/>
    <x v="630"/>
    <m/>
    <m/>
    <m/>
    <x v="229"/>
    <m/>
    <x v="2"/>
    <m/>
    <x v="632"/>
    <m/>
    <m/>
    <m/>
  </r>
  <r>
    <x v="631"/>
    <x v="468"/>
    <x v="33"/>
    <m/>
    <m/>
    <m/>
    <m/>
    <x v="2"/>
    <m/>
    <x v="4"/>
    <x v="12"/>
    <x v="40"/>
    <m/>
    <x v="6"/>
    <x v="16"/>
    <x v="7"/>
    <m/>
    <x v="630"/>
    <m/>
    <m/>
    <m/>
    <x v="229"/>
    <m/>
    <x v="2"/>
    <m/>
    <x v="632"/>
    <m/>
    <m/>
    <m/>
  </r>
  <r>
    <x v="631"/>
    <x v="468"/>
    <x v="33"/>
    <m/>
    <m/>
    <m/>
    <m/>
    <x v="2"/>
    <m/>
    <x v="4"/>
    <x v="12"/>
    <x v="40"/>
    <m/>
    <x v="6"/>
    <x v="16"/>
    <x v="7"/>
    <m/>
    <x v="630"/>
    <m/>
    <m/>
    <m/>
    <x v="228"/>
    <m/>
    <x v="2"/>
    <m/>
    <x v="63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2B366-BCD4-4AC0-9EBD-E40038118D93}" name="PivotTable1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9">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showAll="0">
      <items count="6">
        <item x="0"/>
        <item x="2"/>
        <item x="1"/>
        <item x="3"/>
        <item h="1" x="4"/>
        <item t="default"/>
      </items>
    </pivotField>
    <pivotField showAll="0">
      <items count="14">
        <item x="5"/>
        <item x="3"/>
        <item x="9"/>
        <item x="7"/>
        <item x="6"/>
        <item x="4"/>
        <item x="2"/>
        <item x="0"/>
        <item x="1"/>
        <item x="11"/>
        <item x="8"/>
        <item x="10"/>
        <item x="12"/>
        <item t="default"/>
      </items>
    </pivotField>
    <pivotField showAll="0"/>
    <pivotField showAll="0"/>
    <pivotField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1797FA-D8E9-4F43-A747-93614E6B6EF9}" name="PivotTable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9">
    <pivotField showAll="0"/>
    <pivotField showAll="0">
      <items count="470">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x="468"/>
        <item t="default"/>
      </items>
    </pivotField>
    <pivotField axis="axisRow"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showAll="0">
      <items count="6">
        <item x="0"/>
        <item x="2"/>
        <item x="1"/>
        <item x="3"/>
        <item h="1" x="4"/>
        <item t="default"/>
      </items>
    </pivotField>
    <pivotField axis="axisRow" showAll="0">
      <items count="14">
        <item sd="0" x="5"/>
        <item sd="0" x="3"/>
        <item sd="0" x="9"/>
        <item sd="0" x="7"/>
        <item sd="0" x="6"/>
        <item sd="0" x="4"/>
        <item sd="0" x="2"/>
        <item sd="0" x="0"/>
        <item sd="0" x="1"/>
        <item sd="0" x="11"/>
        <item sd="0" x="8"/>
        <item sd="0" x="10"/>
        <item sd="0" x="12"/>
        <item t="default"/>
      </items>
    </pivotField>
    <pivotField showAll="0"/>
    <pivotField showAll="0"/>
    <pivotField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dataField="1" showAll="0">
      <items count="634">
        <item x="180"/>
        <item x="112"/>
        <item x="298"/>
        <item x="286"/>
        <item x="172"/>
        <item x="493"/>
        <item x="96"/>
        <item x="54"/>
        <item x="631"/>
        <item x="177"/>
        <item x="586"/>
        <item x="389"/>
        <item x="575"/>
        <item x="106"/>
        <item x="83"/>
        <item x="532"/>
        <item x="109"/>
        <item x="263"/>
        <item x="119"/>
        <item x="51"/>
        <item x="247"/>
        <item x="531"/>
        <item x="89"/>
        <item x="230"/>
        <item x="282"/>
        <item x="7"/>
        <item x="323"/>
        <item x="418"/>
        <item x="243"/>
        <item x="116"/>
        <item x="572"/>
        <item x="127"/>
        <item x="519"/>
        <item x="311"/>
        <item x="221"/>
        <item x="461"/>
        <item x="476"/>
        <item x="517"/>
        <item x="620"/>
        <item x="602"/>
        <item x="291"/>
        <item x="341"/>
        <item x="354"/>
        <item x="139"/>
        <item x="114"/>
        <item x="490"/>
        <item x="305"/>
        <item x="87"/>
        <item x="108"/>
        <item x="460"/>
        <item x="26"/>
        <item x="211"/>
        <item x="582"/>
        <item x="464"/>
        <item x="551"/>
        <item x="463"/>
        <item x="445"/>
        <item x="434"/>
        <item x="174"/>
        <item x="412"/>
        <item x="124"/>
        <item x="609"/>
        <item x="113"/>
        <item x="526"/>
        <item x="347"/>
        <item x="217"/>
        <item x="169"/>
        <item x="621"/>
        <item x="326"/>
        <item x="257"/>
        <item x="53"/>
        <item x="391"/>
        <item x="330"/>
        <item x="432"/>
        <item x="128"/>
        <item x="466"/>
        <item x="608"/>
        <item x="439"/>
        <item x="232"/>
        <item x="6"/>
        <item x="245"/>
        <item x="318"/>
        <item x="338"/>
        <item x="597"/>
        <item x="344"/>
        <item x="297"/>
        <item x="540"/>
        <item x="570"/>
        <item x="133"/>
        <item x="511"/>
        <item x="39"/>
        <item x="146"/>
        <item x="248"/>
        <item x="307"/>
        <item x="327"/>
        <item x="239"/>
        <item x="584"/>
        <item x="28"/>
        <item x="508"/>
        <item x="194"/>
        <item x="285"/>
        <item x="27"/>
        <item x="488"/>
        <item x="462"/>
        <item x="358"/>
        <item x="373"/>
        <item x="350"/>
        <item x="370"/>
        <item x="152"/>
        <item x="5"/>
        <item x="477"/>
        <item x="565"/>
        <item x="296"/>
        <item x="579"/>
        <item x="137"/>
        <item x="258"/>
        <item x="193"/>
        <item x="598"/>
        <item x="131"/>
        <item x="179"/>
        <item x="74"/>
        <item x="240"/>
        <item x="222"/>
        <item x="369"/>
        <item x="59"/>
        <item x="571"/>
        <item x="201"/>
        <item x="408"/>
        <item x="495"/>
        <item x="543"/>
        <item x="481"/>
        <item x="57"/>
        <item x="361"/>
        <item x="546"/>
        <item x="186"/>
        <item x="334"/>
        <item x="0"/>
        <item x="79"/>
        <item x="12"/>
        <item x="314"/>
        <item x="627"/>
        <item x="483"/>
        <item x="486"/>
        <item x="513"/>
        <item x="3"/>
        <item x="403"/>
        <item x="233"/>
        <item x="410"/>
        <item x="98"/>
        <item x="82"/>
        <item x="308"/>
        <item x="604"/>
        <item x="94"/>
        <item x="227"/>
        <item x="436"/>
        <item x="447"/>
        <item x="333"/>
        <item x="161"/>
        <item x="593"/>
        <item x="118"/>
        <item x="52"/>
        <item x="231"/>
        <item x="304"/>
        <item x="443"/>
        <item x="103"/>
        <item x="599"/>
        <item x="485"/>
        <item x="277"/>
        <item x="581"/>
        <item x="328"/>
        <item x="101"/>
        <item x="71"/>
        <item x="524"/>
        <item x="254"/>
        <item x="218"/>
        <item x="378"/>
        <item x="35"/>
        <item x="491"/>
        <item x="238"/>
        <item x="206"/>
        <item x="578"/>
        <item x="561"/>
        <item x="168"/>
        <item x="75"/>
        <item x="411"/>
        <item x="268"/>
        <item x="212"/>
        <item x="605"/>
        <item x="15"/>
        <item x="178"/>
        <item x="332"/>
        <item x="271"/>
        <item x="46"/>
        <item x="580"/>
        <item x="156"/>
        <item x="270"/>
        <item x="363"/>
        <item x="437"/>
        <item x="293"/>
        <item x="520"/>
        <item x="501"/>
        <item x="229"/>
        <item x="601"/>
        <item x="321"/>
        <item x="492"/>
        <item x="259"/>
        <item x="14"/>
        <item x="458"/>
        <item x="269"/>
        <item x="182"/>
        <item x="130"/>
        <item x="216"/>
        <item x="536"/>
        <item x="404"/>
        <item x="214"/>
        <item x="457"/>
        <item x="150"/>
        <item x="417"/>
        <item x="303"/>
        <item x="596"/>
        <item x="162"/>
        <item x="262"/>
        <item x="141"/>
        <item x="509"/>
        <item x="90"/>
        <item x="525"/>
        <item x="473"/>
        <item x="132"/>
        <item x="198"/>
        <item x="594"/>
        <item x="563"/>
        <item x="275"/>
        <item x="189"/>
        <item x="25"/>
        <item x="503"/>
        <item x="498"/>
        <item x="68"/>
        <item x="183"/>
        <item x="191"/>
        <item x="331"/>
        <item x="315"/>
        <item x="294"/>
        <item x="279"/>
        <item x="155"/>
        <item x="125"/>
        <item x="171"/>
        <item x="69"/>
        <item x="343"/>
        <item x="590"/>
        <item x="316"/>
        <item x="510"/>
        <item x="612"/>
        <item x="530"/>
        <item x="73"/>
        <item x="419"/>
        <item x="386"/>
        <item x="489"/>
        <item x="32"/>
        <item x="241"/>
        <item x="136"/>
        <item x="446"/>
        <item x="246"/>
        <item x="30"/>
        <item x="518"/>
        <item x="325"/>
        <item x="309"/>
        <item x="301"/>
        <item x="143"/>
        <item x="421"/>
        <item x="92"/>
        <item x="564"/>
        <item x="504"/>
        <item x="610"/>
        <item x="11"/>
        <item x="158"/>
        <item x="185"/>
        <item x="470"/>
        <item x="78"/>
        <item x="289"/>
        <item x="615"/>
        <item x="558"/>
        <item x="41"/>
        <item x="70"/>
        <item x="43"/>
        <item x="623"/>
        <item x="616"/>
        <item x="545"/>
        <item x="123"/>
        <item x="515"/>
        <item x="502"/>
        <item x="416"/>
        <item x="22"/>
        <item x="549"/>
        <item x="62"/>
        <item x="4"/>
        <item x="154"/>
        <item x="312"/>
        <item x="393"/>
        <item x="197"/>
        <item x="380"/>
        <item x="527"/>
        <item x="274"/>
        <item x="283"/>
        <item x="591"/>
        <item x="249"/>
        <item x="88"/>
        <item x="164"/>
        <item x="494"/>
        <item x="533"/>
        <item x="453"/>
        <item x="37"/>
        <item x="134"/>
        <item x="589"/>
        <item x="105"/>
        <item x="576"/>
        <item x="65"/>
        <item x="250"/>
        <item x="163"/>
        <item x="349"/>
        <item x="244"/>
        <item x="449"/>
        <item x="104"/>
        <item x="167"/>
        <item x="2"/>
        <item x="450"/>
        <item x="265"/>
        <item x="441"/>
        <item x="299"/>
        <item x="364"/>
        <item x="630"/>
        <item x="381"/>
        <item x="145"/>
        <item x="430"/>
        <item x="433"/>
        <item x="399"/>
        <item x="281"/>
        <item x="559"/>
        <item x="85"/>
        <item x="398"/>
        <item x="33"/>
        <item x="560"/>
        <item x="147"/>
        <item x="405"/>
        <item x="428"/>
        <item x="220"/>
        <item x="345"/>
        <item x="102"/>
        <item x="368"/>
        <item x="606"/>
        <item x="577"/>
        <item x="626"/>
        <item x="388"/>
        <item x="544"/>
        <item x="86"/>
        <item x="467"/>
        <item x="234"/>
        <item x="67"/>
        <item x="395"/>
        <item x="166"/>
        <item x="574"/>
        <item x="420"/>
        <item x="170"/>
        <item x="8"/>
        <item x="455"/>
        <item x="359"/>
        <item x="148"/>
        <item x="50"/>
        <item x="595"/>
        <item x="200"/>
        <item x="38"/>
        <item x="535"/>
        <item x="215"/>
        <item x="384"/>
        <item x="507"/>
        <item x="377"/>
        <item x="425"/>
        <item x="472"/>
        <item x="224"/>
        <item x="284"/>
        <item x="547"/>
        <item x="176"/>
        <item x="208"/>
        <item x="554"/>
        <item x="10"/>
        <item x="66"/>
        <item x="122"/>
        <item x="129"/>
        <item x="523"/>
        <item x="413"/>
        <item x="390"/>
        <item x="335"/>
        <item x="469"/>
        <item x="317"/>
        <item x="351"/>
        <item x="499"/>
        <item x="228"/>
        <item x="371"/>
        <item x="402"/>
        <item x="340"/>
        <item x="235"/>
        <item x="401"/>
        <item x="280"/>
        <item x="251"/>
        <item x="566"/>
        <item x="267"/>
        <item x="252"/>
        <item x="400"/>
        <item x="209"/>
        <item x="44"/>
        <item x="1"/>
        <item x="261"/>
        <item x="611"/>
        <item x="210"/>
        <item x="81"/>
        <item x="415"/>
        <item x="614"/>
        <item x="367"/>
        <item x="397"/>
        <item x="552"/>
        <item x="36"/>
        <item x="290"/>
        <item x="256"/>
        <item x="573"/>
        <item x="474"/>
        <item x="91"/>
        <item x="190"/>
        <item x="366"/>
        <item x="541"/>
        <item x="451"/>
        <item x="427"/>
        <item x="387"/>
        <item x="394"/>
        <item x="21"/>
        <item x="287"/>
        <item x="342"/>
        <item x="93"/>
        <item x="29"/>
        <item x="553"/>
        <item x="72"/>
        <item x="23"/>
        <item x="500"/>
        <item x="538"/>
        <item x="295"/>
        <item x="440"/>
        <item x="456"/>
        <item x="84"/>
        <item x="407"/>
        <item x="151"/>
        <item x="225"/>
        <item x="365"/>
        <item x="13"/>
        <item x="444"/>
        <item x="196"/>
        <item x="484"/>
        <item x="160"/>
        <item x="385"/>
        <item x="516"/>
        <item x="320"/>
        <item x="406"/>
        <item x="522"/>
        <item x="479"/>
        <item x="585"/>
        <item x="260"/>
        <item x="121"/>
        <item x="454"/>
        <item x="355"/>
        <item x="292"/>
        <item x="409"/>
        <item x="107"/>
        <item x="452"/>
        <item x="20"/>
        <item x="157"/>
        <item x="255"/>
        <item x="213"/>
        <item x="438"/>
        <item x="459"/>
        <item x="192"/>
        <item x="115"/>
        <item x="24"/>
        <item x="568"/>
        <item x="587"/>
        <item x="618"/>
        <item x="497"/>
        <item x="468"/>
        <item x="202"/>
        <item x="253"/>
        <item x="99"/>
        <item x="204"/>
        <item x="300"/>
        <item x="144"/>
        <item x="16"/>
        <item x="324"/>
        <item x="339"/>
        <item x="205"/>
        <item x="31"/>
        <item x="64"/>
        <item x="184"/>
        <item x="352"/>
        <item x="187"/>
        <item x="288"/>
        <item x="348"/>
        <item x="475"/>
        <item x="435"/>
        <item x="34"/>
        <item x="135"/>
        <item x="110"/>
        <item x="61"/>
        <item x="329"/>
        <item x="188"/>
        <item x="219"/>
        <item x="336"/>
        <item x="207"/>
        <item x="487"/>
        <item x="607"/>
        <item x="159"/>
        <item x="273"/>
        <item x="423"/>
        <item x="153"/>
        <item x="56"/>
        <item x="550"/>
        <item x="617"/>
        <item x="111"/>
        <item x="622"/>
        <item x="426"/>
        <item x="226"/>
        <item x="42"/>
        <item x="542"/>
        <item x="496"/>
        <item x="310"/>
        <item x="374"/>
        <item x="195"/>
        <item x="442"/>
        <item x="414"/>
        <item x="173"/>
        <item x="55"/>
        <item x="548"/>
        <item x="142"/>
        <item x="372"/>
        <item x="505"/>
        <item x="45"/>
        <item x="625"/>
        <item x="628"/>
        <item x="77"/>
        <item x="562"/>
        <item x="379"/>
        <item x="514"/>
        <item x="529"/>
        <item x="555"/>
        <item x="60"/>
        <item x="600"/>
        <item x="242"/>
        <item x="97"/>
        <item x="569"/>
        <item x="49"/>
        <item x="272"/>
        <item x="506"/>
        <item x="353"/>
        <item x="278"/>
        <item x="360"/>
        <item x="17"/>
        <item x="76"/>
        <item x="138"/>
        <item x="48"/>
        <item x="482"/>
        <item x="471"/>
        <item x="236"/>
        <item x="382"/>
        <item x="18"/>
        <item x="375"/>
        <item x="337"/>
        <item x="266"/>
        <item x="19"/>
        <item x="120"/>
        <item x="322"/>
        <item x="302"/>
        <item x="603"/>
        <item x="264"/>
        <item x="313"/>
        <item x="629"/>
        <item x="480"/>
        <item x="583"/>
        <item x="40"/>
        <item x="429"/>
        <item x="181"/>
        <item x="619"/>
        <item x="478"/>
        <item x="534"/>
        <item x="149"/>
        <item x="306"/>
        <item x="95"/>
        <item x="376"/>
        <item x="356"/>
        <item x="567"/>
        <item x="448"/>
        <item x="556"/>
        <item x="383"/>
        <item x="203"/>
        <item x="392"/>
        <item x="357"/>
        <item x="624"/>
        <item x="512"/>
        <item x="557"/>
        <item x="537"/>
        <item x="592"/>
        <item x="100"/>
        <item x="319"/>
        <item x="199"/>
        <item x="396"/>
        <item x="431"/>
        <item x="424"/>
        <item x="528"/>
        <item x="80"/>
        <item x="9"/>
        <item x="58"/>
        <item x="521"/>
        <item x="126"/>
        <item x="117"/>
        <item x="539"/>
        <item x="223"/>
        <item x="588"/>
        <item x="63"/>
        <item x="346"/>
        <item x="276"/>
        <item x="613"/>
        <item x="362"/>
        <item x="465"/>
        <item x="165"/>
        <item x="140"/>
        <item x="175"/>
        <item x="422"/>
        <item x="47"/>
        <item x="237"/>
        <item x="632"/>
        <item t="default"/>
      </items>
    </pivotField>
    <pivotField showAll="0"/>
    <pivotField showAll="0"/>
    <pivotField showAll="0"/>
  </pivotFields>
  <rowFields count="2">
    <field x="10"/>
    <field x="2"/>
  </rowFields>
  <rowItems count="13">
    <i>
      <x/>
    </i>
    <i>
      <x v="1"/>
    </i>
    <i>
      <x v="2"/>
    </i>
    <i>
      <x v="3"/>
    </i>
    <i>
      <x v="4"/>
    </i>
    <i>
      <x v="5"/>
    </i>
    <i>
      <x v="6"/>
    </i>
    <i>
      <x v="7"/>
    </i>
    <i>
      <x v="8"/>
    </i>
    <i>
      <x v="9"/>
    </i>
    <i>
      <x v="10"/>
    </i>
    <i>
      <x v="11"/>
    </i>
    <i t="grand">
      <x/>
    </i>
  </rowItems>
  <colItems count="1">
    <i/>
  </colItems>
  <dataFields count="1">
    <dataField name="Sum of Gross 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90A822-0A7E-4B45-9929-CE5970A40C8A}" name="PivotTable3"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7" firstHeaderRow="1" firstDataRow="2" firstDataCol="1" rowPageCount="1" colPageCount="1"/>
  <pivotFields count="29">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axis="axisPage" dataField="1" showAll="0">
      <items count="4">
        <item x="0"/>
        <item x="1"/>
        <item x="2"/>
        <item t="default"/>
      </items>
    </pivotField>
    <pivotField showAll="0"/>
    <pivotField showAll="0">
      <items count="6">
        <item x="0"/>
        <item x="2"/>
        <item x="1"/>
        <item x="3"/>
        <item h="1" x="4"/>
        <item t="default"/>
      </items>
    </pivotField>
    <pivotField axis="axisRow" showAll="0">
      <items count="14">
        <item x="5"/>
        <item x="3"/>
        <item x="9"/>
        <item x="7"/>
        <item x="6"/>
        <item x="4"/>
        <item x="2"/>
        <item x="0"/>
        <item x="1"/>
        <item x="11"/>
        <item x="8"/>
        <item x="10"/>
        <item x="12"/>
        <item t="default"/>
      </items>
    </pivotField>
    <pivotField showAll="0"/>
    <pivotField showAll="0"/>
    <pivotField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axis="axisCol"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3">
    <i>
      <x/>
    </i>
    <i>
      <x v="1"/>
    </i>
    <i>
      <x v="2"/>
    </i>
    <i>
      <x v="3"/>
    </i>
    <i>
      <x v="4"/>
    </i>
    <i>
      <x v="5"/>
    </i>
    <i>
      <x v="6"/>
    </i>
    <i>
      <x v="7"/>
    </i>
    <i>
      <x v="8"/>
    </i>
    <i>
      <x v="9"/>
    </i>
    <i>
      <x v="10"/>
    </i>
    <i>
      <x v="11"/>
    </i>
    <i t="grand">
      <x/>
    </i>
  </rowItems>
  <colFields count="1">
    <field x="15"/>
  </colFields>
  <colItems count="8">
    <i>
      <x/>
    </i>
    <i>
      <x v="1"/>
    </i>
    <i>
      <x v="2"/>
    </i>
    <i>
      <x v="3"/>
    </i>
    <i>
      <x v="4"/>
    </i>
    <i>
      <x v="5"/>
    </i>
    <i>
      <x v="6"/>
    </i>
    <i t="grand">
      <x/>
    </i>
  </colItems>
  <pageFields count="1">
    <pageField fld="7" item="1" hier="-1"/>
  </pageFields>
  <dataFields count="1">
    <dataField name="Count of on -Time" fld="7" subtotal="count" showDataAs="percentOfRow"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8C677C-D679-4776-8B8A-9123669E67C6}" name="PivotTable7"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R9" firstHeaderRow="1" firstDataRow="2" firstDataCol="1" rowPageCount="1" colPageCount="1"/>
  <pivotFields count="29">
    <pivotField dataField="1"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axis="axisRow" showAll="0">
      <items count="6">
        <item x="0"/>
        <item x="2"/>
        <item x="1"/>
        <item x="3"/>
        <item h="1" x="4"/>
        <item t="default"/>
      </items>
    </pivotField>
    <pivotField showAll="0">
      <items count="14">
        <item x="5"/>
        <item x="3"/>
        <item x="9"/>
        <item x="7"/>
        <item x="6"/>
        <item x="4"/>
        <item x="2"/>
        <item x="0"/>
        <item x="1"/>
        <item x="11"/>
        <item x="8"/>
        <item x="10"/>
        <item x="12"/>
        <item t="default"/>
      </items>
    </pivotField>
    <pivotField showAll="0"/>
    <pivotField showAll="0"/>
    <pivotField showAll="0">
      <items count="8">
        <item x="4"/>
        <item x="3"/>
        <item x="2"/>
        <item x="5"/>
        <item x="1"/>
        <item x="0"/>
        <item x="6"/>
        <item t="default"/>
      </items>
    </pivotField>
    <pivotField axis="axisCol"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s>
  <rowFields count="1">
    <field x="9"/>
  </rowFields>
  <rowItems count="5">
    <i>
      <x/>
    </i>
    <i>
      <x v="1"/>
    </i>
    <i>
      <x v="2"/>
    </i>
    <i>
      <x v="3"/>
    </i>
    <i t="grand">
      <x/>
    </i>
  </rowItems>
  <colFields count="1">
    <field x="14"/>
  </colFields>
  <colItems count="17">
    <i>
      <x/>
    </i>
    <i>
      <x v="1"/>
    </i>
    <i>
      <x v="2"/>
    </i>
    <i>
      <x v="3"/>
    </i>
    <i>
      <x v="4"/>
    </i>
    <i>
      <x v="5"/>
    </i>
    <i>
      <x v="6"/>
    </i>
    <i>
      <x v="7"/>
    </i>
    <i>
      <x v="8"/>
    </i>
    <i>
      <x v="9"/>
    </i>
    <i>
      <x v="10"/>
    </i>
    <i>
      <x v="11"/>
    </i>
    <i>
      <x v="12"/>
    </i>
    <i>
      <x v="13"/>
    </i>
    <i>
      <x v="14"/>
    </i>
    <i>
      <x v="15"/>
    </i>
    <i t="grand">
      <x/>
    </i>
  </colItems>
  <pageFields count="1">
    <pageField fld="23" item="0" hier="-1"/>
  </pageField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F16641-74F8-47EA-8A6E-ED51B850F085}" name="PivotTable12"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9">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items count="4">
        <item x="0"/>
        <item x="1"/>
        <item x="2"/>
        <item t="default"/>
      </items>
    </pivotField>
    <pivotField dataField="1" showAll="0"/>
    <pivotField showAll="0">
      <items count="6">
        <item x="0"/>
        <item x="2"/>
        <item x="1"/>
        <item x="3"/>
        <item h="1" x="4"/>
        <item t="default"/>
      </items>
    </pivotField>
    <pivotField showAll="0">
      <items count="14">
        <item x="5"/>
        <item x="3"/>
        <item x="9"/>
        <item x="7"/>
        <item x="6"/>
        <item x="4"/>
        <item x="2"/>
        <item x="0"/>
        <item x="1"/>
        <item x="11"/>
        <item x="8"/>
        <item x="10"/>
        <item x="12"/>
        <item t="default"/>
      </items>
    </pivotField>
    <pivotField showAll="0"/>
    <pivotField showAll="0"/>
    <pivotField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dataField="1" showAll="0">
      <items count="634">
        <item x="180"/>
        <item x="112"/>
        <item x="298"/>
        <item x="286"/>
        <item x="172"/>
        <item x="493"/>
        <item x="96"/>
        <item x="54"/>
        <item x="631"/>
        <item x="177"/>
        <item x="586"/>
        <item x="389"/>
        <item x="575"/>
        <item x="106"/>
        <item x="83"/>
        <item x="532"/>
        <item x="109"/>
        <item x="263"/>
        <item x="119"/>
        <item x="51"/>
        <item x="247"/>
        <item x="531"/>
        <item x="89"/>
        <item x="230"/>
        <item x="282"/>
        <item x="7"/>
        <item x="323"/>
        <item x="418"/>
        <item x="243"/>
        <item x="116"/>
        <item x="572"/>
        <item x="127"/>
        <item x="519"/>
        <item x="311"/>
        <item x="221"/>
        <item x="461"/>
        <item x="476"/>
        <item x="517"/>
        <item x="620"/>
        <item x="602"/>
        <item x="291"/>
        <item x="341"/>
        <item x="354"/>
        <item x="139"/>
        <item x="114"/>
        <item x="490"/>
        <item x="305"/>
        <item x="87"/>
        <item x="108"/>
        <item x="460"/>
        <item x="26"/>
        <item x="211"/>
        <item x="582"/>
        <item x="464"/>
        <item x="551"/>
        <item x="463"/>
        <item x="445"/>
        <item x="434"/>
        <item x="174"/>
        <item x="412"/>
        <item x="124"/>
        <item x="609"/>
        <item x="113"/>
        <item x="526"/>
        <item x="347"/>
        <item x="217"/>
        <item x="169"/>
        <item x="621"/>
        <item x="326"/>
        <item x="257"/>
        <item x="53"/>
        <item x="391"/>
        <item x="330"/>
        <item x="432"/>
        <item x="128"/>
        <item x="466"/>
        <item x="608"/>
        <item x="439"/>
        <item x="232"/>
        <item x="6"/>
        <item x="245"/>
        <item x="318"/>
        <item x="338"/>
        <item x="597"/>
        <item x="344"/>
        <item x="297"/>
        <item x="540"/>
        <item x="570"/>
        <item x="133"/>
        <item x="511"/>
        <item x="39"/>
        <item x="146"/>
        <item x="248"/>
        <item x="307"/>
        <item x="327"/>
        <item x="239"/>
        <item x="584"/>
        <item x="28"/>
        <item x="508"/>
        <item x="194"/>
        <item x="285"/>
        <item x="27"/>
        <item x="488"/>
        <item x="462"/>
        <item x="358"/>
        <item x="373"/>
        <item x="350"/>
        <item x="370"/>
        <item x="152"/>
        <item x="5"/>
        <item x="477"/>
        <item x="565"/>
        <item x="296"/>
        <item x="579"/>
        <item x="137"/>
        <item x="258"/>
        <item x="193"/>
        <item x="598"/>
        <item x="131"/>
        <item x="179"/>
        <item x="74"/>
        <item x="240"/>
        <item x="222"/>
        <item x="369"/>
        <item x="59"/>
        <item x="571"/>
        <item x="201"/>
        <item x="408"/>
        <item x="495"/>
        <item x="543"/>
        <item x="481"/>
        <item x="57"/>
        <item x="361"/>
        <item x="546"/>
        <item x="186"/>
        <item x="334"/>
        <item x="0"/>
        <item x="79"/>
        <item x="12"/>
        <item x="314"/>
        <item x="627"/>
        <item x="483"/>
        <item x="486"/>
        <item x="513"/>
        <item x="3"/>
        <item x="403"/>
        <item x="233"/>
        <item x="410"/>
        <item x="98"/>
        <item x="82"/>
        <item x="308"/>
        <item x="604"/>
        <item x="94"/>
        <item x="227"/>
        <item x="436"/>
        <item x="447"/>
        <item x="333"/>
        <item x="161"/>
        <item x="593"/>
        <item x="118"/>
        <item x="52"/>
        <item x="231"/>
        <item x="304"/>
        <item x="443"/>
        <item x="103"/>
        <item x="599"/>
        <item x="485"/>
        <item x="277"/>
        <item x="581"/>
        <item x="328"/>
        <item x="101"/>
        <item x="71"/>
        <item x="524"/>
        <item x="254"/>
        <item x="218"/>
        <item x="378"/>
        <item x="35"/>
        <item x="491"/>
        <item x="238"/>
        <item x="206"/>
        <item x="578"/>
        <item x="561"/>
        <item x="168"/>
        <item x="75"/>
        <item x="411"/>
        <item x="268"/>
        <item x="212"/>
        <item x="605"/>
        <item x="15"/>
        <item x="178"/>
        <item x="332"/>
        <item x="271"/>
        <item x="46"/>
        <item x="580"/>
        <item x="156"/>
        <item x="270"/>
        <item x="363"/>
        <item x="437"/>
        <item x="293"/>
        <item x="520"/>
        <item x="501"/>
        <item x="229"/>
        <item x="601"/>
        <item x="321"/>
        <item x="492"/>
        <item x="259"/>
        <item x="14"/>
        <item x="458"/>
        <item x="269"/>
        <item x="182"/>
        <item x="130"/>
        <item x="216"/>
        <item x="536"/>
        <item x="404"/>
        <item x="214"/>
        <item x="457"/>
        <item x="150"/>
        <item x="417"/>
        <item x="303"/>
        <item x="596"/>
        <item x="162"/>
        <item x="262"/>
        <item x="141"/>
        <item x="509"/>
        <item x="90"/>
        <item x="525"/>
        <item x="473"/>
        <item x="132"/>
        <item x="198"/>
        <item x="594"/>
        <item x="563"/>
        <item x="275"/>
        <item x="189"/>
        <item x="25"/>
        <item x="503"/>
        <item x="498"/>
        <item x="68"/>
        <item x="183"/>
        <item x="191"/>
        <item x="331"/>
        <item x="315"/>
        <item x="294"/>
        <item x="279"/>
        <item x="155"/>
        <item x="125"/>
        <item x="171"/>
        <item x="69"/>
        <item x="343"/>
        <item x="590"/>
        <item x="316"/>
        <item x="510"/>
        <item x="612"/>
        <item x="530"/>
        <item x="73"/>
        <item x="419"/>
        <item x="386"/>
        <item x="489"/>
        <item x="32"/>
        <item x="241"/>
        <item x="136"/>
        <item x="446"/>
        <item x="246"/>
        <item x="30"/>
        <item x="518"/>
        <item x="325"/>
        <item x="309"/>
        <item x="301"/>
        <item x="143"/>
        <item x="421"/>
        <item x="92"/>
        <item x="564"/>
        <item x="504"/>
        <item x="610"/>
        <item x="11"/>
        <item x="158"/>
        <item x="185"/>
        <item x="470"/>
        <item x="78"/>
        <item x="289"/>
        <item x="615"/>
        <item x="558"/>
        <item x="41"/>
        <item x="70"/>
        <item x="43"/>
        <item x="623"/>
        <item x="616"/>
        <item x="545"/>
        <item x="123"/>
        <item x="515"/>
        <item x="502"/>
        <item x="416"/>
        <item x="22"/>
        <item x="549"/>
        <item x="62"/>
        <item x="4"/>
        <item x="154"/>
        <item x="312"/>
        <item x="393"/>
        <item x="197"/>
        <item x="380"/>
        <item x="527"/>
        <item x="274"/>
        <item x="283"/>
        <item x="591"/>
        <item x="249"/>
        <item x="88"/>
        <item x="164"/>
        <item x="494"/>
        <item x="533"/>
        <item x="453"/>
        <item x="37"/>
        <item x="134"/>
        <item x="589"/>
        <item x="105"/>
        <item x="576"/>
        <item x="65"/>
        <item x="250"/>
        <item x="163"/>
        <item x="349"/>
        <item x="244"/>
        <item x="449"/>
        <item x="104"/>
        <item x="167"/>
        <item x="2"/>
        <item x="450"/>
        <item x="265"/>
        <item x="441"/>
        <item x="299"/>
        <item x="364"/>
        <item x="630"/>
        <item x="381"/>
        <item x="145"/>
        <item x="430"/>
        <item x="433"/>
        <item x="399"/>
        <item x="281"/>
        <item x="559"/>
        <item x="85"/>
        <item x="398"/>
        <item x="33"/>
        <item x="560"/>
        <item x="147"/>
        <item x="405"/>
        <item x="428"/>
        <item x="220"/>
        <item x="345"/>
        <item x="102"/>
        <item x="368"/>
        <item x="606"/>
        <item x="577"/>
        <item x="626"/>
        <item x="388"/>
        <item x="544"/>
        <item x="86"/>
        <item x="467"/>
        <item x="234"/>
        <item x="67"/>
        <item x="395"/>
        <item x="166"/>
        <item x="574"/>
        <item x="420"/>
        <item x="170"/>
        <item x="8"/>
        <item x="455"/>
        <item x="359"/>
        <item x="148"/>
        <item x="50"/>
        <item x="595"/>
        <item x="200"/>
        <item x="38"/>
        <item x="535"/>
        <item x="215"/>
        <item x="384"/>
        <item x="507"/>
        <item x="377"/>
        <item x="425"/>
        <item x="472"/>
        <item x="224"/>
        <item x="284"/>
        <item x="547"/>
        <item x="176"/>
        <item x="208"/>
        <item x="554"/>
        <item x="10"/>
        <item x="66"/>
        <item x="122"/>
        <item x="129"/>
        <item x="523"/>
        <item x="413"/>
        <item x="390"/>
        <item x="335"/>
        <item x="469"/>
        <item x="317"/>
        <item x="351"/>
        <item x="499"/>
        <item x="228"/>
        <item x="371"/>
        <item x="402"/>
        <item x="340"/>
        <item x="235"/>
        <item x="401"/>
        <item x="280"/>
        <item x="251"/>
        <item x="566"/>
        <item x="267"/>
        <item x="252"/>
        <item x="400"/>
        <item x="209"/>
        <item x="44"/>
        <item x="1"/>
        <item x="261"/>
        <item x="611"/>
        <item x="210"/>
        <item x="81"/>
        <item x="415"/>
        <item x="614"/>
        <item x="367"/>
        <item x="397"/>
        <item x="552"/>
        <item x="36"/>
        <item x="290"/>
        <item x="256"/>
        <item x="573"/>
        <item x="474"/>
        <item x="91"/>
        <item x="190"/>
        <item x="366"/>
        <item x="541"/>
        <item x="451"/>
        <item x="427"/>
        <item x="387"/>
        <item x="394"/>
        <item x="21"/>
        <item x="287"/>
        <item x="342"/>
        <item x="93"/>
        <item x="29"/>
        <item x="553"/>
        <item x="72"/>
        <item x="23"/>
        <item x="500"/>
        <item x="538"/>
        <item x="295"/>
        <item x="440"/>
        <item x="456"/>
        <item x="84"/>
        <item x="407"/>
        <item x="151"/>
        <item x="225"/>
        <item x="365"/>
        <item x="13"/>
        <item x="444"/>
        <item x="196"/>
        <item x="484"/>
        <item x="160"/>
        <item x="385"/>
        <item x="516"/>
        <item x="320"/>
        <item x="406"/>
        <item x="522"/>
        <item x="479"/>
        <item x="585"/>
        <item x="260"/>
        <item x="121"/>
        <item x="454"/>
        <item x="355"/>
        <item x="292"/>
        <item x="409"/>
        <item x="107"/>
        <item x="452"/>
        <item x="20"/>
        <item x="157"/>
        <item x="255"/>
        <item x="213"/>
        <item x="438"/>
        <item x="459"/>
        <item x="192"/>
        <item x="115"/>
        <item x="24"/>
        <item x="568"/>
        <item x="587"/>
        <item x="618"/>
        <item x="497"/>
        <item x="468"/>
        <item x="202"/>
        <item x="253"/>
        <item x="99"/>
        <item x="204"/>
        <item x="300"/>
        <item x="144"/>
        <item x="16"/>
        <item x="324"/>
        <item x="339"/>
        <item x="205"/>
        <item x="31"/>
        <item x="64"/>
        <item x="184"/>
        <item x="352"/>
        <item x="187"/>
        <item x="288"/>
        <item x="348"/>
        <item x="475"/>
        <item x="435"/>
        <item x="34"/>
        <item x="135"/>
        <item x="110"/>
        <item x="61"/>
        <item x="329"/>
        <item x="188"/>
        <item x="219"/>
        <item x="336"/>
        <item x="207"/>
        <item x="487"/>
        <item x="607"/>
        <item x="159"/>
        <item x="273"/>
        <item x="423"/>
        <item x="153"/>
        <item x="56"/>
        <item x="550"/>
        <item x="617"/>
        <item x="111"/>
        <item x="622"/>
        <item x="426"/>
        <item x="226"/>
        <item x="42"/>
        <item x="542"/>
        <item x="496"/>
        <item x="310"/>
        <item x="374"/>
        <item x="195"/>
        <item x="442"/>
        <item x="414"/>
        <item x="173"/>
        <item x="55"/>
        <item x="548"/>
        <item x="142"/>
        <item x="372"/>
        <item x="505"/>
        <item x="45"/>
        <item x="625"/>
        <item x="628"/>
        <item x="77"/>
        <item x="562"/>
        <item x="379"/>
        <item x="514"/>
        <item x="529"/>
        <item x="555"/>
        <item x="60"/>
        <item x="600"/>
        <item x="242"/>
        <item x="97"/>
        <item x="569"/>
        <item x="49"/>
        <item x="272"/>
        <item x="506"/>
        <item x="353"/>
        <item x="278"/>
        <item x="360"/>
        <item x="17"/>
        <item x="76"/>
        <item x="138"/>
        <item x="48"/>
        <item x="482"/>
        <item x="471"/>
        <item x="236"/>
        <item x="382"/>
        <item x="18"/>
        <item x="375"/>
        <item x="337"/>
        <item x="266"/>
        <item x="19"/>
        <item x="120"/>
        <item x="322"/>
        <item x="302"/>
        <item x="603"/>
        <item x="264"/>
        <item x="313"/>
        <item x="629"/>
        <item x="480"/>
        <item x="583"/>
        <item x="40"/>
        <item x="429"/>
        <item x="181"/>
        <item x="619"/>
        <item x="478"/>
        <item x="534"/>
        <item x="149"/>
        <item x="306"/>
        <item x="95"/>
        <item x="376"/>
        <item x="356"/>
        <item x="567"/>
        <item x="448"/>
        <item x="556"/>
        <item x="383"/>
        <item x="203"/>
        <item x="392"/>
        <item x="357"/>
        <item x="624"/>
        <item x="512"/>
        <item x="557"/>
        <item x="537"/>
        <item x="592"/>
        <item x="100"/>
        <item x="319"/>
        <item x="199"/>
        <item x="396"/>
        <item x="431"/>
        <item x="424"/>
        <item x="528"/>
        <item x="80"/>
        <item x="9"/>
        <item x="58"/>
        <item x="521"/>
        <item x="126"/>
        <item x="117"/>
        <item x="539"/>
        <item x="223"/>
        <item x="588"/>
        <item x="63"/>
        <item x="346"/>
        <item x="276"/>
        <item x="613"/>
        <item x="362"/>
        <item x="465"/>
        <item x="165"/>
        <item x="140"/>
        <item x="175"/>
        <item x="422"/>
        <item x="47"/>
        <item x="237"/>
        <item x="632"/>
        <item t="default"/>
      </items>
    </pivotField>
    <pivotField showAll="0"/>
    <pivotField dataField="1" showAll="0"/>
    <pivotField dataField="1" showAll="0"/>
  </pivotFields>
  <rowItems count="1">
    <i/>
  </rowItems>
  <colFields count="1">
    <field x="-2"/>
  </colFields>
  <colItems count="5">
    <i>
      <x/>
    </i>
    <i i="1">
      <x v="1"/>
    </i>
    <i i="2">
      <x v="2"/>
    </i>
    <i i="3">
      <x v="3"/>
    </i>
    <i i="4">
      <x v="4"/>
    </i>
  </colItems>
  <dataFields count="5">
    <dataField name="Sum of Gross revenue" fld="25" baseField="0" baseItem="0"/>
    <dataField name="Average of leaDTIMES &lt;7" fld="8" subtotal="average" baseField="0" baseItem="1"/>
    <dataField name="Average of Gross revenue" fld="25" subtotal="average" baseField="0" baseItem="0"/>
    <dataField name="Sum of Gross profit" fld="27" baseField="0" baseItem="0"/>
    <dataField name="Average of Margin %" fld="2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A850A8-25AA-473B-9349-5B595B247C95}" name="PivotTable13"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37" firstHeaderRow="1" firstDataRow="1" firstDataCol="1"/>
  <pivotFields count="29">
    <pivotField showAll="0"/>
    <pivotField showAll="0"/>
    <pivotField axis="axisRow"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showAll="0">
      <items count="6">
        <item x="0"/>
        <item x="2"/>
        <item x="1"/>
        <item x="3"/>
        <item h="1" x="4"/>
        <item t="default"/>
      </items>
    </pivotField>
    <pivotField showAll="0">
      <items count="14">
        <item x="5"/>
        <item x="3"/>
        <item x="9"/>
        <item x="7"/>
        <item x="6"/>
        <item x="4"/>
        <item x="2"/>
        <item x="0"/>
        <item x="1"/>
        <item x="11"/>
        <item x="8"/>
        <item x="10"/>
        <item x="12"/>
        <item t="default"/>
      </items>
    </pivotField>
    <pivotField showAll="0"/>
    <pivotField showAll="0"/>
    <pivotField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Gross revenue" fld="25"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A1F3EB-E91C-4053-A89D-89FAA547A001}" name="PivotTable15"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H9" firstHeaderRow="1" firstDataRow="2" firstDataCol="1"/>
  <pivotFields count="29">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axis="axisRow" showAll="0">
      <items count="6">
        <item x="0"/>
        <item x="2"/>
        <item x="1"/>
        <item x="3"/>
        <item h="1" x="4"/>
        <item t="default"/>
      </items>
    </pivotField>
    <pivotField showAll="0">
      <items count="14">
        <item x="5"/>
        <item x="3"/>
        <item x="9"/>
        <item x="7"/>
        <item x="6"/>
        <item x="4"/>
        <item x="2"/>
        <item x="0"/>
        <item x="1"/>
        <item x="11"/>
        <item x="8"/>
        <item x="10"/>
        <item x="12"/>
        <item t="default"/>
      </items>
    </pivotField>
    <pivotField showAll="0"/>
    <pivotField showAll="0"/>
    <pivotField axis="axisCol"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9"/>
  </rowFields>
  <rowItems count="5">
    <i>
      <x/>
    </i>
    <i>
      <x v="1"/>
    </i>
    <i>
      <x v="2"/>
    </i>
    <i>
      <x v="3"/>
    </i>
    <i t="grand">
      <x/>
    </i>
  </rowItems>
  <colFields count="1">
    <field x="13"/>
  </colFields>
  <colItems count="7">
    <i>
      <x/>
    </i>
    <i>
      <x v="1"/>
    </i>
    <i>
      <x v="2"/>
    </i>
    <i>
      <x v="3"/>
    </i>
    <i>
      <x v="4"/>
    </i>
    <i>
      <x v="5"/>
    </i>
    <i t="grand">
      <x/>
    </i>
  </colItems>
  <dataFields count="1">
    <dataField name="Sum of Gross profit" fld="27"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series="1">
      <pivotArea type="data" outline="0" fieldPosition="0">
        <references count="2">
          <reference field="4294967294" count="1" selected="0">
            <x v="0"/>
          </reference>
          <reference field="13" count="1" selected="0">
            <x v="5"/>
          </reference>
        </references>
      </pivotArea>
    </chartFormat>
    <chartFormat chart="0" format="6" series="1">
      <pivotArea type="data" outline="0" fieldPosition="0">
        <references count="2">
          <reference field="4294967294" count="1" selected="0">
            <x v="0"/>
          </reference>
          <reference field="13" count="1" selected="0">
            <x v="6"/>
          </reference>
        </references>
      </pivotArea>
    </chartFormat>
    <chartFormat chart="4" format="13" series="1">
      <pivotArea type="data" outline="0" fieldPosition="0">
        <references count="2">
          <reference field="4294967294" count="1" selected="0">
            <x v="0"/>
          </reference>
          <reference field="13" count="1" selected="0">
            <x v="0"/>
          </reference>
        </references>
      </pivotArea>
    </chartFormat>
    <chartFormat chart="4" format="14" series="1">
      <pivotArea type="data" outline="0" fieldPosition="0">
        <references count="2">
          <reference field="4294967294" count="1" selected="0">
            <x v="0"/>
          </reference>
          <reference field="13" count="1" selected="0">
            <x v="1"/>
          </reference>
        </references>
      </pivotArea>
    </chartFormat>
    <chartFormat chart="4" format="15" series="1">
      <pivotArea type="data" outline="0" fieldPosition="0">
        <references count="2">
          <reference field="4294967294" count="1" selected="0">
            <x v="0"/>
          </reference>
          <reference field="13" count="1" selected="0">
            <x v="2"/>
          </reference>
        </references>
      </pivotArea>
    </chartFormat>
    <chartFormat chart="4" format="16" series="1">
      <pivotArea type="data" outline="0" fieldPosition="0">
        <references count="2">
          <reference field="4294967294" count="1" selected="0">
            <x v="0"/>
          </reference>
          <reference field="13" count="1" selected="0">
            <x v="3"/>
          </reference>
        </references>
      </pivotArea>
    </chartFormat>
    <chartFormat chart="4" format="17" series="1">
      <pivotArea type="data" outline="0" fieldPosition="0">
        <references count="2">
          <reference field="4294967294" count="1" selected="0">
            <x v="0"/>
          </reference>
          <reference field="13" count="1" selected="0">
            <x v="4"/>
          </reference>
        </references>
      </pivotArea>
    </chartFormat>
    <chartFormat chart="4" format="18" series="1">
      <pivotArea type="data" outline="0" fieldPosition="0">
        <references count="2">
          <reference field="4294967294" count="1" selected="0">
            <x v="0"/>
          </reference>
          <reference field="13" count="1" selected="0">
            <x v="5"/>
          </reference>
        </references>
      </pivotArea>
    </chartFormat>
    <chartFormat chart="4" format="19" series="1">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57F816-C8F7-423F-B4FC-A61EC162243C}" name="PivotTable16"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9">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showAll="0">
      <items count="6">
        <item x="0"/>
        <item x="2"/>
        <item x="1"/>
        <item x="3"/>
        <item h="1" x="4"/>
        <item t="default"/>
      </items>
    </pivotField>
    <pivotField showAll="0">
      <items count="14">
        <item x="5"/>
        <item x="3"/>
        <item x="9"/>
        <item x="7"/>
        <item x="6"/>
        <item x="4"/>
        <item x="2"/>
        <item x="0"/>
        <item x="1"/>
        <item x="11"/>
        <item x="8"/>
        <item x="10"/>
        <item x="12"/>
        <item t="default"/>
      </items>
    </pivotField>
    <pivotField showAll="0"/>
    <pivotField showAll="0"/>
    <pivotField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axis="axisRow" showAll="0" measureFilter="1" sortType="descending">
      <items count="632">
        <item x="630"/>
        <item x="414"/>
        <item x="354"/>
        <item x="596"/>
        <item x="599"/>
        <item x="43"/>
        <item x="81"/>
        <item x="546"/>
        <item x="443"/>
        <item x="356"/>
        <item x="469"/>
        <item x="405"/>
        <item x="1"/>
        <item x="608"/>
        <item x="95"/>
        <item x="385"/>
        <item x="291"/>
        <item x="274"/>
        <item x="373"/>
        <item x="201"/>
        <item x="13"/>
        <item x="152"/>
        <item x="179"/>
        <item x="4"/>
        <item x="444"/>
        <item x="296"/>
        <item x="235"/>
        <item x="350"/>
        <item x="38"/>
        <item x="153"/>
        <item x="470"/>
        <item x="229"/>
        <item x="199"/>
        <item x="461"/>
        <item x="16"/>
        <item x="269"/>
        <item x="359"/>
        <item x="558"/>
        <item x="39"/>
        <item x="301"/>
        <item x="92"/>
        <item x="116"/>
        <item x="423"/>
        <item x="7"/>
        <item x="150"/>
        <item x="601"/>
        <item x="208"/>
        <item x="381"/>
        <item x="417"/>
        <item x="487"/>
        <item x="616"/>
        <item x="218"/>
        <item x="400"/>
        <item x="606"/>
        <item x="243"/>
        <item x="337"/>
        <item x="613"/>
        <item x="176"/>
        <item x="602"/>
        <item x="240"/>
        <item x="193"/>
        <item x="138"/>
        <item x="609"/>
        <item x="342"/>
        <item x="442"/>
        <item x="134"/>
        <item x="595"/>
        <item x="528"/>
        <item x="35"/>
        <item x="143"/>
        <item x="148"/>
        <item x="26"/>
        <item x="164"/>
        <item x="480"/>
        <item x="174"/>
        <item x="369"/>
        <item x="364"/>
        <item x="468"/>
        <item x="42"/>
        <item x="212"/>
        <item x="308"/>
        <item x="253"/>
        <item x="219"/>
        <item x="524"/>
        <item x="46"/>
        <item x="429"/>
        <item x="555"/>
        <item x="449"/>
        <item x="313"/>
        <item x="228"/>
        <item x="439"/>
        <item x="525"/>
        <item x="515"/>
        <item x="410"/>
        <item x="537"/>
        <item x="526"/>
        <item x="49"/>
        <item x="486"/>
        <item x="265"/>
        <item x="474"/>
        <item x="390"/>
        <item x="232"/>
        <item x="335"/>
        <item x="501"/>
        <item x="196"/>
        <item x="586"/>
        <item x="473"/>
        <item x="320"/>
        <item x="159"/>
        <item x="628"/>
        <item x="500"/>
        <item x="106"/>
        <item x="434"/>
        <item x="236"/>
        <item x="505"/>
        <item x="411"/>
        <item x="419"/>
        <item x="100"/>
        <item x="62"/>
        <item x="532"/>
        <item x="141"/>
        <item x="137"/>
        <item x="374"/>
        <item x="122"/>
        <item x="492"/>
        <item x="336"/>
        <item x="578"/>
        <item x="181"/>
        <item x="605"/>
        <item x="225"/>
        <item x="244"/>
        <item x="11"/>
        <item x="94"/>
        <item x="366"/>
        <item x="27"/>
        <item x="278"/>
        <item x="285"/>
        <item x="455"/>
        <item x="488"/>
        <item x="330"/>
        <item x="316"/>
        <item x="553"/>
        <item x="485"/>
        <item x="406"/>
        <item x="428"/>
        <item x="452"/>
        <item x="162"/>
        <item x="361"/>
        <item x="584"/>
        <item x="303"/>
        <item x="197"/>
        <item x="375"/>
        <item x="31"/>
        <item x="245"/>
        <item x="626"/>
        <item x="65"/>
        <item x="149"/>
        <item x="583"/>
        <item x="3"/>
        <item x="570"/>
        <item x="128"/>
        <item x="440"/>
        <item x="412"/>
        <item x="334"/>
        <item x="263"/>
        <item x="286"/>
        <item x="241"/>
        <item x="91"/>
        <item x="392"/>
        <item x="200"/>
        <item x="426"/>
        <item x="268"/>
        <item x="530"/>
        <item x="133"/>
        <item x="422"/>
        <item x="231"/>
        <item x="482"/>
        <item x="238"/>
        <item x="448"/>
        <item x="107"/>
        <item x="327"/>
        <item x="371"/>
        <item x="202"/>
        <item x="512"/>
        <item x="560"/>
        <item x="28"/>
        <item x="343"/>
        <item x="213"/>
        <item x="347"/>
        <item x="282"/>
        <item x="17"/>
        <item x="420"/>
        <item x="54"/>
        <item x="287"/>
        <item x="435"/>
        <item x="29"/>
        <item x="2"/>
        <item x="344"/>
        <item x="529"/>
        <item x="567"/>
        <item x="262"/>
        <item x="331"/>
        <item x="353"/>
        <item x="614"/>
        <item x="538"/>
        <item x="156"/>
        <item x="619"/>
        <item x="123"/>
        <item x="281"/>
        <item x="502"/>
        <item x="433"/>
        <item x="32"/>
        <item x="155"/>
        <item x="378"/>
        <item x="215"/>
        <item x="550"/>
        <item x="84"/>
        <item x="413"/>
        <item x="535"/>
        <item x="108"/>
        <item x="120"/>
        <item x="503"/>
        <item x="600"/>
        <item x="203"/>
        <item x="466"/>
        <item x="611"/>
        <item x="194"/>
        <item x="276"/>
        <item x="379"/>
        <item x="612"/>
        <item x="462"/>
        <item x="48"/>
        <item x="543"/>
        <item x="322"/>
        <item x="80"/>
        <item x="622"/>
        <item x="620"/>
        <item x="321"/>
        <item x="548"/>
        <item x="112"/>
        <item x="517"/>
        <item x="129"/>
        <item x="317"/>
        <item x="357"/>
        <item x="382"/>
        <item x="574"/>
        <item x="307"/>
        <item x="506"/>
        <item x="575"/>
        <item x="376"/>
        <item x="198"/>
        <item x="399"/>
        <item x="21"/>
        <item x="114"/>
        <item x="577"/>
        <item x="483"/>
        <item x="248"/>
        <item x="562"/>
        <item x="438"/>
        <item x="623"/>
        <item x="257"/>
        <item x="144"/>
        <item x="47"/>
        <item x="45"/>
        <item x="90"/>
        <item x="479"/>
        <item x="73"/>
        <item x="341"/>
        <item x="98"/>
        <item x="302"/>
        <item x="226"/>
        <item x="223"/>
        <item x="41"/>
        <item x="380"/>
        <item x="590"/>
        <item x="495"/>
        <item x="311"/>
        <item x="496"/>
        <item x="40"/>
        <item x="160"/>
        <item x="266"/>
        <item x="395"/>
        <item x="318"/>
        <item x="498"/>
        <item x="163"/>
        <item x="531"/>
        <item x="118"/>
        <item x="88"/>
        <item x="254"/>
        <item x="494"/>
        <item x="184"/>
        <item x="431"/>
        <item x="540"/>
        <item x="272"/>
        <item x="6"/>
        <item x="544"/>
        <item x="610"/>
        <item x="79"/>
        <item x="188"/>
        <item x="211"/>
        <item x="258"/>
        <item x="383"/>
        <item x="168"/>
        <item x="191"/>
        <item x="580"/>
        <item x="446"/>
        <item x="556"/>
        <item x="175"/>
        <item x="8"/>
        <item x="453"/>
        <item x="67"/>
        <item x="165"/>
        <item x="195"/>
        <item x="310"/>
        <item x="547"/>
        <item x="522"/>
        <item x="572"/>
        <item x="561"/>
        <item x="389"/>
        <item x="363"/>
        <item x="183"/>
        <item x="298"/>
        <item x="280"/>
        <item x="447"/>
        <item x="305"/>
        <item x="178"/>
        <item x="233"/>
        <item x="63"/>
        <item x="130"/>
        <item x="456"/>
        <item x="204"/>
        <item x="55"/>
        <item x="499"/>
        <item x="432"/>
        <item x="372"/>
        <item x="252"/>
        <item x="51"/>
        <item x="297"/>
        <item x="549"/>
        <item x="351"/>
        <item x="189"/>
        <item x="615"/>
        <item x="418"/>
        <item x="625"/>
        <item x="121"/>
        <item x="398"/>
        <item x="83"/>
        <item x="427"/>
        <item x="273"/>
        <item x="135"/>
        <item x="249"/>
        <item x="328"/>
        <item x="89"/>
        <item x="597"/>
        <item x="247"/>
        <item x="115"/>
        <item x="217"/>
        <item x="509"/>
        <item x="472"/>
        <item x="68"/>
        <item x="140"/>
        <item x="167"/>
        <item x="404"/>
        <item x="96"/>
        <item x="205"/>
        <item x="186"/>
        <item x="216"/>
        <item x="591"/>
        <item x="271"/>
        <item x="314"/>
        <item x="566"/>
        <item x="339"/>
        <item x="33"/>
        <item x="284"/>
        <item x="402"/>
        <item x="20"/>
        <item x="132"/>
        <item x="224"/>
        <item x="111"/>
        <item x="386"/>
        <item x="329"/>
        <item x="283"/>
        <item x="421"/>
        <item x="430"/>
        <item x="598"/>
        <item x="5"/>
        <item x="72"/>
        <item x="424"/>
        <item x="396"/>
        <item x="117"/>
        <item x="407"/>
        <item x="192"/>
        <item x="52"/>
        <item x="425"/>
        <item x="565"/>
        <item x="534"/>
        <item x="388"/>
        <item x="102"/>
        <item x="173"/>
        <item x="275"/>
        <item x="409"/>
        <item x="56"/>
        <item x="368"/>
        <item x="593"/>
        <item x="520"/>
        <item x="151"/>
        <item x="251"/>
        <item x="387"/>
        <item x="563"/>
        <item x="190"/>
        <item x="104"/>
        <item x="508"/>
        <item x="255"/>
        <item x="23"/>
        <item x="603"/>
        <item x="457"/>
        <item x="242"/>
        <item x="542"/>
        <item x="304"/>
        <item x="309"/>
        <item x="71"/>
        <item x="581"/>
        <item x="514"/>
        <item x="362"/>
        <item x="53"/>
        <item x="99"/>
        <item x="345"/>
        <item x="571"/>
        <item x="507"/>
        <item x="264"/>
        <item x="64"/>
        <item x="19"/>
        <item x="146"/>
        <item x="481"/>
        <item x="629"/>
        <item x="370"/>
        <item x="239"/>
        <item x="384"/>
        <item x="246"/>
        <item x="279"/>
        <item x="119"/>
        <item x="349"/>
        <item x="539"/>
        <item x="582"/>
        <item x="445"/>
        <item x="527"/>
        <item x="15"/>
        <item x="295"/>
        <item x="145"/>
        <item x="166"/>
        <item x="533"/>
        <item x="477"/>
        <item x="475"/>
        <item x="323"/>
        <item x="559"/>
        <item x="267"/>
        <item x="300"/>
        <item x="177"/>
        <item x="585"/>
        <item x="237"/>
        <item x="476"/>
        <item x="289"/>
        <item x="403"/>
        <item x="436"/>
        <item x="393"/>
        <item x="37"/>
        <item x="0"/>
        <item x="234"/>
        <item x="86"/>
        <item x="101"/>
        <item x="511"/>
        <item x="105"/>
        <item x="60"/>
        <item x="36"/>
        <item x="250"/>
        <item x="69"/>
        <item x="206"/>
        <item x="222"/>
        <item x="365"/>
        <item x="61"/>
        <item x="230"/>
        <item x="30"/>
        <item x="397"/>
        <item x="451"/>
        <item x="459"/>
        <item x="504"/>
        <item x="568"/>
        <item x="110"/>
        <item x="125"/>
        <item x="127"/>
        <item x="44"/>
        <item x="564"/>
        <item x="519"/>
        <item x="78"/>
        <item x="463"/>
        <item x="518"/>
        <item x="490"/>
        <item x="589"/>
        <item x="171"/>
        <item x="74"/>
        <item x="326"/>
        <item x="594"/>
        <item x="617"/>
        <item x="220"/>
        <item x="573"/>
        <item x="256"/>
        <item x="348"/>
        <item x="260"/>
        <item x="161"/>
        <item x="85"/>
        <item x="467"/>
        <item x="315"/>
        <item x="210"/>
        <item x="464"/>
        <item x="157"/>
        <item x="294"/>
        <item x="9"/>
        <item x="136"/>
        <item x="12"/>
        <item x="458"/>
        <item x="367"/>
        <item x="510"/>
        <item x="324"/>
        <item x="82"/>
        <item x="87"/>
        <item x="24"/>
        <item x="377"/>
        <item x="523"/>
        <item x="484"/>
        <item x="124"/>
        <item x="391"/>
        <item x="126"/>
        <item x="401"/>
        <item x="627"/>
        <item x="172"/>
        <item x="34"/>
        <item x="624"/>
        <item x="607"/>
        <item x="579"/>
        <item x="471"/>
        <item x="513"/>
        <item x="169"/>
        <item x="75"/>
        <item x="109"/>
        <item x="408"/>
        <item x="182"/>
        <item x="306"/>
        <item x="536"/>
        <item x="554"/>
        <item x="77"/>
        <item x="66"/>
        <item x="93"/>
        <item x="209"/>
        <item x="25"/>
        <item x="454"/>
        <item x="292"/>
        <item x="541"/>
        <item x="338"/>
        <item x="18"/>
        <item x="277"/>
        <item x="10"/>
        <item x="592"/>
        <item x="360"/>
        <item x="604"/>
        <item x="465"/>
        <item x="557"/>
        <item x="493"/>
        <item x="142"/>
        <item x="358"/>
        <item x="180"/>
        <item x="346"/>
        <item x="437"/>
        <item x="147"/>
        <item x="50"/>
        <item x="288"/>
        <item x="57"/>
        <item x="299"/>
        <item x="352"/>
        <item x="214"/>
        <item x="460"/>
        <item x="97"/>
        <item x="551"/>
        <item x="552"/>
        <item x="227"/>
        <item x="588"/>
        <item x="618"/>
        <item x="187"/>
        <item x="569"/>
        <item x="113"/>
        <item x="76"/>
        <item x="290"/>
        <item x="154"/>
        <item x="131"/>
        <item x="158"/>
        <item x="22"/>
        <item x="270"/>
        <item x="576"/>
        <item x="521"/>
        <item x="450"/>
        <item x="259"/>
        <item x="221"/>
        <item x="545"/>
        <item x="185"/>
        <item x="516"/>
        <item x="355"/>
        <item x="332"/>
        <item x="489"/>
        <item x="319"/>
        <item x="312"/>
        <item x="416"/>
        <item x="497"/>
        <item x="70"/>
        <item x="170"/>
        <item x="103"/>
        <item x="325"/>
        <item x="59"/>
        <item x="261"/>
        <item x="58"/>
        <item x="478"/>
        <item x="14"/>
        <item x="207"/>
        <item x="587"/>
        <item x="491"/>
        <item x="293"/>
        <item x="441"/>
        <item x="394"/>
        <item x="340"/>
        <item x="415"/>
        <item x="333"/>
        <item x="621"/>
        <item x="139"/>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17"/>
  </rowFields>
  <rowItems count="11">
    <i>
      <x v="225"/>
    </i>
    <i>
      <x v="227"/>
    </i>
    <i>
      <x v="262"/>
    </i>
    <i>
      <x v="307"/>
    </i>
    <i>
      <x v="311"/>
    </i>
    <i>
      <x v="360"/>
    </i>
    <i>
      <x v="382"/>
    </i>
    <i>
      <x v="423"/>
    </i>
    <i>
      <x v="459"/>
    </i>
    <i>
      <x v="513"/>
    </i>
    <i t="grand">
      <x/>
    </i>
  </rowItems>
  <colItems count="1">
    <i/>
  </colItems>
  <dataFields count="1">
    <dataField name="Sum of Gross revenue" fld="25"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067BF2-F6D2-41DA-B8C2-632919B12FAD}" name="PivotTable17"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4" firstHeaderRow="1" firstDataRow="1" firstDataCol="1" rowPageCount="1" colPageCount="1"/>
  <pivotFields count="29">
    <pivotField axis="axisRow" showAll="0">
      <items count="633">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x="631"/>
        <item t="default"/>
      </items>
    </pivotField>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showAll="0">
      <items count="6">
        <item x="0"/>
        <item x="2"/>
        <item x="1"/>
        <item x="3"/>
        <item h="1" x="4"/>
        <item t="default"/>
      </items>
    </pivotField>
    <pivotField showAll="0">
      <items count="14">
        <item x="5"/>
        <item x="3"/>
        <item x="9"/>
        <item x="7"/>
        <item x="6"/>
        <item x="4"/>
        <item x="2"/>
        <item x="0"/>
        <item x="1"/>
        <item x="11"/>
        <item x="8"/>
        <item x="10"/>
        <item x="12"/>
        <item t="default"/>
      </items>
    </pivotField>
    <pivotField showAll="0"/>
    <pivotField showAll="0"/>
    <pivotField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dataField="1" showAll="0">
      <items count="231">
        <item x="5"/>
        <item x="140"/>
        <item x="10"/>
        <item x="20"/>
        <item x="99"/>
        <item x="19"/>
        <item x="84"/>
        <item x="170"/>
        <item x="212"/>
        <item x="108"/>
        <item x="205"/>
        <item x="113"/>
        <item x="106"/>
        <item x="118"/>
        <item x="109"/>
        <item x="179"/>
        <item x="134"/>
        <item x="71"/>
        <item x="8"/>
        <item x="195"/>
        <item x="76"/>
        <item x="42"/>
        <item x="32"/>
        <item x="16"/>
        <item x="188"/>
        <item x="208"/>
        <item x="174"/>
        <item x="89"/>
        <item x="221"/>
        <item x="107"/>
        <item x="215"/>
        <item x="58"/>
        <item x="216"/>
        <item x="54"/>
        <item x="130"/>
        <item x="114"/>
        <item x="223"/>
        <item x="133"/>
        <item x="121"/>
        <item x="92"/>
        <item x="193"/>
        <item x="163"/>
        <item x="227"/>
        <item x="96"/>
        <item x="201"/>
        <item x="176"/>
        <item x="72"/>
        <item x="143"/>
        <item x="55"/>
        <item x="90"/>
        <item x="68"/>
        <item x="88"/>
        <item x="3"/>
        <item x="93"/>
        <item x="13"/>
        <item x="43"/>
        <item x="171"/>
        <item x="202"/>
        <item x="117"/>
        <item x="164"/>
        <item x="226"/>
        <item x="104"/>
        <item x="200"/>
        <item x="26"/>
        <item x="147"/>
        <item x="24"/>
        <item x="167"/>
        <item x="25"/>
        <item x="168"/>
        <item x="119"/>
        <item x="77"/>
        <item x="142"/>
        <item x="12"/>
        <item x="148"/>
        <item x="73"/>
        <item x="224"/>
        <item x="199"/>
        <item x="74"/>
        <item x="165"/>
        <item x="27"/>
        <item x="4"/>
        <item x="172"/>
        <item x="67"/>
        <item x="52"/>
        <item x="192"/>
        <item x="105"/>
        <item x="86"/>
        <item x="14"/>
        <item x="46"/>
        <item x="95"/>
        <item x="0"/>
        <item x="139"/>
        <item x="60"/>
        <item x="158"/>
        <item x="144"/>
        <item x="85"/>
        <item x="45"/>
        <item x="18"/>
        <item x="173"/>
        <item x="153"/>
        <item x="82"/>
        <item x="213"/>
        <item x="22"/>
        <item x="38"/>
        <item x="110"/>
        <item x="137"/>
        <item x="31"/>
        <item x="49"/>
        <item x="2"/>
        <item x="191"/>
        <item x="112"/>
        <item x="61"/>
        <item x="157"/>
        <item x="29"/>
        <item x="81"/>
        <item x="159"/>
        <item x="23"/>
        <item x="78"/>
        <item x="169"/>
        <item x="56"/>
        <item x="17"/>
        <item x="41"/>
        <item x="180"/>
        <item x="34"/>
        <item x="6"/>
        <item x="135"/>
        <item x="9"/>
        <item x="209"/>
        <item x="102"/>
        <item x="136"/>
        <item x="125"/>
        <item x="69"/>
        <item x="131"/>
        <item x="161"/>
        <item x="87"/>
        <item x="181"/>
        <item x="129"/>
        <item x="75"/>
        <item x="64"/>
        <item x="196"/>
        <item x="156"/>
        <item x="211"/>
        <item x="150"/>
        <item x="21"/>
        <item x="36"/>
        <item x="189"/>
        <item x="225"/>
        <item x="145"/>
        <item x="122"/>
        <item x="155"/>
        <item x="30"/>
        <item x="166"/>
        <item x="120"/>
        <item x="94"/>
        <item x="79"/>
        <item x="111"/>
        <item x="35"/>
        <item x="15"/>
        <item x="50"/>
        <item x="57"/>
        <item x="63"/>
        <item x="37"/>
        <item x="70"/>
        <item x="51"/>
        <item x="197"/>
        <item x="98"/>
        <item x="7"/>
        <item x="124"/>
        <item x="115"/>
        <item x="47"/>
        <item x="138"/>
        <item x="91"/>
        <item x="53"/>
        <item x="44"/>
        <item x="162"/>
        <item x="222"/>
        <item x="219"/>
        <item x="182"/>
        <item x="126"/>
        <item x="123"/>
        <item x="207"/>
        <item x="66"/>
        <item x="154"/>
        <item x="203"/>
        <item x="218"/>
        <item x="97"/>
        <item x="217"/>
        <item x="152"/>
        <item x="204"/>
        <item x="83"/>
        <item x="214"/>
        <item x="127"/>
        <item x="146"/>
        <item x="128"/>
        <item x="1"/>
        <item x="149"/>
        <item x="177"/>
        <item x="183"/>
        <item x="65"/>
        <item x="28"/>
        <item x="103"/>
        <item x="220"/>
        <item x="11"/>
        <item x="116"/>
        <item x="48"/>
        <item x="194"/>
        <item x="62"/>
        <item x="132"/>
        <item x="101"/>
        <item x="187"/>
        <item x="151"/>
        <item x="100"/>
        <item x="141"/>
        <item x="178"/>
        <item x="190"/>
        <item x="80"/>
        <item x="186"/>
        <item x="39"/>
        <item x="210"/>
        <item x="40"/>
        <item x="184"/>
        <item x="206"/>
        <item x="160"/>
        <item x="33"/>
        <item x="59"/>
        <item x="175"/>
        <item x="198"/>
        <item x="185"/>
        <item h="1" x="229"/>
        <item h="1" x="228"/>
        <item t="default"/>
      </items>
    </pivotField>
    <pivotField showAll="0"/>
    <pivotField axis="axisPage" multipleItemSelectionAllowed="1" showAll="0">
      <items count="4">
        <item x="1"/>
        <item h="1" x="0"/>
        <item h="1" x="2"/>
        <item t="default"/>
      </items>
    </pivotField>
    <pivotField showAll="0"/>
    <pivotField showAll="0"/>
    <pivotField showAll="0"/>
    <pivotField showAll="0"/>
    <pivotField showAll="0"/>
  </pivotFields>
  <rowFields count="1">
    <field x="0"/>
  </rowFields>
  <rowItems count="91">
    <i>
      <x v="19"/>
    </i>
    <i>
      <x v="40"/>
    </i>
    <i>
      <x v="42"/>
    </i>
    <i>
      <x v="44"/>
    </i>
    <i>
      <x v="49"/>
    </i>
    <i>
      <x v="58"/>
    </i>
    <i>
      <x v="62"/>
    </i>
    <i>
      <x v="71"/>
    </i>
    <i>
      <x v="77"/>
    </i>
    <i>
      <x v="79"/>
    </i>
    <i>
      <x v="91"/>
    </i>
    <i>
      <x v="97"/>
    </i>
    <i>
      <x v="108"/>
    </i>
    <i>
      <x v="115"/>
    </i>
    <i>
      <x v="120"/>
    </i>
    <i>
      <x v="125"/>
    </i>
    <i>
      <x v="126"/>
    </i>
    <i>
      <x v="133"/>
    </i>
    <i>
      <x v="140"/>
    </i>
    <i>
      <x v="143"/>
    </i>
    <i>
      <x v="161"/>
    </i>
    <i>
      <x v="164"/>
    </i>
    <i>
      <x v="173"/>
    </i>
    <i>
      <x v="184"/>
    </i>
    <i>
      <x v="205"/>
    </i>
    <i>
      <x v="213"/>
    </i>
    <i>
      <x v="219"/>
    </i>
    <i>
      <x v="225"/>
    </i>
    <i>
      <x v="227"/>
    </i>
    <i>
      <x v="232"/>
    </i>
    <i>
      <x v="235"/>
    </i>
    <i>
      <x v="240"/>
    </i>
    <i>
      <x v="252"/>
    </i>
    <i>
      <x v="255"/>
    </i>
    <i>
      <x v="258"/>
    </i>
    <i>
      <x v="262"/>
    </i>
    <i>
      <x v="264"/>
    </i>
    <i>
      <x v="266"/>
    </i>
    <i>
      <x v="279"/>
    </i>
    <i>
      <x v="286"/>
    </i>
    <i>
      <x v="290"/>
    </i>
    <i>
      <x v="293"/>
    </i>
    <i>
      <x v="294"/>
    </i>
    <i>
      <x v="297"/>
    </i>
    <i>
      <x v="300"/>
    </i>
    <i>
      <x v="306"/>
    </i>
    <i>
      <x v="318"/>
    </i>
    <i>
      <x v="320"/>
    </i>
    <i>
      <x v="329"/>
    </i>
    <i>
      <x v="337"/>
    </i>
    <i>
      <x v="338"/>
    </i>
    <i>
      <x v="343"/>
    </i>
    <i>
      <x v="350"/>
    </i>
    <i>
      <x v="360"/>
    </i>
    <i>
      <x v="368"/>
    </i>
    <i>
      <x v="371"/>
    </i>
    <i>
      <x v="376"/>
    </i>
    <i>
      <x v="377"/>
    </i>
    <i>
      <x v="379"/>
    </i>
    <i>
      <x v="380"/>
    </i>
    <i>
      <x v="383"/>
    </i>
    <i>
      <x v="390"/>
    </i>
    <i>
      <x v="392"/>
    </i>
    <i>
      <x v="397"/>
    </i>
    <i>
      <x v="399"/>
    </i>
    <i>
      <x v="422"/>
    </i>
    <i>
      <x v="459"/>
    </i>
    <i>
      <x v="461"/>
    </i>
    <i>
      <x v="462"/>
    </i>
    <i>
      <x v="476"/>
    </i>
    <i>
      <x v="481"/>
    </i>
    <i>
      <x v="500"/>
    </i>
    <i>
      <x v="515"/>
    </i>
    <i>
      <x v="518"/>
    </i>
    <i>
      <x v="519"/>
    </i>
    <i>
      <x v="527"/>
    </i>
    <i>
      <x v="528"/>
    </i>
    <i>
      <x v="532"/>
    </i>
    <i>
      <x v="539"/>
    </i>
    <i>
      <x v="564"/>
    </i>
    <i>
      <x v="570"/>
    </i>
    <i>
      <x v="572"/>
    </i>
    <i>
      <x v="580"/>
    </i>
    <i>
      <x v="586"/>
    </i>
    <i>
      <x v="590"/>
    </i>
    <i>
      <x v="594"/>
    </i>
    <i>
      <x v="595"/>
    </i>
    <i>
      <x v="598"/>
    </i>
    <i>
      <x v="603"/>
    </i>
    <i>
      <x v="626"/>
    </i>
    <i t="grand">
      <x/>
    </i>
  </rowItems>
  <colItems count="1">
    <i/>
  </colItems>
  <pageFields count="1">
    <pageField fld="23" hier="-1"/>
  </pageFields>
  <dataFields count="1">
    <dataField name="Sum of DiscountPct" fld="21" baseField="0" baseItem="1"/>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7AED17-B7D1-4F86-B496-354465C309F6}" name="PivotTable2"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9" firstHeaderRow="1" firstDataRow="2" firstDataCol="1"/>
  <pivotFields count="29">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axis="axisRow" showAll="0">
      <items count="6">
        <item x="0"/>
        <item x="2"/>
        <item x="1"/>
        <item x="3"/>
        <item h="1" x="4"/>
        <item t="default"/>
      </items>
    </pivotField>
    <pivotField showAll="0">
      <items count="14">
        <item x="5"/>
        <item x="3"/>
        <item x="9"/>
        <item x="7"/>
        <item x="6"/>
        <item x="4"/>
        <item x="2"/>
        <item x="0"/>
        <item x="1"/>
        <item x="11"/>
        <item x="8"/>
        <item x="10"/>
        <item x="12"/>
        <item t="default"/>
      </items>
    </pivotField>
    <pivotField showAll="0"/>
    <pivotField showAll="0"/>
    <pivotField axis="axisCol"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9"/>
  </rowFields>
  <rowItems count="5">
    <i>
      <x/>
    </i>
    <i>
      <x v="1"/>
    </i>
    <i>
      <x v="2"/>
    </i>
    <i>
      <x v="3"/>
    </i>
    <i t="grand">
      <x/>
    </i>
  </rowItems>
  <colFields count="1">
    <field x="13"/>
  </colFields>
  <colItems count="7">
    <i>
      <x/>
    </i>
    <i>
      <x v="1"/>
    </i>
    <i>
      <x v="2"/>
    </i>
    <i>
      <x v="3"/>
    </i>
    <i>
      <x v="4"/>
    </i>
    <i>
      <x v="5"/>
    </i>
    <i t="grand">
      <x/>
    </i>
  </colItems>
  <dataFields count="1">
    <dataField name="Sum of Gross revenue" fld="25" baseField="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5E6D05-D17F-466A-804B-54776D5DDD9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sd="0" x="6"/>
        <item sd="0" x="5"/>
        <item sd="0" x="3"/>
        <item sd="0" x="4"/>
        <item sd="0" x="1"/>
        <item sd="0" x="2"/>
        <item sd="0" x="0"/>
        <item sd="0" x="7"/>
        <item t="default"/>
      </items>
      <autoSortScope>
        <pivotArea dataOnly="0" outline="0" fieldPosition="0">
          <references count="1">
            <reference field="4294967294" count="1" selected="0">
              <x v="0"/>
            </reference>
          </references>
        </pivotArea>
      </autoSortScope>
    </pivotField>
    <pivotField showAll="0"/>
    <pivotField axis="axisRow" showAll="0">
      <items count="631">
        <item x="138"/>
        <item x="620"/>
        <item x="332"/>
        <item x="414"/>
        <item x="339"/>
        <item x="393"/>
        <item x="440"/>
        <item x="292"/>
        <item x="490"/>
        <item x="586"/>
        <item x="206"/>
        <item x="13"/>
        <item x="477"/>
        <item x="57"/>
        <item x="260"/>
        <item x="58"/>
        <item x="324"/>
        <item x="102"/>
        <item x="169"/>
        <item x="69"/>
        <item x="496"/>
        <item x="415"/>
        <item x="311"/>
        <item x="318"/>
        <item x="488"/>
        <item x="331"/>
        <item x="354"/>
        <item x="515"/>
        <item x="184"/>
        <item x="544"/>
        <item x="220"/>
        <item x="258"/>
        <item x="449"/>
        <item x="520"/>
        <item x="575"/>
        <item x="269"/>
        <item x="21"/>
        <item x="157"/>
        <item x="130"/>
        <item x="153"/>
        <item x="289"/>
        <item x="75"/>
        <item x="112"/>
        <item x="568"/>
        <item x="186"/>
        <item x="617"/>
        <item x="587"/>
        <item x="226"/>
        <item x="551"/>
        <item x="550"/>
        <item x="96"/>
        <item x="459"/>
        <item x="213"/>
        <item x="351"/>
        <item x="298"/>
        <item x="56"/>
        <item x="287"/>
        <item x="49"/>
        <item x="146"/>
        <item x="436"/>
        <item x="345"/>
        <item x="179"/>
        <item x="357"/>
        <item x="141"/>
        <item x="492"/>
        <item x="556"/>
        <item x="464"/>
        <item x="603"/>
        <item x="359"/>
        <item x="591"/>
        <item x="9"/>
        <item x="276"/>
        <item x="17"/>
        <item x="337"/>
        <item x="540"/>
        <item x="291"/>
        <item x="453"/>
        <item x="24"/>
        <item x="208"/>
        <item x="92"/>
        <item x="65"/>
        <item x="76"/>
        <item x="553"/>
        <item x="535"/>
        <item x="305"/>
        <item x="181"/>
        <item x="407"/>
        <item x="108"/>
        <item x="74"/>
        <item x="168"/>
        <item x="512"/>
        <item x="470"/>
        <item x="578"/>
        <item x="606"/>
        <item x="623"/>
        <item x="33"/>
        <item x="171"/>
        <item x="626"/>
        <item x="400"/>
        <item x="125"/>
        <item x="390"/>
        <item x="123"/>
        <item x="483"/>
        <item x="522"/>
        <item x="376"/>
        <item x="23"/>
        <item x="86"/>
        <item x="81"/>
        <item x="323"/>
        <item x="509"/>
        <item x="366"/>
        <item x="457"/>
        <item x="11"/>
        <item x="135"/>
        <item x="8"/>
        <item x="293"/>
        <item x="156"/>
        <item x="463"/>
        <item x="209"/>
        <item x="314"/>
        <item x="466"/>
        <item x="84"/>
        <item x="160"/>
        <item x="259"/>
        <item x="347"/>
        <item x="255"/>
        <item x="572"/>
        <item x="219"/>
        <item x="616"/>
        <item x="593"/>
        <item x="325"/>
        <item x="73"/>
        <item x="170"/>
        <item x="588"/>
        <item x="489"/>
        <item x="517"/>
        <item x="462"/>
        <item x="77"/>
        <item x="518"/>
        <item x="563"/>
        <item x="43"/>
        <item x="126"/>
        <item x="124"/>
        <item x="109"/>
        <item x="567"/>
        <item x="503"/>
        <item x="458"/>
        <item x="450"/>
        <item x="396"/>
        <item x="29"/>
        <item x="229"/>
        <item x="60"/>
        <item x="364"/>
        <item x="221"/>
        <item x="205"/>
        <item x="68"/>
        <item x="249"/>
        <item x="35"/>
        <item x="59"/>
        <item x="104"/>
        <item x="510"/>
        <item x="100"/>
        <item x="85"/>
        <item x="233"/>
        <item x="36"/>
        <item x="392"/>
        <item x="435"/>
        <item x="402"/>
        <item x="288"/>
        <item x="475"/>
        <item x="236"/>
        <item x="584"/>
        <item x="176"/>
        <item x="299"/>
        <item x="266"/>
        <item x="558"/>
        <item x="322"/>
        <item x="474"/>
        <item x="476"/>
        <item x="532"/>
        <item x="165"/>
        <item x="144"/>
        <item x="294"/>
        <item x="14"/>
        <item x="526"/>
        <item x="444"/>
        <item x="581"/>
        <item x="538"/>
        <item x="348"/>
        <item x="118"/>
        <item x="278"/>
        <item x="245"/>
        <item x="383"/>
        <item x="238"/>
        <item x="369"/>
        <item x="628"/>
        <item x="480"/>
        <item x="145"/>
        <item x="18"/>
        <item x="63"/>
        <item x="263"/>
        <item x="506"/>
        <item x="570"/>
        <item x="344"/>
        <item x="98"/>
        <item x="52"/>
        <item x="361"/>
        <item x="513"/>
        <item x="580"/>
        <item x="70"/>
        <item x="308"/>
        <item x="303"/>
        <item x="541"/>
        <item x="241"/>
        <item x="456"/>
        <item x="602"/>
        <item x="22"/>
        <item x="254"/>
        <item x="507"/>
        <item x="103"/>
        <item x="189"/>
        <item x="562"/>
        <item x="386"/>
        <item x="250"/>
        <item x="150"/>
        <item x="519"/>
        <item x="592"/>
        <item x="367"/>
        <item x="55"/>
        <item x="408"/>
        <item x="274"/>
        <item x="172"/>
        <item x="101"/>
        <item x="387"/>
        <item x="533"/>
        <item x="564"/>
        <item x="424"/>
        <item x="51"/>
        <item x="191"/>
        <item x="406"/>
        <item x="116"/>
        <item x="395"/>
        <item x="423"/>
        <item x="71"/>
        <item x="4"/>
        <item x="597"/>
        <item x="429"/>
        <item x="420"/>
        <item x="282"/>
        <item x="328"/>
        <item x="385"/>
        <item x="110"/>
        <item x="223"/>
        <item x="131"/>
        <item x="19"/>
        <item x="401"/>
        <item x="283"/>
        <item x="32"/>
        <item x="338"/>
        <item x="565"/>
        <item x="313"/>
        <item x="270"/>
        <item x="590"/>
        <item x="215"/>
        <item x="185"/>
        <item x="204"/>
        <item x="95"/>
        <item x="403"/>
        <item x="166"/>
        <item x="139"/>
        <item x="67"/>
        <item x="471"/>
        <item x="508"/>
        <item x="216"/>
        <item x="114"/>
        <item x="246"/>
        <item x="596"/>
        <item x="88"/>
        <item x="327"/>
        <item x="248"/>
        <item x="134"/>
        <item x="272"/>
        <item x="426"/>
        <item x="82"/>
        <item x="397"/>
        <item x="120"/>
        <item x="624"/>
        <item x="417"/>
        <item x="614"/>
        <item x="188"/>
        <item x="350"/>
        <item x="548"/>
        <item x="296"/>
        <item x="50"/>
        <item x="251"/>
        <item x="371"/>
        <item x="431"/>
        <item x="498"/>
        <item x="54"/>
        <item x="203"/>
        <item x="455"/>
        <item x="129"/>
        <item x="62"/>
        <item x="232"/>
        <item x="177"/>
        <item x="304"/>
        <item x="446"/>
        <item x="279"/>
        <item x="297"/>
        <item x="182"/>
        <item x="362"/>
        <item x="388"/>
        <item x="560"/>
        <item x="571"/>
        <item x="521"/>
        <item x="546"/>
        <item x="309"/>
        <item x="194"/>
        <item x="164"/>
        <item x="66"/>
        <item x="452"/>
        <item x="7"/>
        <item x="174"/>
        <item x="555"/>
        <item x="445"/>
        <item x="579"/>
        <item x="190"/>
        <item x="167"/>
        <item x="382"/>
        <item x="257"/>
        <item x="210"/>
        <item x="187"/>
        <item x="78"/>
        <item x="609"/>
        <item x="543"/>
        <item x="5"/>
        <item x="271"/>
        <item x="539"/>
        <item x="430"/>
        <item x="183"/>
        <item x="493"/>
        <item x="253"/>
        <item x="87"/>
        <item x="117"/>
        <item x="530"/>
        <item x="162"/>
        <item x="497"/>
        <item x="317"/>
        <item x="394"/>
        <item x="265"/>
        <item x="159"/>
        <item x="39"/>
        <item x="495"/>
        <item x="310"/>
        <item x="494"/>
        <item x="589"/>
        <item x="379"/>
        <item x="40"/>
        <item x="222"/>
        <item x="225"/>
        <item x="301"/>
        <item x="97"/>
        <item x="340"/>
        <item x="72"/>
        <item x="478"/>
        <item x="89"/>
        <item x="44"/>
        <item x="46"/>
        <item x="143"/>
        <item x="256"/>
        <item x="622"/>
        <item x="437"/>
        <item x="561"/>
        <item x="247"/>
        <item x="482"/>
        <item x="576"/>
        <item x="113"/>
        <item x="20"/>
        <item x="398"/>
        <item x="197"/>
        <item x="375"/>
        <item x="574"/>
        <item x="505"/>
        <item x="306"/>
        <item x="573"/>
        <item x="381"/>
        <item x="356"/>
        <item x="316"/>
        <item x="128"/>
        <item x="516"/>
        <item x="111"/>
        <item x="547"/>
        <item x="320"/>
        <item x="619"/>
        <item x="621"/>
        <item x="79"/>
        <item x="321"/>
        <item x="542"/>
        <item x="47"/>
        <item x="461"/>
        <item x="611"/>
        <item x="378"/>
        <item x="275"/>
        <item x="193"/>
        <item x="610"/>
        <item x="465"/>
        <item x="202"/>
        <item x="599"/>
        <item x="502"/>
        <item x="119"/>
        <item x="107"/>
        <item x="534"/>
        <item x="412"/>
        <item x="83"/>
        <item x="549"/>
        <item x="214"/>
        <item x="377"/>
        <item x="154"/>
        <item x="31"/>
        <item x="432"/>
        <item x="501"/>
        <item x="280"/>
        <item x="122"/>
        <item x="618"/>
        <item x="155"/>
        <item x="537"/>
        <item x="613"/>
        <item x="352"/>
        <item x="330"/>
        <item x="261"/>
        <item x="566"/>
        <item x="528"/>
        <item x="343"/>
        <item x="1"/>
        <item x="28"/>
        <item x="434"/>
        <item x="286"/>
        <item x="53"/>
        <item x="419"/>
        <item x="16"/>
        <item x="281"/>
        <item x="346"/>
        <item x="212"/>
        <item x="342"/>
        <item x="27"/>
        <item x="559"/>
        <item x="511"/>
        <item x="201"/>
        <item x="370"/>
        <item x="326"/>
        <item x="106"/>
        <item x="447"/>
        <item x="237"/>
        <item x="481"/>
        <item x="230"/>
        <item x="421"/>
        <item x="132"/>
        <item x="529"/>
        <item x="267"/>
        <item x="425"/>
        <item x="199"/>
        <item x="391"/>
        <item x="90"/>
        <item x="240"/>
        <item x="285"/>
        <item x="262"/>
        <item x="333"/>
        <item x="411"/>
        <item x="439"/>
        <item x="127"/>
        <item x="569"/>
        <item x="2"/>
        <item x="582"/>
        <item x="148"/>
        <item x="64"/>
        <item x="625"/>
        <item x="244"/>
        <item x="30"/>
        <item x="374"/>
        <item x="196"/>
        <item x="302"/>
        <item x="583"/>
        <item x="360"/>
        <item x="161"/>
        <item x="451"/>
        <item x="427"/>
        <item x="405"/>
        <item x="484"/>
        <item x="552"/>
        <item x="315"/>
        <item x="329"/>
        <item x="487"/>
        <item x="454"/>
        <item x="284"/>
        <item x="277"/>
        <item x="26"/>
        <item x="365"/>
        <item x="93"/>
        <item x="10"/>
        <item x="243"/>
        <item x="224"/>
        <item x="604"/>
        <item x="180"/>
        <item x="577"/>
        <item x="335"/>
        <item x="491"/>
        <item x="121"/>
        <item x="373"/>
        <item x="136"/>
        <item x="140"/>
        <item x="531"/>
        <item x="61"/>
        <item x="99"/>
        <item x="418"/>
        <item x="410"/>
        <item x="504"/>
        <item x="235"/>
        <item x="433"/>
        <item x="105"/>
        <item x="499"/>
        <item x="627"/>
        <item x="158"/>
        <item x="319"/>
        <item x="472"/>
        <item x="585"/>
        <item x="195"/>
        <item x="500"/>
        <item x="334"/>
        <item x="231"/>
        <item x="389"/>
        <item x="473"/>
        <item x="264"/>
        <item x="485"/>
        <item x="48"/>
        <item x="525"/>
        <item x="536"/>
        <item x="409"/>
        <item x="514"/>
        <item x="524"/>
        <item x="438"/>
        <item x="227"/>
        <item x="312"/>
        <item x="448"/>
        <item x="554"/>
        <item x="428"/>
        <item x="45"/>
        <item x="523"/>
        <item x="218"/>
        <item x="252"/>
        <item x="307"/>
        <item x="211"/>
        <item x="41"/>
        <item x="467"/>
        <item x="363"/>
        <item x="368"/>
        <item x="173"/>
        <item x="479"/>
        <item x="163"/>
        <item x="25"/>
        <item x="147"/>
        <item x="142"/>
        <item x="34"/>
        <item x="527"/>
        <item x="594"/>
        <item x="133"/>
        <item x="441"/>
        <item x="341"/>
        <item x="608"/>
        <item x="137"/>
        <item x="192"/>
        <item x="239"/>
        <item x="601"/>
        <item x="175"/>
        <item x="612"/>
        <item x="336"/>
        <item x="242"/>
        <item x="605"/>
        <item x="399"/>
        <item x="217"/>
        <item x="615"/>
        <item x="486"/>
        <item x="416"/>
        <item x="380"/>
        <item x="207"/>
        <item x="600"/>
        <item x="149"/>
        <item x="6"/>
        <item x="422"/>
        <item x="115"/>
        <item x="91"/>
        <item x="300"/>
        <item x="38"/>
        <item x="557"/>
        <item x="358"/>
        <item x="268"/>
        <item x="15"/>
        <item x="460"/>
        <item x="198"/>
        <item x="228"/>
        <item x="469"/>
        <item x="152"/>
        <item x="37"/>
        <item x="349"/>
        <item x="234"/>
        <item x="295"/>
        <item x="443"/>
        <item x="3"/>
        <item x="178"/>
        <item x="151"/>
        <item x="12"/>
        <item x="200"/>
        <item x="372"/>
        <item x="273"/>
        <item x="290"/>
        <item x="384"/>
        <item x="94"/>
        <item x="607"/>
        <item x="0"/>
        <item x="404"/>
        <item x="468"/>
        <item x="355"/>
        <item x="442"/>
        <item x="545"/>
        <item x="80"/>
        <item x="42"/>
        <item x="598"/>
        <item x="595"/>
        <item x="353"/>
        <item x="413"/>
        <item x="629"/>
        <item t="default"/>
      </items>
    </pivotField>
    <pivotField showAll="0"/>
    <pivotField showAll="0"/>
    <pivotField showAll="0"/>
    <pivotField showAll="0"/>
    <pivotField showAll="0"/>
    <pivotField showAll="0"/>
    <pivotField dataField="1" showAll="0"/>
    <pivotField showAll="0"/>
    <pivotField showAll="0"/>
    <pivotField showAll="0"/>
  </pivotFields>
  <rowFields count="2">
    <field x="15"/>
    <field x="17"/>
  </rowFields>
  <rowItems count="9">
    <i>
      <x v="4"/>
    </i>
    <i>
      <x v="2"/>
    </i>
    <i>
      <x v="6"/>
    </i>
    <i>
      <x v="3"/>
    </i>
    <i>
      <x v="1"/>
    </i>
    <i>
      <x v="5"/>
    </i>
    <i>
      <x/>
    </i>
    <i>
      <x v="7"/>
    </i>
    <i t="grand">
      <x/>
    </i>
  </rowItems>
  <colItems count="1">
    <i/>
  </colItems>
  <dataFields count="1">
    <dataField name="Sum of 4866.3288" fld="24" showDataAs="percentOfTotal" baseField="15" baseItem="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495667-ED36-43E9-B639-A163F4E4856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1" firstHeaderRow="0" firstDataRow="1" firstDataCol="1"/>
  <pivotFields count="28">
    <pivotField dataField="1" showAll="0">
      <items count="632">
        <item x="604"/>
        <item x="448"/>
        <item x="6"/>
        <item x="517"/>
        <item x="572"/>
        <item x="45"/>
        <item x="366"/>
        <item x="200"/>
        <item x="550"/>
        <item x="323"/>
        <item x="437"/>
        <item x="165"/>
        <item x="79"/>
        <item x="360"/>
        <item x="327"/>
        <item x="299"/>
        <item x="452"/>
        <item x="576"/>
        <item x="192"/>
        <item x="121"/>
        <item x="331"/>
        <item x="438"/>
        <item x="456"/>
        <item x="147"/>
        <item x="223"/>
        <item x="189"/>
        <item x="346"/>
        <item x="277"/>
        <item x="349"/>
        <item x="534"/>
        <item x="53"/>
        <item x="64"/>
        <item x="162"/>
        <item x="469"/>
        <item x="579"/>
        <item x="624"/>
        <item x="105"/>
        <item x="268"/>
        <item x="255"/>
        <item x="88"/>
        <item x="338"/>
        <item x="23"/>
        <item x="219"/>
        <item x="280"/>
        <item x="249"/>
        <item x="375"/>
        <item x="539"/>
        <item x="171"/>
        <item x="224"/>
        <item x="77"/>
        <item x="48"/>
        <item x="602"/>
        <item x="225"/>
        <item x="167"/>
        <item x="44"/>
        <item x="143"/>
        <item x="182"/>
        <item x="573"/>
        <item x="80"/>
        <item x="511"/>
        <item x="561"/>
        <item x="314"/>
        <item x="390"/>
        <item x="287"/>
        <item x="271"/>
        <item x="1"/>
        <item x="91"/>
        <item x="291"/>
        <item x="433"/>
        <item x="584"/>
        <item x="198"/>
        <item x="73"/>
        <item x="362"/>
        <item x="203"/>
        <item x="184"/>
        <item x="496"/>
        <item x="51"/>
        <item x="98"/>
        <item x="117"/>
        <item x="131"/>
        <item x="214"/>
        <item x="494"/>
        <item x="170"/>
        <item x="612"/>
        <item x="542"/>
        <item x="628"/>
        <item x="519"/>
        <item x="546"/>
        <item x="254"/>
        <item x="350"/>
        <item x="63"/>
        <item x="545"/>
        <item x="150"/>
        <item x="222"/>
        <item x="614"/>
        <item x="238"/>
        <item x="259"/>
        <item x="128"/>
        <item x="531"/>
        <item x="325"/>
        <item x="458"/>
        <item x="370"/>
        <item x="65"/>
        <item x="625"/>
        <item x="603"/>
        <item x="623"/>
        <item x="30"/>
        <item x="514"/>
        <item x="476"/>
        <item x="343"/>
        <item x="498"/>
        <item x="196"/>
        <item x="120"/>
        <item x="444"/>
        <item x="454"/>
        <item x="201"/>
        <item x="473"/>
        <item x="300"/>
        <item x="381"/>
        <item x="151"/>
        <item x="484"/>
        <item x="295"/>
        <item x="123"/>
        <item x="228"/>
        <item x="477"/>
        <item x="283"/>
        <item x="136"/>
        <item x="215"/>
        <item x="386"/>
        <item x="590"/>
        <item x="315"/>
        <item x="536"/>
        <item x="418"/>
        <item x="260"/>
        <item x="265"/>
        <item x="258"/>
        <item x="527"/>
        <item x="38"/>
        <item x="212"/>
        <item x="430"/>
        <item x="336"/>
        <item x="175"/>
        <item x="608"/>
        <item x="290"/>
        <item x="407"/>
        <item x="383"/>
        <item x="595"/>
        <item x="525"/>
        <item x="197"/>
        <item x="459"/>
        <item x="220"/>
        <item x="575"/>
        <item x="278"/>
        <item x="74"/>
        <item x="4"/>
        <item x="588"/>
        <item x="465"/>
        <item x="411"/>
        <item x="348"/>
        <item x="500"/>
        <item x="242"/>
        <item x="67"/>
        <item x="435"/>
        <item x="618"/>
        <item x="339"/>
        <item x="443"/>
        <item x="449"/>
        <item x="475"/>
        <item x="436"/>
        <item x="68"/>
        <item x="538"/>
        <item x="368"/>
        <item x="3"/>
        <item x="337"/>
        <item x="144"/>
        <item x="186"/>
        <item x="317"/>
        <item x="387"/>
        <item x="84"/>
        <item x="153"/>
        <item x="440"/>
        <item x="159"/>
        <item x="403"/>
        <item x="369"/>
        <item x="580"/>
        <item x="34"/>
        <item x="506"/>
        <item x="482"/>
        <item x="134"/>
        <item x="20"/>
        <item x="569"/>
        <item x="94"/>
        <item x="114"/>
        <item x="455"/>
        <item x="124"/>
        <item x="307"/>
        <item x="164"/>
        <item x="622"/>
        <item x="257"/>
        <item x="320"/>
        <item x="310"/>
        <item x="27"/>
        <item x="345"/>
        <item x="139"/>
        <item x="141"/>
        <item x="508"/>
        <item x="204"/>
        <item x="626"/>
        <item x="191"/>
        <item x="392"/>
        <item x="468"/>
        <item x="410"/>
        <item x="14"/>
        <item x="330"/>
        <item x="232"/>
        <item x="227"/>
        <item x="554"/>
        <item x="541"/>
        <item x="627"/>
        <item x="236"/>
        <item x="266"/>
        <item x="537"/>
        <item x="113"/>
        <item x="413"/>
        <item x="177"/>
        <item x="395"/>
        <item x="478"/>
        <item x="335"/>
        <item x="163"/>
        <item x="154"/>
        <item x="548"/>
        <item x="324"/>
        <item x="104"/>
        <item x="133"/>
        <item x="308"/>
        <item x="108"/>
        <item x="33"/>
        <item x="400"/>
        <item x="29"/>
        <item x="78"/>
        <item x="213"/>
        <item x="152"/>
        <item x="457"/>
        <item x="547"/>
        <item x="15"/>
        <item x="321"/>
        <item x="522"/>
        <item x="296"/>
        <item x="563"/>
        <item x="479"/>
        <item x="9"/>
        <item x="146"/>
        <item x="190"/>
        <item x="24"/>
        <item x="161"/>
        <item x="250"/>
        <item x="110"/>
        <item x="352"/>
        <item x="138"/>
        <item x="180"/>
        <item x="585"/>
        <item x="488"/>
        <item x="62"/>
        <item x="559"/>
        <item x="391"/>
        <item x="453"/>
        <item x="50"/>
        <item x="606"/>
        <item x="286"/>
        <item x="233"/>
        <item x="106"/>
        <item x="69"/>
        <item x="56"/>
        <item x="40"/>
        <item x="251"/>
        <item x="389"/>
        <item x="503"/>
        <item x="246"/>
        <item x="166"/>
        <item x="560"/>
        <item x="609"/>
        <item x="333"/>
        <item x="340"/>
        <item x="5"/>
        <item x="611"/>
        <item x="361"/>
        <item x="66"/>
        <item x="252"/>
        <item x="535"/>
        <item x="571"/>
        <item x="460"/>
        <item x="160"/>
        <item x="0"/>
        <item x="523"/>
        <item x="282"/>
        <item x="485"/>
        <item x="409"/>
        <item x="428"/>
        <item x="483"/>
        <item x="142"/>
        <item x="43"/>
        <item x="404"/>
        <item x="382"/>
        <item x="516"/>
        <item x="309"/>
        <item x="544"/>
        <item x="230"/>
        <item x="312"/>
        <item x="493"/>
        <item x="567"/>
        <item x="148"/>
        <item x="593"/>
        <item x="193"/>
        <item x="439"/>
        <item x="75"/>
        <item x="76"/>
        <item x="412"/>
        <item x="49"/>
        <item x="520"/>
        <item x="422"/>
        <item x="116"/>
        <item x="102"/>
        <item x="577"/>
        <item x="273"/>
        <item x="22"/>
        <item x="264"/>
        <item x="322"/>
        <item x="187"/>
        <item x="463"/>
        <item x="442"/>
        <item x="355"/>
        <item x="423"/>
        <item x="491"/>
        <item x="385"/>
        <item x="528"/>
        <item x="553"/>
        <item x="408"/>
        <item x="244"/>
        <item x="46"/>
        <item x="599"/>
        <item x="156"/>
        <item x="557"/>
        <item x="447"/>
        <item x="499"/>
        <item x="231"/>
        <item x="334"/>
        <item x="586"/>
        <item x="492"/>
        <item x="276"/>
        <item x="432"/>
        <item x="125"/>
        <item x="597"/>
        <item x="122"/>
        <item x="7"/>
        <item x="581"/>
        <item x="85"/>
        <item x="37"/>
        <item x="87"/>
        <item x="127"/>
        <item x="169"/>
        <item x="399"/>
        <item x="540"/>
        <item x="32"/>
        <item x="39"/>
        <item x="96"/>
        <item x="183"/>
        <item x="474"/>
        <item x="341"/>
        <item x="471"/>
        <item x="429"/>
        <item x="414"/>
        <item x="248"/>
        <item x="194"/>
        <item x="401"/>
        <item x="208"/>
        <item x="556"/>
        <item x="206"/>
        <item x="582"/>
        <item x="372"/>
        <item x="35"/>
        <item x="358"/>
        <item x="526"/>
        <item x="319"/>
        <item x="216"/>
        <item x="495"/>
        <item x="505"/>
        <item x="610"/>
        <item x="441"/>
        <item x="270"/>
        <item x="417"/>
        <item x="617"/>
        <item x="188"/>
        <item x="155"/>
        <item x="566"/>
        <item x="103"/>
        <item x="507"/>
        <item x="217"/>
        <item x="137"/>
        <item x="464"/>
        <item x="25"/>
        <item x="294"/>
        <item x="489"/>
        <item x="107"/>
        <item x="19"/>
        <item x="72"/>
        <item x="234"/>
        <item x="426"/>
        <item x="620"/>
        <item x="364"/>
        <item x="318"/>
        <item x="521"/>
        <item x="272"/>
        <item x="135"/>
        <item x="431"/>
        <item x="607"/>
        <item x="100"/>
        <item x="450"/>
        <item x="243"/>
        <item x="26"/>
        <item x="253"/>
        <item x="285"/>
        <item x="241"/>
        <item x="373"/>
        <item x="558"/>
        <item x="302"/>
        <item x="267"/>
        <item x="446"/>
        <item x="12"/>
        <item x="357"/>
        <item x="518"/>
        <item x="342"/>
        <item x="237"/>
        <item x="344"/>
        <item x="140"/>
        <item x="59"/>
        <item x="598"/>
        <item x="109"/>
        <item x="351"/>
        <item x="111"/>
        <item x="353"/>
        <item x="311"/>
        <item x="615"/>
        <item x="71"/>
        <item x="168"/>
        <item x="591"/>
        <item x="274"/>
        <item x="176"/>
        <item x="509"/>
        <item x="356"/>
        <item x="510"/>
        <item x="47"/>
        <item x="195"/>
        <item x="173"/>
        <item x="434"/>
        <item x="397"/>
        <item x="486"/>
        <item x="564"/>
        <item x="210"/>
        <item x="425"/>
        <item x="92"/>
        <item x="41"/>
        <item x="199"/>
        <item x="81"/>
        <item x="363"/>
        <item x="235"/>
        <item x="512"/>
        <item x="303"/>
        <item x="205"/>
        <item x="533"/>
        <item x="616"/>
        <item x="578"/>
        <item x="2"/>
        <item x="568"/>
        <item x="570"/>
        <item x="119"/>
        <item x="256"/>
        <item x="374"/>
        <item x="600"/>
        <item x="298"/>
        <item x="378"/>
        <item x="416"/>
        <item x="313"/>
        <item x="16"/>
        <item x="145"/>
        <item x="149"/>
        <item x="583"/>
        <item x="247"/>
        <item x="481"/>
        <item x="487"/>
        <item x="605"/>
        <item x="95"/>
        <item x="371"/>
        <item x="419"/>
        <item x="301"/>
        <item x="587"/>
        <item x="574"/>
        <item x="226"/>
        <item x="461"/>
        <item x="367"/>
        <item x="532"/>
        <item x="332"/>
        <item x="99"/>
        <item x="83"/>
        <item x="501"/>
        <item x="552"/>
        <item x="551"/>
        <item x="132"/>
        <item x="305"/>
        <item x="293"/>
        <item x="415"/>
        <item x="306"/>
        <item x="480"/>
        <item x="451"/>
        <item x="158"/>
        <item x="549"/>
        <item x="262"/>
        <item x="524"/>
        <item x="445"/>
        <item x="504"/>
        <item x="31"/>
        <item x="347"/>
        <item x="269"/>
        <item x="388"/>
        <item x="393"/>
        <item x="292"/>
        <item x="11"/>
        <item x="82"/>
        <item x="462"/>
        <item x="130"/>
        <item x="239"/>
        <item x="406"/>
        <item x="10"/>
        <item x="61"/>
        <item x="90"/>
        <item x="613"/>
        <item x="126"/>
        <item x="284"/>
        <item x="97"/>
        <item x="185"/>
        <item x="28"/>
        <item x="211"/>
        <item x="52"/>
        <item x="21"/>
        <item x="209"/>
        <item x="396"/>
        <item x="359"/>
        <item x="398"/>
        <item x="365"/>
        <item x="89"/>
        <item x="207"/>
        <item x="513"/>
        <item x="376"/>
        <item x="57"/>
        <item x="70"/>
        <item x="240"/>
        <item x="112"/>
        <item x="621"/>
        <item x="129"/>
        <item x="420"/>
        <item x="178"/>
        <item x="328"/>
        <item x="562"/>
        <item x="101"/>
        <item x="179"/>
        <item x="427"/>
        <item x="394"/>
        <item x="275"/>
        <item x="221"/>
        <item x="502"/>
        <item x="472"/>
        <item x="596"/>
        <item x="279"/>
        <item x="115"/>
        <item x="172"/>
        <item x="490"/>
        <item x="594"/>
        <item x="36"/>
        <item x="93"/>
        <item x="629"/>
        <item x="329"/>
        <item x="18"/>
        <item x="601"/>
        <item x="289"/>
        <item x="229"/>
        <item x="218"/>
        <item x="58"/>
        <item x="54"/>
        <item x="157"/>
        <item x="530"/>
        <item x="326"/>
        <item x="60"/>
        <item x="470"/>
        <item x="380"/>
        <item x="466"/>
        <item x="424"/>
        <item x="42"/>
        <item x="379"/>
        <item x="497"/>
        <item x="515"/>
        <item x="421"/>
        <item x="13"/>
        <item x="17"/>
        <item x="174"/>
        <item x="592"/>
        <item x="316"/>
        <item x="86"/>
        <item x="384"/>
        <item x="555"/>
        <item x="405"/>
        <item x="263"/>
        <item x="181"/>
        <item x="619"/>
        <item x="261"/>
        <item x="402"/>
        <item x="377"/>
        <item x="288"/>
        <item x="529"/>
        <item x="565"/>
        <item x="55"/>
        <item x="297"/>
        <item x="304"/>
        <item x="245"/>
        <item x="467"/>
        <item x="354"/>
        <item x="118"/>
        <item x="543"/>
        <item x="202"/>
        <item x="281"/>
        <item x="589"/>
        <item x="8"/>
        <item x="6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7"/>
        <item x="4"/>
        <item x="11"/>
        <item x="14"/>
        <item x="5"/>
        <item x="8"/>
        <item x="2"/>
        <item x="9"/>
        <item x="1"/>
        <item x="0"/>
        <item x="10"/>
        <item x="3"/>
        <item x="12"/>
        <item x="13"/>
        <item x="15"/>
        <item x="6"/>
        <item x="1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633">
        <item x="0"/>
        <item x="384"/>
        <item x="625"/>
        <item x="264"/>
        <item x="10"/>
        <item x="559"/>
        <item x="57"/>
        <item x="131"/>
        <item x="133"/>
        <item x="422"/>
        <item x="288"/>
        <item x="496"/>
        <item x="1"/>
        <item x="500"/>
        <item x="186"/>
        <item x="64"/>
        <item x="124"/>
        <item x="191"/>
        <item x="406"/>
        <item x="149"/>
        <item x="243"/>
        <item x="258"/>
        <item x="72"/>
        <item x="71"/>
        <item x="387"/>
        <item x="589"/>
        <item x="228"/>
        <item x="415"/>
        <item x="151"/>
        <item x="476"/>
        <item x="491"/>
        <item x="97"/>
        <item x="360"/>
        <item x="195"/>
        <item x="51"/>
        <item x="362"/>
        <item x="621"/>
        <item x="403"/>
        <item x="600"/>
        <item x="604"/>
        <item x="104"/>
        <item x="396"/>
        <item x="13"/>
        <item x="145"/>
        <item x="130"/>
        <item x="383"/>
        <item x="539"/>
        <item x="337"/>
        <item x="192"/>
        <item x="320"/>
        <item x="65"/>
        <item x="431"/>
        <item x="26"/>
        <item x="448"/>
        <item x="426"/>
        <item x="542"/>
        <item x="166"/>
        <item x="223"/>
        <item x="54"/>
        <item x="302"/>
        <item x="372"/>
        <item x="456"/>
        <item x="165"/>
        <item x="80"/>
        <item x="121"/>
        <item x="113"/>
        <item x="100"/>
        <item x="93"/>
        <item x="407"/>
        <item x="592"/>
        <item x="115"/>
        <item x="2"/>
        <item x="251"/>
        <item x="267"/>
        <item x="433"/>
        <item x="410"/>
        <item x="322"/>
        <item x="298"/>
        <item x="332"/>
        <item x="237"/>
        <item x="200"/>
        <item x="35"/>
        <item x="67"/>
        <item x="136"/>
        <item x="389"/>
        <item x="229"/>
        <item x="176"/>
        <item x="178"/>
        <item x="73"/>
        <item x="86"/>
        <item x="52"/>
        <item x="518"/>
        <item x="126"/>
        <item x="630"/>
        <item x="122"/>
        <item x="573"/>
        <item x="138"/>
        <item x="53"/>
        <item x="475"/>
        <item x="199"/>
        <item x="108"/>
        <item x="297"/>
        <item x="285"/>
        <item x="111"/>
        <item x="211"/>
        <item x="608"/>
        <item x="179"/>
        <item x="262"/>
        <item x="531"/>
        <item x="95"/>
        <item x="50"/>
        <item x="105"/>
        <item x="34"/>
        <item x="171"/>
        <item x="530"/>
        <item x="492"/>
        <item x="310"/>
        <item x="560"/>
        <item x="574"/>
        <item x="284"/>
        <item x="84"/>
        <item x="274"/>
        <item x="281"/>
        <item x="215"/>
        <item x="484"/>
        <item x="242"/>
        <item x="6"/>
        <item x="82"/>
        <item x="585"/>
        <item x="88"/>
        <item x="220"/>
        <item x="118"/>
        <item x="388"/>
        <item x="357"/>
        <item x="601"/>
        <item x="460"/>
        <item x="525"/>
        <item x="246"/>
        <item x="417"/>
        <item x="619"/>
        <item x="14"/>
        <item x="290"/>
        <item x="256"/>
        <item x="58"/>
        <item x="197"/>
        <item x="544"/>
        <item x="461"/>
        <item x="247"/>
        <item x="571"/>
        <item x="459"/>
        <item x="462"/>
        <item x="340"/>
        <item x="210"/>
        <item x="268"/>
        <item x="516"/>
        <item x="368"/>
        <item x="173"/>
        <item x="509"/>
        <item x="85"/>
        <item x="5"/>
        <item x="579"/>
        <item x="112"/>
        <item x="605"/>
        <item x="353"/>
        <item x="226"/>
        <item x="25"/>
        <item x="306"/>
        <item x="168"/>
        <item x="489"/>
        <item x="154"/>
        <item x="401"/>
        <item x="123"/>
        <item x="189"/>
        <item x="581"/>
        <item x="411"/>
        <item x="438"/>
        <item x="446"/>
        <item x="463"/>
        <item x="382"/>
        <item x="607"/>
        <item x="38"/>
        <item x="349"/>
        <item x="611"/>
        <item x="487"/>
        <item x="510"/>
        <item x="529"/>
        <item x="296"/>
        <item x="107"/>
        <item x="313"/>
        <item x="317"/>
        <item x="550"/>
        <item x="231"/>
        <item x="193"/>
        <item x="444"/>
        <item x="304"/>
        <item x="161"/>
        <item x="617"/>
        <item x="15"/>
        <item x="3"/>
        <item x="216"/>
        <item x="519"/>
        <item x="316"/>
        <item x="346"/>
        <item x="392"/>
        <item x="132"/>
        <item x="188"/>
        <item x="238"/>
        <item x="74"/>
        <item x="535"/>
        <item x="326"/>
        <item x="325"/>
        <item x="416"/>
        <item x="512"/>
        <item x="233"/>
        <item x="620"/>
        <item x="369"/>
        <item x="9"/>
        <item x="339"/>
        <item x="363"/>
        <item x="380"/>
        <item x="503"/>
        <item x="127"/>
        <item x="135"/>
        <item x="570"/>
        <item x="583"/>
        <item x="185"/>
        <item x="400"/>
        <item x="465"/>
        <item x="482"/>
        <item x="234"/>
        <item x="597"/>
        <item x="329"/>
        <item x="239"/>
        <item x="563"/>
        <item x="390"/>
        <item x="29"/>
        <item x="167"/>
        <item x="214"/>
        <item x="244"/>
        <item x="269"/>
        <item x="217"/>
        <item x="609"/>
        <item x="577"/>
        <item x="565"/>
        <item x="78"/>
        <item x="295"/>
        <item x="350"/>
        <item x="342"/>
        <item x="184"/>
        <item x="409"/>
        <item x="160"/>
        <item x="575"/>
        <item x="205"/>
        <item x="596"/>
        <item x="507"/>
        <item x="11"/>
        <item x="245"/>
        <item x="343"/>
        <item x="569"/>
        <item x="169"/>
        <item x="590"/>
        <item x="293"/>
        <item x="598"/>
        <item x="257"/>
        <item x="379"/>
        <item x="553"/>
        <item x="270"/>
        <item x="307"/>
        <item x="4"/>
        <item x="418"/>
        <item x="578"/>
        <item x="324"/>
        <item x="485"/>
        <item x="394"/>
        <item x="56"/>
        <item x="622"/>
        <item x="27"/>
        <item x="399"/>
        <item x="221"/>
        <item x="207"/>
        <item x="248"/>
        <item x="564"/>
        <item x="232"/>
        <item x="545"/>
        <item x="523"/>
        <item x="494"/>
        <item x="153"/>
        <item x="240"/>
        <item x="261"/>
        <item x="480"/>
        <item x="117"/>
        <item x="327"/>
        <item x="398"/>
        <item x="333"/>
        <item x="69"/>
        <item x="595"/>
        <item x="427"/>
        <item x="548"/>
        <item x="614"/>
        <item x="364"/>
        <item x="83"/>
        <item x="626"/>
        <item x="142"/>
        <item x="603"/>
        <item x="24"/>
        <item x="315"/>
        <item x="440"/>
        <item x="526"/>
        <item x="402"/>
        <item x="45"/>
        <item x="102"/>
        <item x="420"/>
        <item x="435"/>
        <item x="81"/>
        <item x="331"/>
        <item x="183"/>
        <item x="502"/>
        <item x="276"/>
        <item x="493"/>
        <item x="230"/>
        <item x="43"/>
        <item x="141"/>
        <item x="442"/>
        <item x="436"/>
        <item x="376"/>
        <item x="524"/>
        <item x="303"/>
        <item x="182"/>
        <item x="213"/>
        <item x="70"/>
        <item x="330"/>
        <item x="49"/>
        <item x="283"/>
        <item x="517"/>
        <item x="77"/>
        <item x="472"/>
        <item x="40"/>
        <item x="405"/>
        <item x="386"/>
        <item x="89"/>
        <item x="419"/>
        <item x="370"/>
        <item x="150"/>
        <item x="377"/>
        <item x="580"/>
        <item x="437"/>
        <item x="253"/>
        <item x="21"/>
        <item x="490"/>
        <item x="140"/>
        <item x="37"/>
        <item x="91"/>
        <item x="425"/>
        <item x="488"/>
        <item x="146"/>
        <item x="508"/>
        <item x="31"/>
        <item x="385"/>
        <item x="514"/>
        <item x="314"/>
        <item x="181"/>
        <item x="98"/>
        <item x="177"/>
        <item x="155"/>
        <item x="457"/>
        <item x="300"/>
        <item x="434"/>
        <item x="196"/>
        <item x="552"/>
        <item x="557"/>
        <item x="278"/>
        <item x="311"/>
        <item x="282"/>
        <item x="593"/>
        <item x="308"/>
        <item x="292"/>
        <item x="190"/>
        <item x="61"/>
        <item x="478"/>
        <item x="452"/>
        <item x="129"/>
        <item x="466"/>
        <item x="511"/>
        <item x="227"/>
        <item x="562"/>
        <item x="163"/>
        <item x="68"/>
        <item x="497"/>
        <item x="515"/>
        <item x="170"/>
        <item x="445"/>
        <item x="374"/>
        <item x="235"/>
        <item x="483"/>
        <item x="572"/>
        <item x="468"/>
        <item x="194"/>
        <item x="546"/>
        <item x="532"/>
        <item x="469"/>
        <item x="280"/>
        <item x="103"/>
        <item x="521"/>
        <item x="42"/>
        <item x="273"/>
        <item x="558"/>
        <item x="586"/>
        <item x="147"/>
        <item x="501"/>
        <item x="157"/>
        <item x="66"/>
        <item x="404"/>
        <item x="454"/>
        <item x="381"/>
        <item x="249"/>
        <item x="48"/>
        <item x="208"/>
        <item x="449"/>
        <item x="255"/>
        <item x="162"/>
        <item x="588"/>
        <item x="250"/>
        <item x="271"/>
        <item x="36"/>
        <item x="551"/>
        <item x="87"/>
        <item x="615"/>
        <item x="432"/>
        <item x="358"/>
        <item x="344"/>
        <item x="30"/>
        <item x="618"/>
        <item x="547"/>
        <item x="629"/>
        <item x="90"/>
        <item x="348"/>
        <item x="576"/>
        <item x="429"/>
        <item x="63"/>
        <item x="534"/>
        <item x="144"/>
        <item x="263"/>
        <item x="397"/>
        <item x="318"/>
        <item x="408"/>
        <item x="32"/>
        <item x="7"/>
        <item x="219"/>
        <item x="159"/>
        <item x="424"/>
        <item x="241"/>
        <item x="613"/>
        <item x="175"/>
        <item x="334"/>
        <item x="506"/>
        <item x="291"/>
        <item x="367"/>
        <item x="266"/>
        <item x="279"/>
        <item x="584"/>
        <item x="471"/>
        <item x="101"/>
        <item x="260"/>
        <item x="543"/>
        <item x="467"/>
        <item x="412"/>
        <item x="455"/>
        <item x="458"/>
        <item x="272"/>
        <item x="498"/>
        <item x="610"/>
        <item x="594"/>
        <item x="209"/>
        <item x="305"/>
        <item x="473"/>
        <item x="351"/>
        <item x="522"/>
        <item x="391"/>
        <item x="128"/>
        <item x="505"/>
        <item x="338"/>
        <item x="541"/>
        <item x="137"/>
        <item x="299"/>
        <item x="365"/>
        <item x="20"/>
        <item x="44"/>
        <item x="187"/>
        <item x="354"/>
        <item x="414"/>
        <item x="393"/>
        <item x="259"/>
        <item x="143"/>
        <item x="28"/>
        <item x="289"/>
        <item x="62"/>
        <item x="616"/>
        <item x="499"/>
        <item x="439"/>
        <item x="443"/>
        <item x="201"/>
        <item x="110"/>
        <item x="106"/>
        <item x="22"/>
        <item x="60"/>
        <item x="366"/>
        <item x="352"/>
        <item x="59"/>
        <item x="561"/>
        <item x="286"/>
        <item x="92"/>
        <item x="156"/>
        <item x="224"/>
        <item x="540"/>
        <item x="450"/>
        <item x="294"/>
        <item x="453"/>
        <item x="41"/>
        <item x="341"/>
        <item x="212"/>
        <item x="537"/>
        <item x="120"/>
        <item x="527"/>
        <item x="202"/>
        <item x="301"/>
        <item x="582"/>
        <item x="12"/>
        <item x="474"/>
        <item x="96"/>
        <item x="158"/>
        <item x="347"/>
        <item x="359"/>
        <item x="218"/>
        <item x="287"/>
        <item x="567"/>
        <item x="319"/>
        <item x="172"/>
        <item x="328"/>
        <item x="252"/>
        <item x="114"/>
        <item x="109"/>
        <item x="451"/>
        <item x="225"/>
        <item x="204"/>
        <item x="373"/>
        <item x="134"/>
        <item x="19"/>
        <item x="203"/>
        <item x="39"/>
        <item x="23"/>
        <item x="486"/>
        <item x="624"/>
        <item x="309"/>
        <item x="335"/>
        <item x="254"/>
        <item x="76"/>
        <item x="549"/>
        <item x="33"/>
        <item x="627"/>
        <item x="152"/>
        <item x="277"/>
        <item x="323"/>
        <item x="206"/>
        <item x="47"/>
        <item x="495"/>
        <item x="599"/>
        <item x="336"/>
        <item x="371"/>
        <item x="16"/>
        <item x="606"/>
        <item x="441"/>
        <item x="375"/>
        <item x="481"/>
        <item x="55"/>
        <item x="566"/>
        <item x="75"/>
        <item x="504"/>
        <item x="568"/>
        <item x="356"/>
        <item x="513"/>
        <item x="312"/>
        <item x="413"/>
        <item x="265"/>
        <item x="447"/>
        <item x="554"/>
        <item x="378"/>
        <item x="470"/>
        <item x="428"/>
        <item x="180"/>
        <item x="17"/>
        <item x="148"/>
        <item x="533"/>
        <item x="528"/>
        <item x="8"/>
        <item x="18"/>
        <item x="477"/>
        <item x="602"/>
        <item x="555"/>
        <item x="479"/>
        <item x="119"/>
        <item x="628"/>
        <item x="321"/>
        <item x="355"/>
        <item x="423"/>
        <item x="198"/>
        <item x="139"/>
        <item x="623"/>
        <item x="79"/>
        <item x="94"/>
        <item x="536"/>
        <item x="125"/>
        <item x="591"/>
        <item x="275"/>
        <item x="556"/>
        <item x="395"/>
        <item x="538"/>
        <item x="464"/>
        <item x="164"/>
        <item x="99"/>
        <item x="430"/>
        <item x="116"/>
        <item x="587"/>
        <item x="520"/>
        <item x="345"/>
        <item x="222"/>
        <item x="174"/>
        <item x="361"/>
        <item x="421"/>
        <item x="612"/>
        <item x="236"/>
        <item x="46"/>
        <item x="631"/>
        <item t="default"/>
      </items>
    </pivotField>
    <pivotField showAll="0"/>
  </pivotFields>
  <rowFields count="1">
    <field x="14"/>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2353.1688" fld="26" baseField="0" baseItem="0"/>
    <dataField name="Count of ORD-2024-27520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FF73F1-4A00-4F19-B156-C917AA5CF10E}" name="PivotTable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1" firstDataRow="4" firstDataCol="0"/>
  <pivotFields count="29">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axis="axisCol" showAll="0">
      <items count="6">
        <item sd="0" x="0"/>
        <item sd="0" x="2"/>
        <item sd="0" x="1"/>
        <item sd="0" x="3"/>
        <item h="1" sd="0" x="4"/>
        <item t="default"/>
      </items>
    </pivotField>
    <pivotField axis="axisCol" showAll="0">
      <items count="14">
        <item x="5"/>
        <item x="3"/>
        <item x="9"/>
        <item x="7"/>
        <item x="6"/>
        <item x="4"/>
        <item x="2"/>
        <item x="0"/>
        <item x="1"/>
        <item x="11"/>
        <item x="8"/>
        <item x="10"/>
        <item x="12"/>
        <item t="default"/>
      </items>
    </pivotField>
    <pivotField axis="axisCol" showAll="0">
      <items count="42">
        <item x="7"/>
        <item x="36"/>
        <item x="38"/>
        <item x="6"/>
        <item x="9"/>
        <item x="12"/>
        <item x="10"/>
        <item x="33"/>
        <item x="15"/>
        <item x="18"/>
        <item x="25"/>
        <item x="37"/>
        <item x="34"/>
        <item x="20"/>
        <item x="0"/>
        <item x="3"/>
        <item x="21"/>
        <item x="17"/>
        <item x="31"/>
        <item x="11"/>
        <item x="13"/>
        <item x="19"/>
        <item x="29"/>
        <item x="22"/>
        <item x="32"/>
        <item x="2"/>
        <item x="16"/>
        <item x="39"/>
        <item x="35"/>
        <item x="4"/>
        <item x="28"/>
        <item x="1"/>
        <item x="30"/>
        <item x="24"/>
        <item x="8"/>
        <item x="23"/>
        <item x="14"/>
        <item x="27"/>
        <item x="5"/>
        <item x="26"/>
        <item x="40"/>
        <item t="default"/>
      </items>
    </pivotField>
    <pivotField showAll="0"/>
    <pivotField showAll="0">
      <items count="8">
        <item x="4"/>
        <item x="3"/>
        <item x="2"/>
        <item x="5"/>
        <item x="1"/>
        <item x="0"/>
        <item x="6"/>
        <item t="default"/>
      </items>
    </pivotField>
    <pivotField showAll="0">
      <items count="18">
        <item x="8"/>
        <item x="5"/>
        <item x="0"/>
        <item x="14"/>
        <item x="6"/>
        <item x="9"/>
        <item x="3"/>
        <item x="10"/>
        <item x="2"/>
        <item x="1"/>
        <item x="11"/>
        <item x="4"/>
        <item x="12"/>
        <item x="13"/>
        <item x="15"/>
        <item x="7"/>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3">
    <field x="9"/>
    <field x="10"/>
    <field x="11"/>
  </colFields>
  <colItems count="5">
    <i>
      <x/>
    </i>
    <i>
      <x v="1"/>
    </i>
    <i>
      <x v="2"/>
    </i>
    <i>
      <x v="3"/>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revenue" xr10:uid="{28087E87-77C8-463B-AA14-8D787FBA7428}" sourceName="Gross revenue">
  <pivotTables>
    <pivotTable tabId="13" name="PivotTable1"/>
  </pivotTables>
  <data>
    <tabular pivotCacheId="885501701">
      <items count="633">
        <i x="180" s="1"/>
        <i x="112" s="1"/>
        <i x="298" s="1"/>
        <i x="286" s="1"/>
        <i x="172" s="1"/>
        <i x="493" s="1"/>
        <i x="96" s="1"/>
        <i x="54" s="1"/>
        <i x="631" s="1"/>
        <i x="177" s="1"/>
        <i x="586" s="1"/>
        <i x="389" s="1"/>
        <i x="575" s="1"/>
        <i x="106" s="1"/>
        <i x="83" s="1"/>
        <i x="532" s="1"/>
        <i x="109" s="1"/>
        <i x="263" s="1"/>
        <i x="119" s="1"/>
        <i x="51" s="1"/>
        <i x="247" s="1"/>
        <i x="531" s="1"/>
        <i x="89" s="1"/>
        <i x="230" s="1"/>
        <i x="282" s="1"/>
        <i x="7" s="1"/>
        <i x="323" s="1"/>
        <i x="418" s="1"/>
        <i x="243" s="1"/>
        <i x="116" s="1"/>
        <i x="572" s="1"/>
        <i x="127" s="1"/>
        <i x="519" s="1"/>
        <i x="311" s="1"/>
        <i x="221" s="1"/>
        <i x="461" s="1"/>
        <i x="476" s="1"/>
        <i x="517" s="1"/>
        <i x="620" s="1"/>
        <i x="602" s="1"/>
        <i x="291" s="1"/>
        <i x="341" s="1"/>
        <i x="354" s="1"/>
        <i x="139" s="1"/>
        <i x="114" s="1"/>
        <i x="490" s="1"/>
        <i x="305" s="1"/>
        <i x="87" s="1"/>
        <i x="108" s="1"/>
        <i x="460" s="1"/>
        <i x="26" s="1"/>
        <i x="211" s="1"/>
        <i x="582" s="1"/>
        <i x="464" s="1"/>
        <i x="551" s="1"/>
        <i x="463" s="1"/>
        <i x="445" s="1"/>
        <i x="434" s="1"/>
        <i x="174" s="1"/>
        <i x="412" s="1"/>
        <i x="124" s="1"/>
        <i x="609" s="1"/>
        <i x="113" s="1"/>
        <i x="526" s="1"/>
        <i x="347" s="1"/>
        <i x="217" s="1"/>
        <i x="169" s="1"/>
        <i x="621" s="1"/>
        <i x="326" s="1"/>
        <i x="257" s="1"/>
        <i x="53" s="1"/>
        <i x="391" s="1"/>
        <i x="330" s="1"/>
        <i x="432" s="1"/>
        <i x="128" s="1"/>
        <i x="466" s="1"/>
        <i x="608" s="1"/>
        <i x="439" s="1"/>
        <i x="232" s="1"/>
        <i x="6" s="1"/>
        <i x="245" s="1"/>
        <i x="318" s="1"/>
        <i x="338" s="1"/>
        <i x="597" s="1"/>
        <i x="344" s="1"/>
        <i x="297" s="1"/>
        <i x="540" s="1"/>
        <i x="570" s="1"/>
        <i x="133" s="1"/>
        <i x="511" s="1"/>
        <i x="39" s="1"/>
        <i x="146" s="1"/>
        <i x="248" s="1"/>
        <i x="307" s="1"/>
        <i x="327" s="1"/>
        <i x="239" s="1"/>
        <i x="584" s="1"/>
        <i x="28" s="1"/>
        <i x="508" s="1"/>
        <i x="194" s="1"/>
        <i x="285" s="1"/>
        <i x="27" s="1"/>
        <i x="488" s="1"/>
        <i x="462" s="1"/>
        <i x="358" s="1"/>
        <i x="373" s="1"/>
        <i x="350" s="1"/>
        <i x="370" s="1"/>
        <i x="152" s="1"/>
        <i x="5" s="1"/>
        <i x="477" s="1"/>
        <i x="565" s="1"/>
        <i x="296" s="1"/>
        <i x="579" s="1"/>
        <i x="137" s="1"/>
        <i x="258" s="1"/>
        <i x="193" s="1"/>
        <i x="598" s="1"/>
        <i x="131" s="1"/>
        <i x="179" s="1"/>
        <i x="74" s="1"/>
        <i x="240" s="1"/>
        <i x="222" s="1"/>
        <i x="369" s="1"/>
        <i x="59" s="1"/>
        <i x="571" s="1"/>
        <i x="201" s="1"/>
        <i x="408" s="1"/>
        <i x="495" s="1"/>
        <i x="543" s="1"/>
        <i x="481" s="1"/>
        <i x="57" s="1"/>
        <i x="361" s="1"/>
        <i x="546" s="1"/>
        <i x="186" s="1"/>
        <i x="334" s="1"/>
        <i x="0" s="1"/>
        <i x="79" s="1"/>
        <i x="12" s="1"/>
        <i x="314" s="1"/>
        <i x="627" s="1"/>
        <i x="483" s="1"/>
        <i x="486" s="1"/>
        <i x="513" s="1"/>
        <i x="3" s="1"/>
        <i x="403" s="1"/>
        <i x="233" s="1"/>
        <i x="410" s="1"/>
        <i x="98" s="1"/>
        <i x="82" s="1"/>
        <i x="308" s="1"/>
        <i x="604" s="1"/>
        <i x="94" s="1"/>
        <i x="227" s="1"/>
        <i x="436" s="1"/>
        <i x="447" s="1"/>
        <i x="333" s="1"/>
        <i x="161" s="1"/>
        <i x="593" s="1"/>
        <i x="118" s="1"/>
        <i x="52" s="1"/>
        <i x="231" s="1"/>
        <i x="304" s="1"/>
        <i x="443" s="1"/>
        <i x="103" s="1"/>
        <i x="599" s="1"/>
        <i x="485" s="1"/>
        <i x="277" s="1"/>
        <i x="581" s="1"/>
        <i x="328" s="1"/>
        <i x="101" s="1"/>
        <i x="71" s="1"/>
        <i x="524" s="1"/>
        <i x="254" s="1"/>
        <i x="218" s="1"/>
        <i x="378" s="1"/>
        <i x="35" s="1"/>
        <i x="491" s="1"/>
        <i x="238" s="1"/>
        <i x="206" s="1"/>
        <i x="578" s="1"/>
        <i x="561" s="1"/>
        <i x="168" s="1"/>
        <i x="75" s="1"/>
        <i x="411" s="1"/>
        <i x="268" s="1"/>
        <i x="212" s="1"/>
        <i x="605" s="1"/>
        <i x="15" s="1"/>
        <i x="178" s="1"/>
        <i x="332" s="1"/>
        <i x="271" s="1"/>
        <i x="46" s="1"/>
        <i x="580" s="1"/>
        <i x="156" s="1"/>
        <i x="270" s="1"/>
        <i x="363" s="1"/>
        <i x="437" s="1"/>
        <i x="293" s="1"/>
        <i x="520" s="1"/>
        <i x="501" s="1"/>
        <i x="229" s="1"/>
        <i x="601" s="1"/>
        <i x="321" s="1"/>
        <i x="492" s="1"/>
        <i x="259" s="1"/>
        <i x="14" s="1"/>
        <i x="458" s="1"/>
        <i x="269" s="1"/>
        <i x="182" s="1"/>
        <i x="130" s="1"/>
        <i x="216" s="1"/>
        <i x="536" s="1"/>
        <i x="404" s="1"/>
        <i x="214" s="1"/>
        <i x="457" s="1"/>
        <i x="150" s="1"/>
        <i x="417" s="1"/>
        <i x="303" s="1"/>
        <i x="596" s="1"/>
        <i x="162" s="1"/>
        <i x="262" s="1"/>
        <i x="141" s="1"/>
        <i x="509" s="1"/>
        <i x="90" s="1"/>
        <i x="525" s="1"/>
        <i x="473" s="1"/>
        <i x="132" s="1"/>
        <i x="198" s="1"/>
        <i x="594" s="1"/>
        <i x="563" s="1"/>
        <i x="275" s="1"/>
        <i x="189" s="1"/>
        <i x="25" s="1"/>
        <i x="503" s="1"/>
        <i x="498" s="1"/>
        <i x="68" s="1"/>
        <i x="183" s="1"/>
        <i x="191" s="1"/>
        <i x="331" s="1"/>
        <i x="315" s="1"/>
        <i x="294" s="1"/>
        <i x="279" s="1"/>
        <i x="155" s="1"/>
        <i x="125" s="1"/>
        <i x="171" s="1"/>
        <i x="69" s="1"/>
        <i x="343" s="1"/>
        <i x="590" s="1"/>
        <i x="316" s="1"/>
        <i x="510" s="1"/>
        <i x="612" s="1"/>
        <i x="530" s="1"/>
        <i x="73" s="1"/>
        <i x="419" s="1"/>
        <i x="386" s="1"/>
        <i x="489" s="1"/>
        <i x="32" s="1"/>
        <i x="241" s="1"/>
        <i x="136" s="1"/>
        <i x="446" s="1"/>
        <i x="246" s="1"/>
        <i x="30" s="1"/>
        <i x="518" s="1"/>
        <i x="325" s="1"/>
        <i x="309" s="1"/>
        <i x="301" s="1"/>
        <i x="143" s="1"/>
        <i x="421" s="1"/>
        <i x="92" s="1"/>
        <i x="564" s="1"/>
        <i x="504" s="1"/>
        <i x="610" s="1"/>
        <i x="11" s="1"/>
        <i x="158" s="1"/>
        <i x="185" s="1"/>
        <i x="470" s="1"/>
        <i x="78" s="1"/>
        <i x="289" s="1"/>
        <i x="615" s="1"/>
        <i x="558" s="1"/>
        <i x="41" s="1"/>
        <i x="70" s="1"/>
        <i x="43" s="1"/>
        <i x="623" s="1"/>
        <i x="616" s="1"/>
        <i x="545" s="1"/>
        <i x="123" s="1"/>
        <i x="515" s="1"/>
        <i x="502" s="1"/>
        <i x="416" s="1"/>
        <i x="22" s="1"/>
        <i x="549" s="1"/>
        <i x="62" s="1"/>
        <i x="4" s="1"/>
        <i x="154" s="1"/>
        <i x="312" s="1"/>
        <i x="393" s="1"/>
        <i x="197" s="1"/>
        <i x="380" s="1"/>
        <i x="527" s="1"/>
        <i x="274" s="1"/>
        <i x="283" s="1"/>
        <i x="591" s="1"/>
        <i x="249" s="1"/>
        <i x="88" s="1"/>
        <i x="164" s="1"/>
        <i x="494" s="1"/>
        <i x="533" s="1"/>
        <i x="453" s="1"/>
        <i x="37" s="1"/>
        <i x="134" s="1"/>
        <i x="589" s="1"/>
        <i x="105" s="1"/>
        <i x="576" s="1"/>
        <i x="65" s="1"/>
        <i x="250" s="1"/>
        <i x="163" s="1"/>
        <i x="349" s="1"/>
        <i x="244" s="1"/>
        <i x="449" s="1"/>
        <i x="104" s="1"/>
        <i x="167" s="1"/>
        <i x="2" s="1"/>
        <i x="450" s="1"/>
        <i x="265" s="1"/>
        <i x="441" s="1"/>
        <i x="299" s="1"/>
        <i x="364" s="1"/>
        <i x="630" s="1"/>
        <i x="381" s="1"/>
        <i x="145" s="1"/>
        <i x="430" s="1"/>
        <i x="433" s="1"/>
        <i x="399" s="1"/>
        <i x="281" s="1"/>
        <i x="559" s="1"/>
        <i x="85" s="1"/>
        <i x="398" s="1"/>
        <i x="33" s="1"/>
        <i x="560" s="1"/>
        <i x="147" s="1"/>
        <i x="405" s="1"/>
        <i x="428" s="1"/>
        <i x="220" s="1"/>
        <i x="345" s="1"/>
        <i x="102" s="1"/>
        <i x="368" s="1"/>
        <i x="606" s="1"/>
        <i x="577" s="1"/>
        <i x="626" s="1"/>
        <i x="388" s="1"/>
        <i x="544" s="1"/>
        <i x="86" s="1"/>
        <i x="467" s="1"/>
        <i x="234" s="1"/>
        <i x="67" s="1"/>
        <i x="395" s="1"/>
        <i x="166" s="1"/>
        <i x="574" s="1"/>
        <i x="420" s="1"/>
        <i x="170" s="1"/>
        <i x="8" s="1"/>
        <i x="455" s="1"/>
        <i x="359" s="1"/>
        <i x="148" s="1"/>
        <i x="50" s="1"/>
        <i x="595" s="1"/>
        <i x="200" s="1"/>
        <i x="38" s="1"/>
        <i x="535" s="1"/>
        <i x="215" s="1"/>
        <i x="384" s="1"/>
        <i x="507" s="1"/>
        <i x="377" s="1"/>
        <i x="425" s="1"/>
        <i x="472" s="1"/>
        <i x="224" s="1"/>
        <i x="284" s="1"/>
        <i x="547" s="1"/>
        <i x="176" s="1"/>
        <i x="208" s="1"/>
        <i x="554" s="1"/>
        <i x="10" s="1"/>
        <i x="66" s="1"/>
        <i x="122" s="1"/>
        <i x="129" s="1"/>
        <i x="523" s="1"/>
        <i x="413" s="1"/>
        <i x="390" s="1"/>
        <i x="335" s="1"/>
        <i x="469" s="1"/>
        <i x="317" s="1"/>
        <i x="351" s="1"/>
        <i x="499" s="1"/>
        <i x="228" s="1"/>
        <i x="371" s="1"/>
        <i x="402" s="1"/>
        <i x="340" s="1"/>
        <i x="235" s="1"/>
        <i x="401" s="1"/>
        <i x="280" s="1"/>
        <i x="251" s="1"/>
        <i x="566" s="1"/>
        <i x="267" s="1"/>
        <i x="252" s="1"/>
        <i x="400" s="1"/>
        <i x="209" s="1"/>
        <i x="44" s="1"/>
        <i x="1" s="1"/>
        <i x="261" s="1"/>
        <i x="611" s="1"/>
        <i x="210" s="1"/>
        <i x="81" s="1"/>
        <i x="415" s="1"/>
        <i x="614" s="1"/>
        <i x="367" s="1"/>
        <i x="397" s="1"/>
        <i x="552" s="1"/>
        <i x="36" s="1"/>
        <i x="290" s="1"/>
        <i x="256" s="1"/>
        <i x="573" s="1"/>
        <i x="474" s="1"/>
        <i x="91" s="1"/>
        <i x="190" s="1"/>
        <i x="366" s="1"/>
        <i x="541" s="1"/>
        <i x="451" s="1"/>
        <i x="427" s="1"/>
        <i x="387" s="1"/>
        <i x="394" s="1"/>
        <i x="21" s="1"/>
        <i x="287" s="1"/>
        <i x="342" s="1"/>
        <i x="93" s="1"/>
        <i x="29" s="1"/>
        <i x="553" s="1"/>
        <i x="72" s="1"/>
        <i x="23" s="1"/>
        <i x="500" s="1"/>
        <i x="538" s="1"/>
        <i x="295" s="1"/>
        <i x="440" s="1"/>
        <i x="456" s="1"/>
        <i x="84" s="1"/>
        <i x="407" s="1"/>
        <i x="151" s="1"/>
        <i x="225" s="1"/>
        <i x="365" s="1"/>
        <i x="13" s="1"/>
        <i x="444" s="1"/>
        <i x="196" s="1"/>
        <i x="484" s="1"/>
        <i x="160" s="1"/>
        <i x="385" s="1"/>
        <i x="516" s="1"/>
        <i x="320" s="1"/>
        <i x="406" s="1"/>
        <i x="522" s="1"/>
        <i x="479" s="1"/>
        <i x="585" s="1"/>
        <i x="260" s="1"/>
        <i x="121" s="1"/>
        <i x="454" s="1"/>
        <i x="355" s="1"/>
        <i x="292" s="1"/>
        <i x="409" s="1"/>
        <i x="107" s="1"/>
        <i x="452" s="1"/>
        <i x="20" s="1"/>
        <i x="157" s="1"/>
        <i x="255" s="1"/>
        <i x="213" s="1"/>
        <i x="438" s="1"/>
        <i x="459" s="1"/>
        <i x="192" s="1"/>
        <i x="115" s="1"/>
        <i x="24" s="1"/>
        <i x="568" s="1"/>
        <i x="587" s="1"/>
        <i x="618" s="1"/>
        <i x="497" s="1"/>
        <i x="468" s="1"/>
        <i x="202" s="1"/>
        <i x="253" s="1"/>
        <i x="99" s="1"/>
        <i x="204" s="1"/>
        <i x="300" s="1"/>
        <i x="144" s="1"/>
        <i x="16" s="1"/>
        <i x="324" s="1"/>
        <i x="339" s="1"/>
        <i x="205" s="1"/>
        <i x="31" s="1"/>
        <i x="64" s="1"/>
        <i x="184" s="1"/>
        <i x="352" s="1"/>
        <i x="187" s="1"/>
        <i x="288" s="1"/>
        <i x="348" s="1"/>
        <i x="475" s="1"/>
        <i x="435" s="1"/>
        <i x="34" s="1"/>
        <i x="135" s="1"/>
        <i x="110" s="1"/>
        <i x="61" s="1"/>
        <i x="329" s="1"/>
        <i x="188" s="1"/>
        <i x="219" s="1"/>
        <i x="336" s="1"/>
        <i x="207" s="1"/>
        <i x="487" s="1"/>
        <i x="607" s="1"/>
        <i x="159" s="1"/>
        <i x="273" s="1"/>
        <i x="423" s="1"/>
        <i x="153" s="1"/>
        <i x="56" s="1"/>
        <i x="550" s="1"/>
        <i x="617" s="1"/>
        <i x="111" s="1"/>
        <i x="622" s="1"/>
        <i x="426" s="1"/>
        <i x="226" s="1"/>
        <i x="42" s="1"/>
        <i x="542" s="1"/>
        <i x="496" s="1"/>
        <i x="310" s="1"/>
        <i x="374" s="1"/>
        <i x="195" s="1"/>
        <i x="442" s="1"/>
        <i x="414" s="1"/>
        <i x="173" s="1"/>
        <i x="55" s="1"/>
        <i x="548" s="1"/>
        <i x="142" s="1"/>
        <i x="372" s="1"/>
        <i x="505" s="1"/>
        <i x="45" s="1"/>
        <i x="625" s="1"/>
        <i x="628" s="1"/>
        <i x="77" s="1"/>
        <i x="562" s="1"/>
        <i x="379" s="1"/>
        <i x="514" s="1"/>
        <i x="529" s="1"/>
        <i x="555" s="1"/>
        <i x="60" s="1"/>
        <i x="600" s="1"/>
        <i x="242" s="1"/>
        <i x="97" s="1"/>
        <i x="569" s="1"/>
        <i x="49" s="1"/>
        <i x="272" s="1"/>
        <i x="506" s="1"/>
        <i x="353" s="1"/>
        <i x="278" s="1"/>
        <i x="360" s="1"/>
        <i x="17" s="1"/>
        <i x="76" s="1"/>
        <i x="138" s="1"/>
        <i x="48" s="1"/>
        <i x="482" s="1"/>
        <i x="471" s="1"/>
        <i x="236" s="1"/>
        <i x="382" s="1"/>
        <i x="18" s="1"/>
        <i x="375" s="1"/>
        <i x="337" s="1"/>
        <i x="266" s="1"/>
        <i x="19" s="1"/>
        <i x="120" s="1"/>
        <i x="322" s="1"/>
        <i x="302" s="1"/>
        <i x="603" s="1"/>
        <i x="264" s="1"/>
        <i x="313" s="1"/>
        <i x="629" s="1"/>
        <i x="480" s="1"/>
        <i x="583" s="1"/>
        <i x="40" s="1"/>
        <i x="429" s="1"/>
        <i x="181" s="1"/>
        <i x="619" s="1"/>
        <i x="478" s="1"/>
        <i x="534" s="1"/>
        <i x="149" s="1"/>
        <i x="306" s="1"/>
        <i x="95" s="1"/>
        <i x="376" s="1"/>
        <i x="356" s="1"/>
        <i x="567" s="1"/>
        <i x="448" s="1"/>
        <i x="556" s="1"/>
        <i x="383" s="1"/>
        <i x="203" s="1"/>
        <i x="392" s="1"/>
        <i x="357" s="1"/>
        <i x="624" s="1"/>
        <i x="512" s="1"/>
        <i x="557" s="1"/>
        <i x="537" s="1"/>
        <i x="592" s="1"/>
        <i x="100" s="1"/>
        <i x="319" s="1"/>
        <i x="199" s="1"/>
        <i x="396" s="1"/>
        <i x="431" s="1"/>
        <i x="424" s="1"/>
        <i x="528" s="1"/>
        <i x="80" s="1"/>
        <i x="9" s="1"/>
        <i x="58" s="1"/>
        <i x="521" s="1"/>
        <i x="126" s="1"/>
        <i x="117" s="1"/>
        <i x="539" s="1"/>
        <i x="223" s="1"/>
        <i x="588" s="1"/>
        <i x="63" s="1"/>
        <i x="346" s="1"/>
        <i x="276" s="1"/>
        <i x="613" s="1"/>
        <i x="362" s="1"/>
        <i x="465" s="1"/>
        <i x="165" s="1"/>
        <i x="140" s="1"/>
        <i x="175" s="1"/>
        <i x="422" s="1"/>
        <i x="47" s="1"/>
        <i x="237" s="1"/>
        <i x="63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7D761FB8-466A-470C-BEB6-81E49FFAA630}" sourceName="OrderDate">
  <pivotTables>
    <pivotTable tabId="13" name="PivotTable1"/>
  </pivotTables>
  <data>
    <tabular pivotCacheId="885501701">
      <items count="469">
        <i x="5" s="1"/>
        <i x="455" s="1"/>
        <i x="271" s="1"/>
        <i x="415" s="1"/>
        <i x="181" s="1"/>
        <i x="7" s="1"/>
        <i x="371" s="1"/>
        <i x="184" s="1"/>
        <i x="119" s="1"/>
        <i x="424" s="1"/>
        <i x="122" s="1"/>
        <i x="171" s="1"/>
        <i x="180" s="1"/>
        <i x="312" s="1"/>
        <i x="23" s="1"/>
        <i x="77" s="1"/>
        <i x="426" s="1"/>
        <i x="62" s="1"/>
        <i x="152" s="1"/>
        <i x="147" s="1"/>
        <i x="361" s="1"/>
        <i x="29" s="1"/>
        <i x="159" s="1"/>
        <i x="452" s="1"/>
        <i x="2" s="1"/>
        <i x="107" s="1"/>
        <i x="432" s="1"/>
        <i x="226" s="1"/>
        <i x="336" s="1"/>
        <i x="206" s="1"/>
        <i x="315" s="1"/>
        <i x="211" s="1"/>
        <i x="342" s="1"/>
        <i x="64" s="1"/>
        <i x="278" s="1"/>
        <i x="150" s="1"/>
        <i x="33" s="1"/>
        <i x="50" s="1"/>
        <i x="451" s="1"/>
        <i x="163" s="1"/>
        <i x="89" s="1"/>
        <i x="458" s="1"/>
        <i x="125" s="1"/>
        <i x="290" s="1"/>
        <i x="27" s="1"/>
        <i x="387" s="1"/>
        <i x="153" s="1"/>
        <i x="43" s="1"/>
        <i x="67" s="1"/>
        <i x="460" s="1"/>
        <i x="15" s="1"/>
        <i x="441" s="1"/>
        <i x="410" s="1"/>
        <i x="129" s="1"/>
        <i x="449" s="1"/>
        <i x="177" s="1"/>
        <i x="275" s="1"/>
        <i x="239" s="1"/>
        <i x="406" s="1"/>
        <i x="20" s="1"/>
        <i x="382" s="1"/>
        <i x="362" s="1"/>
        <i x="72" s="1"/>
        <i x="207" s="1"/>
        <i x="373" s="1"/>
        <i x="234" s="1"/>
        <i x="328" s="1"/>
        <i x="408" s="1"/>
        <i x="446" s="1"/>
        <i x="308" s="1"/>
        <i x="109" s="1"/>
        <i x="280" s="1"/>
        <i x="367" s="1"/>
        <i x="75" s="1"/>
        <i x="251" s="1"/>
        <i x="37" s="1"/>
        <i x="264" s="1"/>
        <i x="169" s="1"/>
        <i x="44" s="1"/>
        <i x="87" s="1"/>
        <i x="85" s="1"/>
        <i x="306" s="1"/>
        <i x="186" s="1"/>
        <i x="140" s="1"/>
        <i x="133" s="1"/>
        <i x="422" s="1"/>
        <i x="425" s="1"/>
        <i x="376" s="1"/>
        <i x="47" s="1"/>
        <i x="289" s="1"/>
        <i x="386" s="1"/>
        <i x="256" s="1"/>
        <i x="172" s="1"/>
        <i x="370" s="1"/>
        <i x="245" s="1"/>
        <i x="288" s="1"/>
        <i x="131" s="1"/>
        <i x="203" s="1"/>
        <i x="443" s="1"/>
        <i x="242" s="1"/>
        <i x="235" s="1"/>
        <i x="174" s="1"/>
        <i x="389" s="1"/>
        <i x="115" s="1"/>
        <i x="183" s="1"/>
        <i x="419" s="1"/>
        <i x="66" s="1"/>
        <i x="114" s="1"/>
        <i x="260" s="1"/>
        <i x="417" s="1"/>
        <i x="343" s="1"/>
        <i x="200" s="1"/>
        <i x="161" s="1"/>
        <i x="345" s="1"/>
        <i x="52" s="1"/>
        <i x="429" s="1"/>
        <i x="137" s="1"/>
        <i x="459" s="1"/>
        <i x="73" s="1"/>
        <i x="216" s="1"/>
        <i x="364" s="1"/>
        <i x="158" s="1"/>
        <i x="199" s="1"/>
        <i x="323" s="1"/>
        <i x="204" s="1"/>
        <i x="231" s="1"/>
        <i x="155" s="1"/>
        <i x="327" s="1"/>
        <i x="233" s="1"/>
        <i x="348" s="1"/>
        <i x="176" s="1"/>
        <i x="358" s="1"/>
        <i x="259" s="1"/>
        <i x="282" s="1"/>
        <i x="391" s="1"/>
        <i x="324" s="1"/>
        <i x="250" s="1"/>
        <i x="143" s="1"/>
        <i x="193" s="1"/>
        <i x="276" s="1"/>
        <i x="285" s="1"/>
        <i x="112" s="1"/>
        <i x="106" s="1"/>
        <i x="214" s="1"/>
        <i x="134" s="1"/>
        <i x="294" s="1"/>
        <i x="297" s="1"/>
        <i x="63" s="1"/>
        <i x="374" s="1"/>
        <i x="4" s="1"/>
        <i x="141" s="1"/>
        <i x="340" s="1"/>
        <i x="380" s="1"/>
        <i x="202" s="1"/>
        <i x="195" s="1"/>
        <i x="295" s="1"/>
        <i x="81" s="1"/>
        <i x="240" s="1"/>
        <i x="311" s="1"/>
        <i x="423" s="1"/>
        <i x="113" s="1"/>
        <i x="360" s="1"/>
        <i x="300" s="1"/>
        <i x="279" s="1"/>
        <i x="435" s="1"/>
        <i x="241" s="1"/>
        <i x="39" s="1"/>
        <i x="182" s="1"/>
        <i x="94" s="1"/>
        <i x="347" s="1"/>
        <i x="303" s="1"/>
        <i x="13" s="1"/>
        <i x="84" s="1"/>
        <i x="436" s="1"/>
        <i x="247" s="1"/>
        <i x="10" s="1"/>
        <i x="145" s="1"/>
        <i x="162" s="1"/>
        <i x="383" s="1"/>
        <i x="437" s="1"/>
        <i x="179" s="1"/>
        <i x="128" s="1"/>
        <i x="221" s="1"/>
        <i x="292" s="1"/>
        <i x="142" s="1"/>
        <i x="351" s="1"/>
        <i x="439" s="1"/>
        <i x="354" s="1"/>
        <i x="352" s="1"/>
        <i x="194" s="1"/>
        <i x="397" s="1"/>
        <i x="263" s="1"/>
        <i x="314" s="1"/>
        <i x="428" s="1"/>
        <i x="220" s="1"/>
        <i x="34" s="1"/>
        <i x="307" s="1"/>
        <i x="58" s="1"/>
        <i x="0" s="1"/>
        <i x="450" s="1"/>
        <i x="227" s="1"/>
        <i x="246" s="1"/>
        <i x="68" s="1"/>
        <i x="363" s="1"/>
        <i x="265" s="1"/>
        <i x="248" s="1"/>
        <i x="215" s="1"/>
        <i x="244" s="1"/>
        <i x="149" s="1"/>
        <i x="136" s="1"/>
        <i x="403" s="1"/>
        <i x="82" s="1"/>
        <i x="286" s="1"/>
        <i x="70" s="1"/>
        <i x="413" s="1"/>
        <i x="31" s="1"/>
        <i x="36" s="1"/>
        <i x="395" s="1"/>
        <i x="412" s="1"/>
        <i x="400" s="1"/>
        <i x="230" s="1"/>
        <i x="372" s="1"/>
        <i x="8" s="1"/>
        <i x="375" s="1"/>
        <i x="322" s="1"/>
        <i x="385" s="1"/>
        <i x="393" s="1"/>
        <i x="45" s="1"/>
        <i x="313" s="1"/>
        <i x="22" s="1"/>
        <i x="173" s="1"/>
        <i x="42" s="1"/>
        <i x="98" s="1"/>
        <i x="65" s="1"/>
        <i x="154" s="1"/>
        <i x="398" s="1"/>
        <i x="91" s="1"/>
        <i x="118" s="1"/>
        <i x="101" s="1"/>
        <i x="368" s="1"/>
        <i x="151" s="1"/>
        <i x="416" s="1"/>
        <i x="344" s="1"/>
        <i x="116" s="1"/>
        <i x="274" s="1"/>
        <i x="102" s="1"/>
        <i x="103" s="1"/>
        <i x="369" s="1"/>
        <i x="132" s="1"/>
        <i x="249" s="1"/>
        <i x="269" s="1"/>
        <i x="304" s="1"/>
        <i x="463" s="1"/>
        <i x="104" s="1"/>
        <i x="24" s="1"/>
        <i x="411" s="1"/>
        <i x="287" s="1"/>
        <i x="293" s="1"/>
        <i x="157" s="1"/>
        <i x="320" s="1"/>
        <i x="26" s="1"/>
        <i x="334" s="1"/>
        <i x="19" s="1"/>
        <i x="465" s="1"/>
        <i x="228" s="1"/>
        <i x="453" s="1"/>
        <i x="447" s="1"/>
        <i x="399" s="1"/>
        <i x="144" s="1"/>
        <i x="298" s="1"/>
        <i x="326" s="1"/>
        <i x="175" s="1"/>
        <i x="99" s="1"/>
        <i x="421" s="1"/>
        <i x="456" s="1"/>
        <i x="353" s="1"/>
        <i x="396" s="1"/>
        <i x="365" s="1"/>
        <i x="32" s="1"/>
        <i x="38" s="1"/>
        <i x="74" s="1"/>
        <i x="341" s="1"/>
        <i x="434" s="1"/>
        <i x="225" s="1"/>
        <i x="209" s="1"/>
        <i x="210" s="1"/>
        <i x="331" s="1"/>
        <i x="255" s="1"/>
        <i x="191" s="1"/>
        <i x="187" s="1"/>
        <i x="212" s="1"/>
        <i x="97" s="1"/>
        <i x="197" s="1"/>
        <i x="178" s="1"/>
        <i x="138" s="1"/>
        <i x="366" s="1"/>
        <i x="189" s="1"/>
        <i x="166" s="1"/>
        <i x="88" s="1"/>
        <i x="238" s="1"/>
        <i x="156" s="1"/>
        <i x="407" s="1"/>
        <i x="196" s="1"/>
        <i x="464" s="1"/>
        <i x="46" s="1"/>
        <i x="100" s="1"/>
        <i x="49" s="1"/>
        <i x="462" s="1"/>
        <i x="168" s="1"/>
        <i x="1" s="1"/>
        <i x="404" s="1"/>
        <i x="40" s="1"/>
        <i x="229" s="1"/>
        <i x="291" s="1"/>
        <i x="148" s="1"/>
        <i x="356" s="1"/>
        <i x="61" s="1"/>
        <i x="273" s="1"/>
        <i x="333" s="1"/>
        <i x="48" s="1"/>
        <i x="299" s="1"/>
        <i x="223" s="1"/>
        <i x="444" s="1"/>
        <i x="405" s="1"/>
        <i x="392" s="1"/>
        <i x="127" s="1"/>
        <i x="76" s="1"/>
        <i x="379" s="1"/>
        <i x="302" s="1"/>
        <i x="461" s="1"/>
        <i x="25" s="1"/>
        <i x="219" s="1"/>
        <i x="96" s="1"/>
        <i x="430" s="1"/>
        <i x="390" s="1"/>
        <i x="16" s="1"/>
        <i x="330" s="1"/>
        <i x="126" s="1"/>
        <i x="71" s="1"/>
        <i x="55" s="1"/>
        <i x="337" s="1"/>
        <i x="124" s="1"/>
        <i x="130" s="1"/>
        <i x="359" s="1"/>
        <i x="6" s="1"/>
        <i x="357" s="1"/>
        <i x="272" s="1"/>
        <i x="11" s="1"/>
        <i x="409" s="1"/>
        <i x="316" s="1"/>
        <i x="123" s="1"/>
        <i x="420" s="1"/>
        <i x="283" s="1"/>
        <i x="170" s="1"/>
        <i x="105" s="1"/>
        <i x="335" s="1"/>
        <i x="51" s="1"/>
        <i x="266" s="1"/>
        <i x="93" s="1"/>
        <i x="192" s="1"/>
        <i x="318" s="1"/>
        <i x="167" s="1"/>
        <i x="185" s="1"/>
        <i x="317" s="1"/>
        <i x="414" s="1"/>
        <i x="54" s="1"/>
        <i x="120" s="1"/>
        <i x="146" s="1"/>
        <i x="433" s="1"/>
        <i x="454" s="1"/>
        <i x="243" s="1"/>
        <i x="338" s="1"/>
        <i x="349" s="1"/>
        <i x="467" s="1"/>
        <i x="121" s="1"/>
        <i x="12" s="1"/>
        <i x="339" s="1"/>
        <i x="402" s="1"/>
        <i x="418" s="1"/>
        <i x="252" s="1"/>
        <i x="310" s="1"/>
        <i x="309" s="1"/>
        <i x="381" s="1"/>
        <i x="401" s="1"/>
        <i x="80" s="1"/>
        <i x="3" s="1"/>
        <i x="258" s="1"/>
        <i x="95" s="1"/>
        <i x="277" s="1"/>
        <i x="254" s="1"/>
        <i x="53" s="1"/>
        <i x="28" s="1"/>
        <i x="69" s="1"/>
        <i x="377" s="1"/>
        <i x="261" s="1"/>
        <i x="332" s="1"/>
        <i x="440" s="1"/>
        <i x="160" s="1"/>
        <i x="139" s="1"/>
        <i x="448" s="1"/>
        <i x="222" s="1"/>
        <i x="79" s="1"/>
        <i x="208" s="1"/>
        <i x="60" s="1"/>
        <i x="86" s="1"/>
        <i x="57" s="1"/>
        <i x="355" s="1"/>
        <i x="267" s="1"/>
        <i x="321" s="1"/>
        <i x="78" s="1"/>
        <i x="394" s="1"/>
        <i x="217" s="1"/>
        <i x="253" s="1"/>
        <i x="270" s="1"/>
        <i x="281" s="1"/>
        <i x="9" s="1"/>
        <i x="329" s="1"/>
        <i x="41" s="1"/>
        <i x="262" s="1"/>
        <i x="108" s="1"/>
        <i x="346" s="1"/>
        <i x="56" s="1"/>
        <i x="21" s="1"/>
        <i x="325" s="1"/>
        <i x="296" s="1"/>
        <i x="111" s="1"/>
        <i x="236" s="1"/>
        <i x="268" s="1"/>
        <i x="35" s="1"/>
        <i x="305" s="1"/>
        <i x="438" s="1"/>
        <i x="232" s="1"/>
        <i x="350" s="1"/>
        <i x="110" s="1"/>
        <i x="445" s="1"/>
        <i x="190" s="1"/>
        <i x="201" s="1"/>
        <i x="213" s="1"/>
        <i x="466" s="1"/>
        <i x="18" s="1"/>
        <i x="188" s="1"/>
        <i x="92" s="1"/>
        <i x="319" s="1"/>
        <i x="30" s="1"/>
        <i x="378" s="1"/>
        <i x="90" s="1"/>
        <i x="218" s="1"/>
        <i x="442" s="1"/>
        <i x="117" s="1"/>
        <i x="431" s="1"/>
        <i x="83" s="1"/>
        <i x="205" s="1"/>
        <i x="457" s="1"/>
        <i x="384" s="1"/>
        <i x="301" s="1"/>
        <i x="427" s="1"/>
        <i x="164" s="1"/>
        <i x="198" s="1"/>
        <i x="257" s="1"/>
        <i x="388" s="1"/>
        <i x="14" s="1"/>
        <i x="237" s="1"/>
        <i x="17" s="1"/>
        <i x="59" s="1"/>
        <i x="135" s="1"/>
        <i x="224" s="1"/>
        <i x="284" s="1"/>
        <i x="165" s="1"/>
        <i x="46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779EF9-C162-412E-A9EE-D56C1686FF3F}" sourceName="Region">
  <pivotTables>
    <pivotTable tabId="28" name="PivotTable11"/>
    <pivotTable tabId="20" name="PivotTable2"/>
    <pivotTable tabId="34" name="PivotTable17"/>
    <pivotTable tabId="13" name="PivotTable1"/>
    <pivotTable tabId="29" name="PivotTable12"/>
    <pivotTable tabId="26" name="PivotTable7"/>
    <pivotTable tabId="32" name="PivotTable15"/>
    <pivotTable tabId="19" name="PivotTable1"/>
    <pivotTable tabId="30" name="PivotTable13"/>
    <pivotTable tabId="21" name="PivotTable3"/>
    <pivotTable tabId="33" name="PivotTable16"/>
  </pivotTables>
  <data>
    <tabular pivotCacheId="885501701">
      <items count="5">
        <i x="0" s="1"/>
        <i x="2" s="1"/>
        <i x="1" s="1"/>
        <i x="3" s="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EC69BD8-B5C7-4777-8498-5544157FD1BC}" sourceName="Country">
  <pivotTables>
    <pivotTable tabId="28" name="PivotTable11"/>
    <pivotTable tabId="20" name="PivotTable2"/>
    <pivotTable tabId="34" name="PivotTable17"/>
    <pivotTable tabId="13" name="PivotTable1"/>
    <pivotTable tabId="29" name="PivotTable12"/>
    <pivotTable tabId="26" name="PivotTable7"/>
    <pivotTable tabId="32" name="PivotTable15"/>
    <pivotTable tabId="19" name="PivotTable1"/>
    <pivotTable tabId="30" name="PivotTable13"/>
    <pivotTable tabId="21" name="PivotTable3"/>
    <pivotTable tabId="33" name="PivotTable16"/>
  </pivotTables>
  <data>
    <tabular pivotCacheId="885501701">
      <items count="13">
        <i x="5" s="1"/>
        <i x="3" s="1"/>
        <i x="9" s="1"/>
        <i x="7" s="1"/>
        <i x="6" s="1"/>
        <i x="4" s="1"/>
        <i x="2" s="1"/>
        <i x="0" s="1"/>
        <i x="1" s="1"/>
        <i x="11" s="1"/>
        <i x="8" s="1"/>
        <i x="10" s="1"/>
        <i x="1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BD09818-D2F5-4852-834C-7420536D1BFC}" sourceName="Channel">
  <pivotTables>
    <pivotTable tabId="28" name="PivotTable11"/>
    <pivotTable tabId="20" name="PivotTable2"/>
    <pivotTable tabId="34" name="PivotTable17"/>
    <pivotTable tabId="13" name="PivotTable1"/>
    <pivotTable tabId="29" name="PivotTable12"/>
    <pivotTable tabId="26" name="PivotTable7"/>
    <pivotTable tabId="32" name="PivotTable15"/>
    <pivotTable tabId="19" name="PivotTable1"/>
    <pivotTable tabId="30" name="PivotTable13"/>
    <pivotTable tabId="21" name="PivotTable3"/>
    <pivotTable tabId="33" name="PivotTable16"/>
  </pivotTables>
  <data>
    <tabular pivotCacheId="885501701">
      <items count="7">
        <i x="4" s="1"/>
        <i x="3" s="1"/>
        <i x="2" s="1"/>
        <i x="5" s="1"/>
        <i x="1" s="1"/>
        <i x="0"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F27103C-B211-4087-BD06-6FCEFEE5A7A7}" sourceName="Salesperson">
  <pivotTables>
    <pivotTable tabId="28" name="PivotTable11"/>
    <pivotTable tabId="20" name="PivotTable2"/>
    <pivotTable tabId="34" name="PivotTable17"/>
    <pivotTable tabId="13" name="PivotTable1"/>
    <pivotTable tabId="29" name="PivotTable12"/>
    <pivotTable tabId="26" name="PivotTable7"/>
    <pivotTable tabId="32" name="PivotTable15"/>
    <pivotTable tabId="19" name="PivotTable1"/>
    <pivotTable tabId="30" name="PivotTable13"/>
    <pivotTable tabId="21" name="PivotTable3"/>
    <pivotTable tabId="33" name="PivotTable16"/>
  </pivotTables>
  <data>
    <tabular pivotCacheId="885501701">
      <items count="17">
        <i x="8" s="1"/>
        <i x="5" s="1"/>
        <i x="0" s="1"/>
        <i x="14" s="1"/>
        <i x="6" s="1"/>
        <i x="9" s="1"/>
        <i x="3" s="1"/>
        <i x="10" s="1"/>
        <i x="2" s="1"/>
        <i x="1" s="1"/>
        <i x="11" s="1"/>
        <i x="4" s="1"/>
        <i x="12" s="1"/>
        <i x="13" s="1"/>
        <i x="15" s="1"/>
        <i x="7" s="1"/>
        <i x="16"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_Y" xr10:uid="{105D0FBE-8CDC-4D25-A1BB-46CFD4D992B4}" sourceName="ORDER DATE (M/Y)">
  <pivotTables>
    <pivotTable tabId="28" name="PivotTable11"/>
    <pivotTable tabId="20" name="PivotTable2"/>
    <pivotTable tabId="34" name="PivotTable17"/>
    <pivotTable tabId="13" name="PivotTable1"/>
    <pivotTable tabId="29" name="PivotTable12"/>
    <pivotTable tabId="26" name="PivotTable7"/>
    <pivotTable tabId="32" name="PivotTable15"/>
    <pivotTable tabId="19" name="PivotTable1"/>
    <pivotTable tabId="30" name="PivotTable13"/>
    <pivotTable tabId="21" name="PivotTable3"/>
    <pivotTable tabId="33" name="PivotTable16"/>
  </pivotTables>
  <data>
    <tabular pivotCacheId="885501701">
      <items count="34">
        <i x="12" s="1"/>
        <i x="20" s="1"/>
        <i x="19" s="1"/>
        <i x="25" s="1"/>
        <i x="21" s="1"/>
        <i x="28" s="1"/>
        <i x="4" s="1"/>
        <i x="6" s="1"/>
        <i x="2" s="1"/>
        <i x="31" s="1"/>
        <i x="26" s="1"/>
        <i x="5" s="1"/>
        <i x="9" s="1"/>
        <i x="10" s="1"/>
        <i x="24" s="1"/>
        <i x="14" s="1"/>
        <i x="13" s="1"/>
        <i x="23" s="1"/>
        <i x="17" s="1"/>
        <i x="16" s="1"/>
        <i x="22" s="1"/>
        <i x="0" s="1"/>
        <i x="3" s="1"/>
        <i x="15" s="1"/>
        <i x="7" s="1"/>
        <i x="8" s="1"/>
        <i x="30" s="1"/>
        <i x="18" s="1"/>
        <i x="32" s="1"/>
        <i x="1" s="1"/>
        <i x="27" s="1"/>
        <i x="29" s="1"/>
        <i x="11" s="1"/>
        <i x="3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2DBA12A2-7B30-47D2-9AD0-2E6F6D0B1F63}" sourceName="ProductCategory">
  <pivotTables>
    <pivotTable tabId="28" name="PivotTable11"/>
    <pivotTable tabId="20" name="PivotTable2"/>
    <pivotTable tabId="34" name="PivotTable17"/>
    <pivotTable tabId="13" name="PivotTable1"/>
    <pivotTable tabId="29" name="PivotTable12"/>
    <pivotTable tabId="26" name="PivotTable7"/>
    <pivotTable tabId="32" name="PivotTable15"/>
    <pivotTable tabId="19" name="PivotTable1"/>
    <pivotTable tabId="30" name="PivotTable13"/>
    <pivotTable tabId="21" name="PivotTable3"/>
    <pivotTable tabId="33" name="PivotTable16"/>
  </pivotTables>
  <data>
    <tabular pivotCacheId="885501701">
      <items count="8">
        <i x="6" s="1"/>
        <i x="0" s="1"/>
        <i x="4" s="1"/>
        <i x="5" s="1"/>
        <i x="2" s="1"/>
        <i x="3" s="1"/>
        <i x="1"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747377-0B0C-4986-BFB0-D1F8660C2B39}" cache="Slicer_Region" caption="Region" rowHeight="234950"/>
  <slicer name="Country 1" xr10:uid="{371FEB8A-1706-4296-9E76-2B544B49C082}" cache="Slicer_Country1" caption="Country" rowHeight="234950"/>
  <slicer name="Channel" xr10:uid="{696C0A18-C12E-42BB-ADC6-03CBA3472887}" cache="Slicer_Channel" caption="Channel" rowHeight="234950"/>
  <slicer name="Salesperson" xr10:uid="{6DA5D73D-4159-4264-9480-C9C0B5B2A174}" cache="Slicer_Salesperson" caption="Salesperson" rowHeight="234950"/>
  <slicer name="ORDER DATE (M/Y)" xr10:uid="{EAA5F946-1E6A-4B37-B74F-F9667D0AACE0}" cache="Slicer_ORDER_DATE__M_Y" caption="ORDER DATE (M/Y)" rowHeight="234950"/>
  <slicer name="ProductCategory" xr10:uid="{47337D47-4BBF-41DB-94F4-16D751854FBA}" cache="Slicer_ProductCategory" caption="Product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ss revenue" xr10:uid="{6B9E99A3-69BD-4A17-8233-5B08B83D0FD4}" cache="Slicer_Gross_revenue" caption="Gross revenue" rowHeight="234950"/>
  <slicer name="OrderDate" xr10:uid="{B48EF799-606E-4340-B243-E70D38921EAC}" cache="Slicer_OrderDate" caption="OrderDate" rowHeight="234950"/>
  <slicer name="Country" xr10:uid="{70048BC0-8BA3-43CE-BB1E-CC0D7CA4CA39}" cache="Slicer_Country1" caption="Count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CE99BBA-EBB4-46DD-B5C6-A6D327F56221}" cache="Slicer_Region" caption="Region" rowHeight="234950"/>
  <slicer name="Country 2" xr10:uid="{D06BC365-A9DA-4972-9DED-3704DE25530A}" cache="Slicer_Country1" caption="Country" rowHeight="234950"/>
  <slicer name="Channel 1" xr10:uid="{2BAF0688-926B-4E8E-993D-218A42195890}" cache="Slicer_Channel" caption="Channel" rowHeight="234950"/>
  <slicer name="Salesperson 1" xr10:uid="{D966E0C0-B12C-4B69-A31E-5073E6445E0B}" cache="Slicer_Salesperson" caption="Salesperson" rowHeight="234950"/>
  <slicer name="ORDER DATE (M/Y) 1" xr10:uid="{B50B1713-92B8-4C8F-80A8-27D16243ABA6}" cache="Slicer_ORDER_DATE__M_Y" caption="ORDER DATE (M/Y)" rowHeight="234950"/>
  <slicer name="ProductCategory 1" xr10:uid="{DF1F4E48-292B-48B4-B4AA-E7E62C3D7123}" cache="Slicer_ProductCategory" caption="Product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02A84-3EAB-4F21-8B8C-5F78B398E141}">
  <dimension ref="A3:C20"/>
  <sheetViews>
    <sheetView workbookViewId="0">
      <selection activeCell="F13" sqref="F13"/>
    </sheetView>
  </sheetViews>
  <sheetFormatPr defaultRowHeight="14.4" x14ac:dyDescent="0.3"/>
  <sheetData>
    <row r="3" spans="1:3" x14ac:dyDescent="0.3">
      <c r="A3" s="15"/>
      <c r="B3" s="16"/>
      <c r="C3" s="17"/>
    </row>
    <row r="4" spans="1:3" x14ac:dyDescent="0.3">
      <c r="A4" s="18"/>
      <c r="B4" s="19"/>
      <c r="C4" s="20"/>
    </row>
    <row r="5" spans="1:3" x14ac:dyDescent="0.3">
      <c r="A5" s="18"/>
      <c r="B5" s="19"/>
      <c r="C5" s="20"/>
    </row>
    <row r="6" spans="1:3" x14ac:dyDescent="0.3">
      <c r="A6" s="18"/>
      <c r="B6" s="19"/>
      <c r="C6" s="20"/>
    </row>
    <row r="7" spans="1:3" x14ac:dyDescent="0.3">
      <c r="A7" s="18"/>
      <c r="B7" s="19"/>
      <c r="C7" s="20"/>
    </row>
    <row r="8" spans="1:3" x14ac:dyDescent="0.3">
      <c r="A8" s="18"/>
      <c r="B8" s="19"/>
      <c r="C8" s="20"/>
    </row>
    <row r="9" spans="1:3" x14ac:dyDescent="0.3">
      <c r="A9" s="18"/>
      <c r="B9" s="19"/>
      <c r="C9" s="20"/>
    </row>
    <row r="10" spans="1:3" x14ac:dyDescent="0.3">
      <c r="A10" s="18"/>
      <c r="B10" s="19"/>
      <c r="C10" s="20"/>
    </row>
    <row r="11" spans="1:3" x14ac:dyDescent="0.3">
      <c r="A11" s="18"/>
      <c r="B11" s="19"/>
      <c r="C11" s="20"/>
    </row>
    <row r="12" spans="1:3" x14ac:dyDescent="0.3">
      <c r="A12" s="18"/>
      <c r="B12" s="19"/>
      <c r="C12" s="20"/>
    </row>
    <row r="13" spans="1:3" x14ac:dyDescent="0.3">
      <c r="A13" s="18"/>
      <c r="B13" s="19"/>
      <c r="C13" s="20"/>
    </row>
    <row r="14" spans="1:3" x14ac:dyDescent="0.3">
      <c r="A14" s="18"/>
      <c r="B14" s="19"/>
      <c r="C14" s="20"/>
    </row>
    <row r="15" spans="1:3" x14ac:dyDescent="0.3">
      <c r="A15" s="18"/>
      <c r="B15" s="19"/>
      <c r="C15" s="20"/>
    </row>
    <row r="16" spans="1:3" x14ac:dyDescent="0.3">
      <c r="A16" s="18"/>
      <c r="B16" s="19"/>
      <c r="C16" s="20"/>
    </row>
    <row r="17" spans="1:3" x14ac:dyDescent="0.3">
      <c r="A17" s="18"/>
      <c r="B17" s="19"/>
      <c r="C17" s="20"/>
    </row>
    <row r="18" spans="1:3" x14ac:dyDescent="0.3">
      <c r="A18" s="18"/>
      <c r="B18" s="19"/>
      <c r="C18" s="20"/>
    </row>
    <row r="19" spans="1:3" x14ac:dyDescent="0.3">
      <c r="A19" s="18"/>
      <c r="B19" s="19"/>
      <c r="C19" s="20"/>
    </row>
    <row r="20" spans="1:3" x14ac:dyDescent="0.3">
      <c r="A20" s="21"/>
      <c r="B20" s="22"/>
      <c r="C20" s="2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BC7F-7D6A-4A6E-9D05-07DA9002D1F5}">
  <dimension ref="A3:B16"/>
  <sheetViews>
    <sheetView topLeftCell="A2" workbookViewId="0">
      <selection activeCell="J13" sqref="J13"/>
    </sheetView>
  </sheetViews>
  <sheetFormatPr defaultRowHeight="14.4" x14ac:dyDescent="0.3"/>
  <cols>
    <col min="1" max="1" width="16.77734375" bestFit="1" customWidth="1"/>
    <col min="2" max="2" width="19.5546875" bestFit="1" customWidth="1"/>
    <col min="3" max="4" width="8.6640625" bestFit="1" customWidth="1"/>
    <col min="5" max="7" width="9" bestFit="1" customWidth="1"/>
    <col min="8" max="9" width="8.77734375" bestFit="1" customWidth="1"/>
    <col min="10" max="12" width="8.6640625" bestFit="1" customWidth="1"/>
    <col min="13" max="15" width="8.44140625" bestFit="1" customWidth="1"/>
    <col min="16" max="18" width="7.88671875" bestFit="1" customWidth="1"/>
    <col min="19" max="21" width="8.5546875" bestFit="1" customWidth="1"/>
    <col min="22" max="24" width="9.109375" bestFit="1" customWidth="1"/>
    <col min="25" max="27" width="9.44140625" bestFit="1" customWidth="1"/>
    <col min="28" max="29" width="9.109375" bestFit="1" customWidth="1"/>
    <col min="30" max="31" width="8.5546875" bestFit="1" customWidth="1"/>
    <col min="32" max="34" width="8.77734375" bestFit="1" customWidth="1"/>
    <col min="35" max="35" width="7" bestFit="1" customWidth="1"/>
    <col min="36" max="36" width="10.77734375" bestFit="1" customWidth="1"/>
    <col min="37" max="44" width="14.77734375" bestFit="1" customWidth="1"/>
    <col min="45" max="45" width="13.77734375" bestFit="1" customWidth="1"/>
    <col min="46" max="55" width="14.77734375" bestFit="1" customWidth="1"/>
    <col min="56" max="56" width="13.77734375" bestFit="1" customWidth="1"/>
    <col min="57" max="67" width="14.77734375" bestFit="1" customWidth="1"/>
    <col min="68" max="68" width="13.77734375" bestFit="1" customWidth="1"/>
    <col min="69" max="78" width="11.33203125" bestFit="1" customWidth="1"/>
    <col min="79" max="79" width="13.5546875" bestFit="1" customWidth="1"/>
    <col min="80" max="88" width="14.77734375" bestFit="1" customWidth="1"/>
    <col min="89" max="89" width="13.5546875" bestFit="1" customWidth="1"/>
    <col min="90" max="100" width="14.77734375" bestFit="1" customWidth="1"/>
    <col min="101" max="101" width="13.44140625" bestFit="1" customWidth="1"/>
    <col min="102" max="110" width="10.6640625" bestFit="1" customWidth="1"/>
    <col min="111" max="111" width="13.44140625" bestFit="1" customWidth="1"/>
    <col min="112" max="121" width="14.77734375" bestFit="1" customWidth="1"/>
    <col min="122" max="122" width="13.44140625" bestFit="1" customWidth="1"/>
    <col min="123" max="133" width="14.77734375" bestFit="1" customWidth="1"/>
    <col min="134" max="134" width="13.21875" bestFit="1" customWidth="1"/>
    <col min="135" max="143" width="14.77734375" bestFit="1" customWidth="1"/>
    <col min="144" max="144" width="13.21875" bestFit="1" customWidth="1"/>
    <col min="145" max="153" width="14.77734375" bestFit="1" customWidth="1"/>
    <col min="154" max="154" width="13.21875" bestFit="1" customWidth="1"/>
    <col min="155" max="165" width="14.77734375" bestFit="1" customWidth="1"/>
    <col min="166" max="166" width="12.5546875" bestFit="1" customWidth="1"/>
    <col min="167" max="174" width="9.88671875" bestFit="1" customWidth="1"/>
    <col min="175" max="175" width="12.5546875" bestFit="1" customWidth="1"/>
    <col min="176" max="183" width="14.77734375" bestFit="1" customWidth="1"/>
    <col min="184" max="184" width="12.5546875" bestFit="1" customWidth="1"/>
    <col min="185" max="195" width="14.77734375" bestFit="1" customWidth="1"/>
    <col min="196" max="196" width="13.33203125" bestFit="1" customWidth="1"/>
    <col min="197" max="206" width="14.77734375" bestFit="1" customWidth="1"/>
    <col min="207" max="207" width="13.33203125" bestFit="1" customWidth="1"/>
    <col min="208" max="216" width="14.77734375" bestFit="1" customWidth="1"/>
    <col min="217" max="217" width="13.33203125" bestFit="1" customWidth="1"/>
    <col min="218" max="226" width="14.77734375" bestFit="1" customWidth="1"/>
    <col min="227" max="227" width="13.88671875" bestFit="1" customWidth="1"/>
    <col min="228" max="238" width="14.77734375" bestFit="1" customWidth="1"/>
    <col min="239" max="239" width="13.88671875" bestFit="1" customWidth="1"/>
    <col min="240" max="248" width="14.77734375" bestFit="1" customWidth="1"/>
    <col min="249" max="249" width="13.88671875" bestFit="1" customWidth="1"/>
    <col min="250" max="259" width="14.77734375" bestFit="1" customWidth="1"/>
    <col min="260" max="260" width="14.21875" bestFit="1" customWidth="1"/>
    <col min="261" max="271" width="14.77734375" bestFit="1" customWidth="1"/>
    <col min="272" max="272" width="14.21875" bestFit="1" customWidth="1"/>
    <col min="273" max="284" width="14.77734375" bestFit="1" customWidth="1"/>
    <col min="285" max="285" width="14.21875" bestFit="1" customWidth="1"/>
    <col min="286" max="292" width="14.77734375" bestFit="1" customWidth="1"/>
    <col min="293" max="293" width="13.88671875" bestFit="1" customWidth="1"/>
    <col min="294" max="301" width="14.77734375" bestFit="1" customWidth="1"/>
    <col min="302" max="302" width="13.88671875" bestFit="1" customWidth="1"/>
    <col min="303" max="313" width="14.77734375" bestFit="1" customWidth="1"/>
    <col min="314" max="314" width="13.33203125" bestFit="1" customWidth="1"/>
    <col min="315" max="323" width="14.77734375" bestFit="1" customWidth="1"/>
    <col min="324" max="324" width="13.33203125" bestFit="1" customWidth="1"/>
    <col min="325" max="332" width="10.77734375" bestFit="1" customWidth="1"/>
    <col min="333" max="333" width="13.5546875" bestFit="1" customWidth="1"/>
    <col min="334" max="343" width="14.77734375" bestFit="1" customWidth="1"/>
    <col min="344" max="344" width="13.5546875" bestFit="1" customWidth="1"/>
    <col min="345" max="351" width="14.77734375" bestFit="1" customWidth="1"/>
    <col min="352" max="352" width="13.5546875" bestFit="1" customWidth="1"/>
    <col min="353" max="353" width="9" bestFit="1" customWidth="1"/>
    <col min="354" max="354" width="11.6640625" bestFit="1" customWidth="1"/>
    <col min="355" max="355" width="10.77734375" bestFit="1" customWidth="1"/>
  </cols>
  <sheetData>
    <row r="3" spans="1:2" x14ac:dyDescent="0.3">
      <c r="A3" s="12" t="s">
        <v>1433</v>
      </c>
      <c r="B3" t="s">
        <v>1436</v>
      </c>
    </row>
    <row r="4" spans="1:2" x14ac:dyDescent="0.3">
      <c r="A4" s="13" t="s">
        <v>655</v>
      </c>
      <c r="B4" s="24">
        <v>1037432.4552200001</v>
      </c>
    </row>
    <row r="5" spans="1:2" x14ac:dyDescent="0.3">
      <c r="A5" s="13" t="s">
        <v>653</v>
      </c>
      <c r="B5" s="24">
        <v>882622.97854000016</v>
      </c>
    </row>
    <row r="6" spans="1:2" x14ac:dyDescent="0.3">
      <c r="A6" s="13" t="s">
        <v>659</v>
      </c>
      <c r="B6" s="24">
        <v>894790.37817000004</v>
      </c>
    </row>
    <row r="7" spans="1:2" x14ac:dyDescent="0.3">
      <c r="A7" s="13" t="s">
        <v>657</v>
      </c>
      <c r="B7" s="24">
        <v>819850.39688999963</v>
      </c>
    </row>
    <row r="8" spans="1:2" x14ac:dyDescent="0.3">
      <c r="A8" s="13" t="s">
        <v>656</v>
      </c>
      <c r="B8" s="24">
        <v>929424.8882200002</v>
      </c>
    </row>
    <row r="9" spans="1:2" x14ac:dyDescent="0.3">
      <c r="A9" s="13" t="s">
        <v>654</v>
      </c>
      <c r="B9" s="24">
        <v>1091932.6467800003</v>
      </c>
    </row>
    <row r="10" spans="1:2" x14ac:dyDescent="0.3">
      <c r="A10" s="13" t="s">
        <v>652</v>
      </c>
      <c r="B10" s="24">
        <v>854748.89269999997</v>
      </c>
    </row>
    <row r="11" spans="1:2" x14ac:dyDescent="0.3">
      <c r="A11" s="13" t="s">
        <v>650</v>
      </c>
      <c r="B11" s="24">
        <v>948289.57648999977</v>
      </c>
    </row>
    <row r="12" spans="1:2" x14ac:dyDescent="0.3">
      <c r="A12" s="13" t="s">
        <v>651</v>
      </c>
      <c r="B12" s="24">
        <v>881838.67690999969</v>
      </c>
    </row>
    <row r="13" spans="1:2" x14ac:dyDescent="0.3">
      <c r="A13" s="13" t="s">
        <v>661</v>
      </c>
      <c r="B13" s="24">
        <v>779637.54197999963</v>
      </c>
    </row>
    <row r="14" spans="1:2" x14ac:dyDescent="0.3">
      <c r="A14" s="13" t="s">
        <v>658</v>
      </c>
      <c r="B14" s="24">
        <v>1142454.45114</v>
      </c>
    </row>
    <row r="15" spans="1:2" x14ac:dyDescent="0.3">
      <c r="A15" s="13" t="s">
        <v>660</v>
      </c>
      <c r="B15" s="24">
        <v>768694.58758000017</v>
      </c>
    </row>
    <row r="16" spans="1:2" x14ac:dyDescent="0.3">
      <c r="A16" s="13" t="s">
        <v>1435</v>
      </c>
      <c r="B16" s="24">
        <v>11031717.470620001</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1DAE7168-461C-44CF-A39D-A060E7719FEF}">
          <x14:colorSeries rgb="FF376092"/>
          <x14:colorNegative rgb="FFD00000"/>
          <x14:colorAxis rgb="FF000000"/>
          <x14:colorMarkers rgb="FFD00000"/>
          <x14:colorFirst rgb="FFD00000"/>
          <x14:colorLast rgb="FFD00000"/>
          <x14:colorHigh rgb="FFD00000"/>
          <x14:colorLow rgb="FFD00000"/>
          <x14:sparklines>
            <x14:sparkline>
              <xm:f>'First time sales(country )'!B4</xm:f>
              <xm:sqref>B15</xm:sqref>
            </x14:sparkline>
          </x14:sparklines>
        </x14:sparklineGroup>
      </x14:sparklineGroup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244B6-B949-4AE8-B100-268CB09B2ACD}">
  <dimension ref="A4:B4"/>
  <sheetViews>
    <sheetView workbookViewId="0">
      <selection activeCell="O2" sqref="O2"/>
    </sheetView>
  </sheetViews>
  <sheetFormatPr defaultRowHeight="14.4" x14ac:dyDescent="0.3"/>
  <cols>
    <col min="1" max="1" width="8.88671875" style="25"/>
    <col min="2" max="16384" width="8.88671875" style="26"/>
  </cols>
  <sheetData>
    <row r="4" spans="2:2" x14ac:dyDescent="0.3">
      <c r="B4"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056D-5FF0-4E70-BF6E-17BCC8693CF3}">
  <dimension ref="A1:I17"/>
  <sheetViews>
    <sheetView topLeftCell="A7" workbookViewId="0">
      <selection activeCell="D6" sqref="D6"/>
    </sheetView>
  </sheetViews>
  <sheetFormatPr defaultRowHeight="14.4" x14ac:dyDescent="0.3"/>
  <cols>
    <col min="1" max="1" width="16.33203125" bestFit="1" customWidth="1"/>
    <col min="2" max="2" width="15.5546875" bestFit="1" customWidth="1"/>
    <col min="3" max="3" width="11.77734375" bestFit="1" customWidth="1"/>
    <col min="4" max="4" width="7.6640625" bestFit="1" customWidth="1"/>
    <col min="5" max="5" width="8.6640625" bestFit="1" customWidth="1"/>
    <col min="6" max="6" width="10.77734375" bestFit="1" customWidth="1"/>
    <col min="7" max="7" width="7.21875" bestFit="1" customWidth="1"/>
    <col min="8" max="8" width="7.44140625" bestFit="1" customWidth="1"/>
    <col min="9" max="9" width="10.77734375" bestFit="1" customWidth="1"/>
    <col min="10" max="10" width="12" bestFit="1" customWidth="1"/>
  </cols>
  <sheetData>
    <row r="1" spans="1:9" x14ac:dyDescent="0.3">
      <c r="A1" s="12" t="s">
        <v>1477</v>
      </c>
      <c r="B1" t="s">
        <v>1478</v>
      </c>
    </row>
    <row r="3" spans="1:9" x14ac:dyDescent="0.3">
      <c r="A3" s="12" t="s">
        <v>1479</v>
      </c>
      <c r="B3" s="12" t="s">
        <v>1440</v>
      </c>
    </row>
    <row r="4" spans="1:9" x14ac:dyDescent="0.3">
      <c r="A4" s="12" t="s">
        <v>1433</v>
      </c>
      <c r="B4" t="s">
        <v>733</v>
      </c>
      <c r="C4" t="s">
        <v>727</v>
      </c>
      <c r="D4" t="s">
        <v>731</v>
      </c>
      <c r="E4" t="s">
        <v>732</v>
      </c>
      <c r="F4" t="s">
        <v>729</v>
      </c>
      <c r="G4" t="s">
        <v>730</v>
      </c>
      <c r="H4" t="s">
        <v>728</v>
      </c>
      <c r="I4" t="s">
        <v>1435</v>
      </c>
    </row>
    <row r="5" spans="1:9" x14ac:dyDescent="0.3">
      <c r="A5" s="13" t="s">
        <v>655</v>
      </c>
      <c r="B5" s="7">
        <v>0.22222222222222221</v>
      </c>
      <c r="C5" s="7">
        <v>5.5555555555555552E-2</v>
      </c>
      <c r="D5" s="7">
        <v>5.5555555555555552E-2</v>
      </c>
      <c r="E5" s="7">
        <v>0.16666666666666666</v>
      </c>
      <c r="F5" s="7">
        <v>0.1111111111111111</v>
      </c>
      <c r="G5" s="7">
        <v>0.27777777777777779</v>
      </c>
      <c r="H5" s="7">
        <v>0.1111111111111111</v>
      </c>
      <c r="I5" s="7">
        <v>1</v>
      </c>
    </row>
    <row r="6" spans="1:9" x14ac:dyDescent="0.3">
      <c r="A6" s="13" t="s">
        <v>653</v>
      </c>
      <c r="B6" s="7">
        <v>0.22222222222222221</v>
      </c>
      <c r="C6" s="7">
        <v>0.33333333333333331</v>
      </c>
      <c r="D6" s="7">
        <v>0.22222222222222221</v>
      </c>
      <c r="E6" s="7">
        <v>0</v>
      </c>
      <c r="F6" s="7">
        <v>0</v>
      </c>
      <c r="G6" s="7">
        <v>0</v>
      </c>
      <c r="H6" s="7">
        <v>0.22222222222222221</v>
      </c>
      <c r="I6" s="7">
        <v>1</v>
      </c>
    </row>
    <row r="7" spans="1:9" x14ac:dyDescent="0.3">
      <c r="A7" s="13" t="s">
        <v>659</v>
      </c>
      <c r="B7" s="7">
        <v>0.3</v>
      </c>
      <c r="C7" s="7">
        <v>0</v>
      </c>
      <c r="D7" s="7">
        <v>0.1</v>
      </c>
      <c r="E7" s="7">
        <v>0.1</v>
      </c>
      <c r="F7" s="7">
        <v>0.4</v>
      </c>
      <c r="G7" s="7">
        <v>0.1</v>
      </c>
      <c r="H7" s="7">
        <v>0</v>
      </c>
      <c r="I7" s="7">
        <v>1</v>
      </c>
    </row>
    <row r="8" spans="1:9" x14ac:dyDescent="0.3">
      <c r="A8" s="13" t="s">
        <v>657</v>
      </c>
      <c r="B8" s="7">
        <v>7.6923076923076927E-2</v>
      </c>
      <c r="C8" s="7">
        <v>0.23076923076923078</v>
      </c>
      <c r="D8" s="7">
        <v>0.15384615384615385</v>
      </c>
      <c r="E8" s="7">
        <v>0.23076923076923078</v>
      </c>
      <c r="F8" s="7">
        <v>0.15384615384615385</v>
      </c>
      <c r="G8" s="7">
        <v>0</v>
      </c>
      <c r="H8" s="7">
        <v>0.15384615384615385</v>
      </c>
      <c r="I8" s="7">
        <v>1</v>
      </c>
    </row>
    <row r="9" spans="1:9" x14ac:dyDescent="0.3">
      <c r="A9" s="13" t="s">
        <v>656</v>
      </c>
      <c r="B9" s="7">
        <v>0.33333333333333331</v>
      </c>
      <c r="C9" s="7">
        <v>0.16666666666666666</v>
      </c>
      <c r="D9" s="7">
        <v>0.16666666666666666</v>
      </c>
      <c r="E9" s="7">
        <v>8.3333333333333329E-2</v>
      </c>
      <c r="F9" s="7">
        <v>8.3333333333333329E-2</v>
      </c>
      <c r="G9" s="7">
        <v>8.3333333333333329E-2</v>
      </c>
      <c r="H9" s="7">
        <v>8.3333333333333329E-2</v>
      </c>
      <c r="I9" s="7">
        <v>1</v>
      </c>
    </row>
    <row r="10" spans="1:9" x14ac:dyDescent="0.3">
      <c r="A10" s="13" t="s">
        <v>654</v>
      </c>
      <c r="B10" s="7">
        <v>0.16666666666666666</v>
      </c>
      <c r="C10" s="7">
        <v>0.16666666666666666</v>
      </c>
      <c r="D10" s="7">
        <v>8.3333333333333329E-2</v>
      </c>
      <c r="E10" s="7">
        <v>0.16666666666666666</v>
      </c>
      <c r="F10" s="7">
        <v>8.3333333333333329E-2</v>
      </c>
      <c r="G10" s="7">
        <v>0.16666666666666666</v>
      </c>
      <c r="H10" s="7">
        <v>0.16666666666666666</v>
      </c>
      <c r="I10" s="7">
        <v>1</v>
      </c>
    </row>
    <row r="11" spans="1:9" x14ac:dyDescent="0.3">
      <c r="A11" s="13" t="s">
        <v>652</v>
      </c>
      <c r="B11" s="7">
        <v>7.1428571428571425E-2</v>
      </c>
      <c r="C11" s="7">
        <v>0.21428571428571427</v>
      </c>
      <c r="D11" s="7">
        <v>0.21428571428571427</v>
      </c>
      <c r="E11" s="7">
        <v>0.14285714285714285</v>
      </c>
      <c r="F11" s="7">
        <v>7.1428571428571425E-2</v>
      </c>
      <c r="G11" s="7">
        <v>7.1428571428571425E-2</v>
      </c>
      <c r="H11" s="7">
        <v>0.21428571428571427</v>
      </c>
      <c r="I11" s="7">
        <v>1</v>
      </c>
    </row>
    <row r="12" spans="1:9" x14ac:dyDescent="0.3">
      <c r="A12" s="13" t="s">
        <v>650</v>
      </c>
      <c r="B12" s="7">
        <v>0.23529411764705882</v>
      </c>
      <c r="C12" s="7">
        <v>5.8823529411764705E-2</v>
      </c>
      <c r="D12" s="7">
        <v>0.41176470588235292</v>
      </c>
      <c r="E12" s="7">
        <v>0</v>
      </c>
      <c r="F12" s="7">
        <v>0.11764705882352941</v>
      </c>
      <c r="G12" s="7">
        <v>0.11764705882352941</v>
      </c>
      <c r="H12" s="7">
        <v>5.8823529411764705E-2</v>
      </c>
      <c r="I12" s="7">
        <v>1</v>
      </c>
    </row>
    <row r="13" spans="1:9" x14ac:dyDescent="0.3">
      <c r="A13" s="13" t="s">
        <v>651</v>
      </c>
      <c r="B13" s="7">
        <v>0.31578947368421051</v>
      </c>
      <c r="C13" s="7">
        <v>0.10526315789473684</v>
      </c>
      <c r="D13" s="7">
        <v>0.15789473684210525</v>
      </c>
      <c r="E13" s="7">
        <v>0.15789473684210525</v>
      </c>
      <c r="F13" s="7">
        <v>5.2631578947368418E-2</v>
      </c>
      <c r="G13" s="7">
        <v>5.2631578947368418E-2</v>
      </c>
      <c r="H13" s="7">
        <v>0.15789473684210525</v>
      </c>
      <c r="I13" s="7">
        <v>1</v>
      </c>
    </row>
    <row r="14" spans="1:9" x14ac:dyDescent="0.3">
      <c r="A14" s="13" t="s">
        <v>661</v>
      </c>
      <c r="B14" s="7">
        <v>0.13333333333333333</v>
      </c>
      <c r="C14" s="7">
        <v>0.33333333333333331</v>
      </c>
      <c r="D14" s="7">
        <v>0.13333333333333333</v>
      </c>
      <c r="E14" s="7">
        <v>6.6666666666666666E-2</v>
      </c>
      <c r="F14" s="7">
        <v>0.13333333333333333</v>
      </c>
      <c r="G14" s="7">
        <v>0.13333333333333333</v>
      </c>
      <c r="H14" s="7">
        <v>6.6666666666666666E-2</v>
      </c>
      <c r="I14" s="7">
        <v>1</v>
      </c>
    </row>
    <row r="15" spans="1:9" x14ac:dyDescent="0.3">
      <c r="A15" s="13" t="s">
        <v>658</v>
      </c>
      <c r="B15" s="7">
        <v>6.6666666666666666E-2</v>
      </c>
      <c r="C15" s="7">
        <v>0.13333333333333333</v>
      </c>
      <c r="D15" s="7">
        <v>0.26666666666666666</v>
      </c>
      <c r="E15" s="7">
        <v>0.13333333333333333</v>
      </c>
      <c r="F15" s="7">
        <v>0.13333333333333333</v>
      </c>
      <c r="G15" s="7">
        <v>6.6666666666666666E-2</v>
      </c>
      <c r="H15" s="7">
        <v>0.2</v>
      </c>
      <c r="I15" s="7">
        <v>1</v>
      </c>
    </row>
    <row r="16" spans="1:9" x14ac:dyDescent="0.3">
      <c r="A16" s="13" t="s">
        <v>660</v>
      </c>
      <c r="B16" s="7">
        <v>0.1111111111111111</v>
      </c>
      <c r="C16" s="7">
        <v>0.1111111111111111</v>
      </c>
      <c r="D16" s="7">
        <v>5.5555555555555552E-2</v>
      </c>
      <c r="E16" s="7">
        <v>5.5555555555555552E-2</v>
      </c>
      <c r="F16" s="7">
        <v>0.27777777777777779</v>
      </c>
      <c r="G16" s="7">
        <v>5.5555555555555552E-2</v>
      </c>
      <c r="H16" s="7">
        <v>0.33333333333333331</v>
      </c>
      <c r="I16" s="7">
        <v>1</v>
      </c>
    </row>
    <row r="17" spans="1:9" x14ac:dyDescent="0.3">
      <c r="A17" s="13" t="s">
        <v>1435</v>
      </c>
      <c r="B17" s="7">
        <v>0.18604651162790697</v>
      </c>
      <c r="C17" s="7">
        <v>0.15116279069767441</v>
      </c>
      <c r="D17" s="7">
        <v>0.16860465116279069</v>
      </c>
      <c r="E17" s="7">
        <v>0.11046511627906977</v>
      </c>
      <c r="F17" s="7">
        <v>0.13372093023255813</v>
      </c>
      <c r="G17" s="7">
        <v>9.8837209302325577E-2</v>
      </c>
      <c r="H17" s="7">
        <v>0.15116279069767441</v>
      </c>
      <c r="I17" s="7">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6D81-EF15-4ED5-AD26-5C64EC6159E0}">
  <dimension ref="A1:R9"/>
  <sheetViews>
    <sheetView workbookViewId="0">
      <selection activeCell="N6" sqref="N6"/>
    </sheetView>
  </sheetViews>
  <sheetFormatPr defaultRowHeight="14.4" x14ac:dyDescent="0.3"/>
  <cols>
    <col min="1" max="1" width="15.44140625" bestFit="1" customWidth="1"/>
    <col min="2" max="2" width="15.5546875" bestFit="1" customWidth="1"/>
    <col min="3" max="3" width="7.44140625" bestFit="1" customWidth="1"/>
    <col min="4" max="4" width="8.77734375" bestFit="1" customWidth="1"/>
    <col min="5" max="5" width="8.109375" bestFit="1" customWidth="1"/>
    <col min="6" max="6" width="8.21875" bestFit="1" customWidth="1"/>
    <col min="7" max="7" width="8.33203125" bestFit="1" customWidth="1"/>
    <col min="8" max="8" width="9" bestFit="1" customWidth="1"/>
    <col min="9" max="9" width="6.44140625" bestFit="1" customWidth="1"/>
    <col min="10" max="10" width="9.5546875" bestFit="1" customWidth="1"/>
    <col min="11" max="11" width="6.6640625" bestFit="1" customWidth="1"/>
    <col min="12" max="12" width="7.77734375" bestFit="1" customWidth="1"/>
    <col min="13" max="13" width="8.6640625" bestFit="1" customWidth="1"/>
    <col min="14" max="14" width="8" bestFit="1" customWidth="1"/>
    <col min="15" max="15" width="8.77734375" bestFit="1" customWidth="1"/>
    <col min="16" max="16" width="13.77734375" bestFit="1" customWidth="1"/>
    <col min="17" max="17" width="8.21875" bestFit="1" customWidth="1"/>
    <col min="18" max="18" width="10.77734375" bestFit="1" customWidth="1"/>
  </cols>
  <sheetData>
    <row r="1" spans="1:18" x14ac:dyDescent="0.3">
      <c r="A1" s="12" t="s">
        <v>1475</v>
      </c>
      <c r="B1" t="s">
        <v>1476</v>
      </c>
    </row>
    <row r="3" spans="1:18" x14ac:dyDescent="0.3">
      <c r="A3" s="12" t="s">
        <v>1473</v>
      </c>
      <c r="B3" s="12" t="s">
        <v>1440</v>
      </c>
    </row>
    <row r="4" spans="1:18" x14ac:dyDescent="0.3">
      <c r="A4" s="12" t="s">
        <v>1433</v>
      </c>
      <c r="B4" t="s">
        <v>720</v>
      </c>
      <c r="C4" t="s">
        <v>717</v>
      </c>
      <c r="D4" t="s">
        <v>712</v>
      </c>
      <c r="E4" t="s">
        <v>726</v>
      </c>
      <c r="F4" t="s">
        <v>718</v>
      </c>
      <c r="G4" t="s">
        <v>721</v>
      </c>
      <c r="H4" t="s">
        <v>715</v>
      </c>
      <c r="I4" t="s">
        <v>722</v>
      </c>
      <c r="J4" t="s">
        <v>714</v>
      </c>
      <c r="K4" t="s">
        <v>713</v>
      </c>
      <c r="L4" t="s">
        <v>723</v>
      </c>
      <c r="M4" t="s">
        <v>716</v>
      </c>
      <c r="N4" t="s">
        <v>724</v>
      </c>
      <c r="O4" t="s">
        <v>725</v>
      </c>
      <c r="P4" t="s">
        <v>1421</v>
      </c>
      <c r="Q4" t="s">
        <v>719</v>
      </c>
      <c r="R4" t="s">
        <v>1435</v>
      </c>
    </row>
    <row r="5" spans="1:18" x14ac:dyDescent="0.3">
      <c r="A5" s="13" t="s">
        <v>646</v>
      </c>
      <c r="B5" s="24">
        <v>3</v>
      </c>
      <c r="C5" s="24"/>
      <c r="D5" s="24">
        <v>2</v>
      </c>
      <c r="E5" s="24">
        <v>2</v>
      </c>
      <c r="F5" s="24">
        <v>1</v>
      </c>
      <c r="G5" s="24"/>
      <c r="H5" s="24"/>
      <c r="I5" s="24">
        <v>1</v>
      </c>
      <c r="J5" s="24">
        <v>2</v>
      </c>
      <c r="K5" s="24">
        <v>3</v>
      </c>
      <c r="L5" s="24"/>
      <c r="M5" s="24">
        <v>2</v>
      </c>
      <c r="N5" s="24">
        <v>5</v>
      </c>
      <c r="O5" s="24"/>
      <c r="P5" s="24">
        <v>1</v>
      </c>
      <c r="Q5" s="24"/>
      <c r="R5" s="24">
        <v>22</v>
      </c>
    </row>
    <row r="6" spans="1:18" x14ac:dyDescent="0.3">
      <c r="A6" s="13" t="s">
        <v>648</v>
      </c>
      <c r="B6" s="24">
        <v>5</v>
      </c>
      <c r="C6" s="24">
        <v>1</v>
      </c>
      <c r="D6" s="24">
        <v>2</v>
      </c>
      <c r="E6" s="24">
        <v>4</v>
      </c>
      <c r="F6" s="24"/>
      <c r="G6" s="24">
        <v>1</v>
      </c>
      <c r="H6" s="24">
        <v>1</v>
      </c>
      <c r="I6" s="24"/>
      <c r="J6" s="24">
        <v>5</v>
      </c>
      <c r="K6" s="24"/>
      <c r="L6" s="24">
        <v>1</v>
      </c>
      <c r="M6" s="24">
        <v>3</v>
      </c>
      <c r="N6" s="24">
        <v>2</v>
      </c>
      <c r="O6" s="24">
        <v>1</v>
      </c>
      <c r="P6" s="24">
        <v>1</v>
      </c>
      <c r="Q6" s="24"/>
      <c r="R6" s="24">
        <v>27</v>
      </c>
    </row>
    <row r="7" spans="1:18" x14ac:dyDescent="0.3">
      <c r="A7" s="13" t="s">
        <v>647</v>
      </c>
      <c r="B7" s="24"/>
      <c r="C7" s="24">
        <v>2</v>
      </c>
      <c r="D7" s="24">
        <v>3</v>
      </c>
      <c r="E7" s="24">
        <v>1</v>
      </c>
      <c r="F7" s="24"/>
      <c r="G7" s="24">
        <v>3</v>
      </c>
      <c r="H7" s="24">
        <v>1</v>
      </c>
      <c r="I7" s="24">
        <v>2</v>
      </c>
      <c r="J7" s="24">
        <v>1</v>
      </c>
      <c r="K7" s="24">
        <v>2</v>
      </c>
      <c r="L7" s="24">
        <v>1</v>
      </c>
      <c r="M7" s="24">
        <v>3</v>
      </c>
      <c r="N7" s="24"/>
      <c r="O7" s="24">
        <v>1</v>
      </c>
      <c r="P7" s="24"/>
      <c r="Q7" s="24">
        <v>4</v>
      </c>
      <c r="R7" s="24">
        <v>24</v>
      </c>
    </row>
    <row r="8" spans="1:18" x14ac:dyDescent="0.3">
      <c r="A8" s="13" t="s">
        <v>649</v>
      </c>
      <c r="B8" s="24">
        <v>1</v>
      </c>
      <c r="C8" s="24">
        <v>2</v>
      </c>
      <c r="D8" s="24">
        <v>1</v>
      </c>
      <c r="E8" s="24">
        <v>1</v>
      </c>
      <c r="F8" s="24">
        <v>2</v>
      </c>
      <c r="G8" s="24"/>
      <c r="H8" s="24">
        <v>1</v>
      </c>
      <c r="I8" s="24">
        <v>1</v>
      </c>
      <c r="J8" s="24">
        <v>1</v>
      </c>
      <c r="K8" s="24">
        <v>1</v>
      </c>
      <c r="L8" s="24">
        <v>2</v>
      </c>
      <c r="M8" s="24"/>
      <c r="N8" s="24">
        <v>1</v>
      </c>
      <c r="O8" s="24">
        <v>3</v>
      </c>
      <c r="P8" s="24"/>
      <c r="Q8" s="24"/>
      <c r="R8" s="24">
        <v>17</v>
      </c>
    </row>
    <row r="9" spans="1:18" x14ac:dyDescent="0.3">
      <c r="A9" s="13" t="s">
        <v>1435</v>
      </c>
      <c r="B9" s="24">
        <v>9</v>
      </c>
      <c r="C9" s="24">
        <v>5</v>
      </c>
      <c r="D9" s="24">
        <v>8</v>
      </c>
      <c r="E9" s="24">
        <v>8</v>
      </c>
      <c r="F9" s="24">
        <v>3</v>
      </c>
      <c r="G9" s="24">
        <v>4</v>
      </c>
      <c r="H9" s="24">
        <v>3</v>
      </c>
      <c r="I9" s="24">
        <v>4</v>
      </c>
      <c r="J9" s="24">
        <v>9</v>
      </c>
      <c r="K9" s="24">
        <v>6</v>
      </c>
      <c r="L9" s="24">
        <v>4</v>
      </c>
      <c r="M9" s="24">
        <v>8</v>
      </c>
      <c r="N9" s="24">
        <v>8</v>
      </c>
      <c r="O9" s="24">
        <v>5</v>
      </c>
      <c r="P9" s="24">
        <v>2</v>
      </c>
      <c r="Q9" s="24">
        <v>4</v>
      </c>
      <c r="R9" s="24">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57" workbookViewId="0">
      <selection activeCell="K64" sqref="K64"/>
    </sheetView>
  </sheetViews>
  <sheetFormatPr defaultRowHeight="14.4" x14ac:dyDescent="0.3"/>
  <sheetData>
    <row r="1" spans="1:1" x14ac:dyDescent="0.3">
      <c r="A1" s="1" t="s">
        <v>1364</v>
      </c>
    </row>
    <row r="2" spans="1:1" x14ac:dyDescent="0.3">
      <c r="A2" t="s">
        <v>1365</v>
      </c>
    </row>
    <row r="4" spans="1:1" x14ac:dyDescent="0.3">
      <c r="A4" t="s">
        <v>1366</v>
      </c>
    </row>
    <row r="5" spans="1:1" x14ac:dyDescent="0.3">
      <c r="A5" t="s">
        <v>1367</v>
      </c>
    </row>
    <row r="6" spans="1:1" x14ac:dyDescent="0.3">
      <c r="A6" t="s">
        <v>1368</v>
      </c>
    </row>
    <row r="8" spans="1:1" x14ac:dyDescent="0.3">
      <c r="A8" t="s">
        <v>1369</v>
      </c>
    </row>
    <row r="9" spans="1:1" x14ac:dyDescent="0.3">
      <c r="A9" t="s">
        <v>1370</v>
      </c>
    </row>
    <row r="10" spans="1:1" x14ac:dyDescent="0.3">
      <c r="A10" t="s">
        <v>1371</v>
      </c>
    </row>
    <row r="11" spans="1:1" x14ac:dyDescent="0.3">
      <c r="A11" t="s">
        <v>1372</v>
      </c>
    </row>
    <row r="12" spans="1:1" x14ac:dyDescent="0.3">
      <c r="A12" t="s">
        <v>1373</v>
      </c>
    </row>
    <row r="13" spans="1:1" x14ac:dyDescent="0.3">
      <c r="A13" t="s">
        <v>1374</v>
      </c>
    </row>
    <row r="14" spans="1:1" x14ac:dyDescent="0.3">
      <c r="A14" t="s">
        <v>1375</v>
      </c>
    </row>
    <row r="15" spans="1:1" x14ac:dyDescent="0.3">
      <c r="A15" t="s">
        <v>1376</v>
      </c>
    </row>
    <row r="17" spans="1:1" x14ac:dyDescent="0.3">
      <c r="A17" t="s">
        <v>1377</v>
      </c>
    </row>
    <row r="18" spans="1:1" x14ac:dyDescent="0.3">
      <c r="A18" t="s">
        <v>1378</v>
      </c>
    </row>
    <row r="19" spans="1:1" x14ac:dyDescent="0.3">
      <c r="A19" t="s">
        <v>1379</v>
      </c>
    </row>
    <row r="20" spans="1:1" x14ac:dyDescent="0.3">
      <c r="A20" t="s">
        <v>1380</v>
      </c>
    </row>
    <row r="21" spans="1:1" x14ac:dyDescent="0.3">
      <c r="A21" t="s">
        <v>1381</v>
      </c>
    </row>
    <row r="24" spans="1:1" x14ac:dyDescent="0.3">
      <c r="A24" t="s">
        <v>1382</v>
      </c>
    </row>
    <row r="25" spans="1:1" x14ac:dyDescent="0.3">
      <c r="A25" t="s">
        <v>1383</v>
      </c>
    </row>
    <row r="26" spans="1:1" x14ac:dyDescent="0.3">
      <c r="A26" t="s">
        <v>1384</v>
      </c>
    </row>
    <row r="27" spans="1:1" x14ac:dyDescent="0.3">
      <c r="A27" t="s">
        <v>1385</v>
      </c>
    </row>
    <row r="29" spans="1:1" x14ac:dyDescent="0.3">
      <c r="A29" t="s">
        <v>1386</v>
      </c>
    </row>
    <row r="30" spans="1:1" x14ac:dyDescent="0.3">
      <c r="A30" t="s">
        <v>1387</v>
      </c>
    </row>
    <row r="31" spans="1:1" x14ac:dyDescent="0.3">
      <c r="A31" t="s">
        <v>1388</v>
      </c>
    </row>
    <row r="32" spans="1:1" x14ac:dyDescent="0.3">
      <c r="A32" t="s">
        <v>1389</v>
      </c>
    </row>
    <row r="33" spans="1:1" x14ac:dyDescent="0.3">
      <c r="A33" t="s">
        <v>1390</v>
      </c>
    </row>
    <row r="34" spans="1:1" x14ac:dyDescent="0.3">
      <c r="A34" t="s">
        <v>1391</v>
      </c>
    </row>
    <row r="35" spans="1:1" x14ac:dyDescent="0.3">
      <c r="A35" t="s">
        <v>1392</v>
      </c>
    </row>
    <row r="36" spans="1:1" x14ac:dyDescent="0.3">
      <c r="A36" t="s">
        <v>1393</v>
      </c>
    </row>
    <row r="37" spans="1:1" x14ac:dyDescent="0.3">
      <c r="A37" t="s">
        <v>1394</v>
      </c>
    </row>
    <row r="38" spans="1:1" x14ac:dyDescent="0.3">
      <c r="A38" t="s">
        <v>1395</v>
      </c>
    </row>
    <row r="39" spans="1:1" x14ac:dyDescent="0.3">
      <c r="A39" t="s">
        <v>1396</v>
      </c>
    </row>
    <row r="40" spans="1:1" x14ac:dyDescent="0.3">
      <c r="A40" t="s">
        <v>1397</v>
      </c>
    </row>
    <row r="41" spans="1:1" x14ac:dyDescent="0.3">
      <c r="A41" t="s">
        <v>1398</v>
      </c>
    </row>
    <row r="43" spans="1:1" x14ac:dyDescent="0.3">
      <c r="A43" t="s">
        <v>1399</v>
      </c>
    </row>
    <row r="44" spans="1:1" x14ac:dyDescent="0.3">
      <c r="A44" t="s">
        <v>1400</v>
      </c>
    </row>
    <row r="45" spans="1:1" x14ac:dyDescent="0.3">
      <c r="A45" t="s">
        <v>1401</v>
      </c>
    </row>
    <row r="46" spans="1:1" x14ac:dyDescent="0.3">
      <c r="A46" t="s">
        <v>1402</v>
      </c>
    </row>
    <row r="47" spans="1:1" x14ac:dyDescent="0.3">
      <c r="A47" t="s">
        <v>1403</v>
      </c>
    </row>
    <row r="48" spans="1:1" x14ac:dyDescent="0.3">
      <c r="A48" t="s">
        <v>1404</v>
      </c>
    </row>
    <row r="50" spans="1:1" x14ac:dyDescent="0.3">
      <c r="A50" t="s">
        <v>1405</v>
      </c>
    </row>
    <row r="51" spans="1:1" x14ac:dyDescent="0.3">
      <c r="A51" t="s">
        <v>1406</v>
      </c>
    </row>
    <row r="52" spans="1:1" x14ac:dyDescent="0.3">
      <c r="A52" t="s">
        <v>1407</v>
      </c>
    </row>
    <row r="53" spans="1:1" x14ac:dyDescent="0.3">
      <c r="A53" t="s">
        <v>1408</v>
      </c>
    </row>
    <row r="54" spans="1:1" x14ac:dyDescent="0.3">
      <c r="A54" t="s">
        <v>1409</v>
      </c>
    </row>
    <row r="55" spans="1:1" x14ac:dyDescent="0.3">
      <c r="A55" t="s">
        <v>1410</v>
      </c>
    </row>
    <row r="56" spans="1:1" x14ac:dyDescent="0.3">
      <c r="A56" t="s">
        <v>1411</v>
      </c>
    </row>
    <row r="57" spans="1:1" x14ac:dyDescent="0.3">
      <c r="A57" t="s">
        <v>1412</v>
      </c>
    </row>
    <row r="58" spans="1:1" x14ac:dyDescent="0.3">
      <c r="A58" t="s">
        <v>1413</v>
      </c>
    </row>
    <row r="59" spans="1:1" x14ac:dyDescent="0.3">
      <c r="A59" t="s">
        <v>1414</v>
      </c>
    </row>
    <row r="61" spans="1:1" x14ac:dyDescent="0.3">
      <c r="A61" t="s">
        <v>1415</v>
      </c>
    </row>
    <row r="62" spans="1:1" x14ac:dyDescent="0.3">
      <c r="A62" t="s">
        <v>1416</v>
      </c>
    </row>
    <row r="64" spans="1:1" x14ac:dyDescent="0.3">
      <c r="A64" t="s">
        <v>1417</v>
      </c>
    </row>
    <row r="65" spans="1:1" x14ac:dyDescent="0.3">
      <c r="A65" t="s">
        <v>1418</v>
      </c>
    </row>
    <row r="66" spans="1:1" x14ac:dyDescent="0.3">
      <c r="A66" t="s">
        <v>1419</v>
      </c>
    </row>
    <row r="67" spans="1:1" x14ac:dyDescent="0.3">
      <c r="A67" t="s">
        <v>1420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69F68-9A83-4148-9FD3-5D000F69B3A7}">
  <dimension ref="A3:E4"/>
  <sheetViews>
    <sheetView workbookViewId="0">
      <selection activeCell="D4" sqref="D4"/>
    </sheetView>
  </sheetViews>
  <sheetFormatPr defaultRowHeight="14.4" x14ac:dyDescent="0.3"/>
  <cols>
    <col min="1" max="1" width="19.5546875" bestFit="1" customWidth="1"/>
    <col min="2" max="2" width="22.33203125" bestFit="1" customWidth="1"/>
    <col min="3" max="3" width="22.77734375" bestFit="1" customWidth="1"/>
    <col min="4" max="4" width="17.33203125" bestFit="1" customWidth="1"/>
    <col min="5" max="5" width="18.6640625" bestFit="1" customWidth="1"/>
  </cols>
  <sheetData>
    <row r="3" spans="1:5" x14ac:dyDescent="0.3">
      <c r="A3" t="s">
        <v>1436</v>
      </c>
      <c r="B3" t="s">
        <v>1472</v>
      </c>
      <c r="C3" t="s">
        <v>1485</v>
      </c>
      <c r="D3" t="s">
        <v>1480</v>
      </c>
      <c r="E3" t="s">
        <v>1481</v>
      </c>
    </row>
    <row r="4" spans="1:5" x14ac:dyDescent="0.3">
      <c r="A4" s="24">
        <v>11031717.470619999</v>
      </c>
      <c r="B4" s="24">
        <v>0.27215189873417722</v>
      </c>
      <c r="C4" s="24">
        <v>17455.249162373417</v>
      </c>
      <c r="D4" s="24">
        <v>3503969.7606200017</v>
      </c>
      <c r="E4" s="24">
        <v>0.24452998784259886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D01EF-0189-4DAD-8AB8-A2924A1A7DC4}">
  <dimension ref="A3:B37"/>
  <sheetViews>
    <sheetView workbookViewId="0">
      <selection activeCell="A3" sqref="A3"/>
    </sheetView>
  </sheetViews>
  <sheetFormatPr defaultRowHeight="14.4" x14ac:dyDescent="0.3"/>
  <cols>
    <col min="1" max="1" width="12.5546875" bestFit="1" customWidth="1"/>
    <col min="2" max="2" width="19.5546875" bestFit="1" customWidth="1"/>
  </cols>
  <sheetData>
    <row r="3" spans="1:2" x14ac:dyDescent="0.3">
      <c r="A3" s="12" t="s">
        <v>1433</v>
      </c>
      <c r="B3" t="s">
        <v>1436</v>
      </c>
    </row>
    <row r="4" spans="1:2" x14ac:dyDescent="0.3">
      <c r="A4" s="13" t="s">
        <v>1441</v>
      </c>
      <c r="B4" s="24">
        <v>371604.58273999998</v>
      </c>
    </row>
    <row r="5" spans="1:2" x14ac:dyDescent="0.3">
      <c r="A5" s="13" t="s">
        <v>1442</v>
      </c>
      <c r="B5" s="24">
        <v>239506.82714000004</v>
      </c>
    </row>
    <row r="6" spans="1:2" x14ac:dyDescent="0.3">
      <c r="A6" s="13" t="s">
        <v>1443</v>
      </c>
      <c r="B6" s="24">
        <v>336135.16749999998</v>
      </c>
    </row>
    <row r="7" spans="1:2" x14ac:dyDescent="0.3">
      <c r="A7" s="13" t="s">
        <v>1444</v>
      </c>
      <c r="B7" s="24">
        <v>339044.67039000004</v>
      </c>
    </row>
    <row r="8" spans="1:2" x14ac:dyDescent="0.3">
      <c r="A8" s="13" t="s">
        <v>1445</v>
      </c>
      <c r="B8" s="24">
        <v>383755.4196599999</v>
      </c>
    </row>
    <row r="9" spans="1:2" x14ac:dyDescent="0.3">
      <c r="A9" s="13" t="s">
        <v>1446</v>
      </c>
      <c r="B9" s="24">
        <v>366808.72249999997</v>
      </c>
    </row>
    <row r="10" spans="1:2" x14ac:dyDescent="0.3">
      <c r="A10" s="13" t="s">
        <v>1447</v>
      </c>
      <c r="B10" s="24">
        <v>382101.36680000002</v>
      </c>
    </row>
    <row r="11" spans="1:2" x14ac:dyDescent="0.3">
      <c r="A11" s="13" t="s">
        <v>1482</v>
      </c>
      <c r="B11" s="24">
        <v>383551.2574</v>
      </c>
    </row>
    <row r="12" spans="1:2" x14ac:dyDescent="0.3">
      <c r="A12" s="13" t="s">
        <v>1448</v>
      </c>
      <c r="B12" s="24">
        <v>445918.59437000006</v>
      </c>
    </row>
    <row r="13" spans="1:2" x14ac:dyDescent="0.3">
      <c r="A13" s="13" t="s">
        <v>1449</v>
      </c>
      <c r="B13" s="24">
        <v>307793.71461999998</v>
      </c>
    </row>
    <row r="14" spans="1:2" x14ac:dyDescent="0.3">
      <c r="A14" s="13" t="s">
        <v>1450</v>
      </c>
      <c r="B14" s="24">
        <v>221608.49786999999</v>
      </c>
    </row>
    <row r="15" spans="1:2" x14ac:dyDescent="0.3">
      <c r="A15" s="13" t="s">
        <v>1451</v>
      </c>
      <c r="B15" s="24">
        <v>178642.73714999997</v>
      </c>
    </row>
    <row r="16" spans="1:2" x14ac:dyDescent="0.3">
      <c r="A16" s="13" t="s">
        <v>1452</v>
      </c>
      <c r="B16" s="24">
        <v>299100.37307999999</v>
      </c>
    </row>
    <row r="17" spans="1:2" x14ac:dyDescent="0.3">
      <c r="A17" s="13" t="s">
        <v>1453</v>
      </c>
      <c r="B17" s="24">
        <v>223498.20032000003</v>
      </c>
    </row>
    <row r="18" spans="1:2" x14ac:dyDescent="0.3">
      <c r="A18" s="13" t="s">
        <v>1454</v>
      </c>
      <c r="B18" s="24">
        <v>550462.84643999999</v>
      </c>
    </row>
    <row r="19" spans="1:2" x14ac:dyDescent="0.3">
      <c r="A19" s="13" t="s">
        <v>1455</v>
      </c>
      <c r="B19" s="24">
        <v>275628.61962999997</v>
      </c>
    </row>
    <row r="20" spans="1:2" x14ac:dyDescent="0.3">
      <c r="A20" s="13" t="s">
        <v>1456</v>
      </c>
      <c r="B20" s="24">
        <v>486970.83348000003</v>
      </c>
    </row>
    <row r="21" spans="1:2" x14ac:dyDescent="0.3">
      <c r="A21" s="13" t="s">
        <v>1457</v>
      </c>
      <c r="B21" s="24">
        <v>236474.06157000002</v>
      </c>
    </row>
    <row r="22" spans="1:2" x14ac:dyDescent="0.3">
      <c r="A22" s="13" t="s">
        <v>1458</v>
      </c>
      <c r="B22" s="24">
        <v>634490.72337999998</v>
      </c>
    </row>
    <row r="23" spans="1:2" x14ac:dyDescent="0.3">
      <c r="A23" s="13" t="s">
        <v>1483</v>
      </c>
      <c r="B23" s="24">
        <v>443578.85596000007</v>
      </c>
    </row>
    <row r="24" spans="1:2" x14ac:dyDescent="0.3">
      <c r="A24" s="13" t="s">
        <v>1459</v>
      </c>
      <c r="B24" s="24">
        <v>215576.67437999998</v>
      </c>
    </row>
    <row r="25" spans="1:2" x14ac:dyDescent="0.3">
      <c r="A25" s="13" t="s">
        <v>1460</v>
      </c>
      <c r="B25" s="24">
        <v>374300.10981000005</v>
      </c>
    </row>
    <row r="26" spans="1:2" x14ac:dyDescent="0.3">
      <c r="A26" s="13" t="s">
        <v>1461</v>
      </c>
      <c r="B26" s="24">
        <v>209101.52076000004</v>
      </c>
    </row>
    <row r="27" spans="1:2" x14ac:dyDescent="0.3">
      <c r="A27" s="13" t="s">
        <v>1462</v>
      </c>
      <c r="B27" s="24">
        <v>469902.36901999998</v>
      </c>
    </row>
    <row r="28" spans="1:2" x14ac:dyDescent="0.3">
      <c r="A28" s="13" t="s">
        <v>1463</v>
      </c>
      <c r="B28" s="24">
        <v>416985.76567000011</v>
      </c>
    </row>
    <row r="29" spans="1:2" x14ac:dyDescent="0.3">
      <c r="A29" s="13" t="s">
        <v>1464</v>
      </c>
      <c r="B29" s="24">
        <v>375285.78266000003</v>
      </c>
    </row>
    <row r="30" spans="1:2" x14ac:dyDescent="0.3">
      <c r="A30" s="13" t="s">
        <v>1465</v>
      </c>
      <c r="B30" s="24">
        <v>127009.5058</v>
      </c>
    </row>
    <row r="31" spans="1:2" x14ac:dyDescent="0.3">
      <c r="A31" s="13" t="s">
        <v>1466</v>
      </c>
      <c r="B31" s="24">
        <v>416944.18554999994</v>
      </c>
    </row>
    <row r="32" spans="1:2" x14ac:dyDescent="0.3">
      <c r="A32" s="13" t="s">
        <v>1467</v>
      </c>
      <c r="B32" s="24">
        <v>241851.10650000002</v>
      </c>
    </row>
    <row r="33" spans="1:2" x14ac:dyDescent="0.3">
      <c r="A33" s="13" t="s">
        <v>1474</v>
      </c>
      <c r="B33" s="24">
        <v>416924.94901000004</v>
      </c>
    </row>
    <row r="34" spans="1:2" x14ac:dyDescent="0.3">
      <c r="A34" s="13" t="s">
        <v>1468</v>
      </c>
      <c r="B34" s="24">
        <v>141266.51418999999</v>
      </c>
    </row>
    <row r="35" spans="1:2" x14ac:dyDescent="0.3">
      <c r="A35" s="13" t="s">
        <v>1469</v>
      </c>
      <c r="B35" s="24">
        <v>347613.18767000007</v>
      </c>
    </row>
    <row r="36" spans="1:2" x14ac:dyDescent="0.3">
      <c r="A36" s="13" t="s">
        <v>1470</v>
      </c>
      <c r="B36" s="24">
        <v>172279.72760000001</v>
      </c>
    </row>
    <row r="37" spans="1:2" x14ac:dyDescent="0.3">
      <c r="A37" s="13" t="s">
        <v>1435</v>
      </c>
      <c r="B37" s="24">
        <v>11031717.470619999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C114C-3707-4BD0-8591-570A39012789}">
  <dimension ref="A3:H9"/>
  <sheetViews>
    <sheetView topLeftCell="A5" workbookViewId="0">
      <selection activeCell="L13" sqref="L13"/>
    </sheetView>
  </sheetViews>
  <sheetFormatPr defaultRowHeight="14.4" x14ac:dyDescent="0.3"/>
  <cols>
    <col min="1" max="1" width="17.33203125" bestFit="1" customWidth="1"/>
    <col min="2" max="2" width="15.5546875" bestFit="1" customWidth="1"/>
    <col min="3" max="4" width="12" bestFit="1" customWidth="1"/>
    <col min="5" max="5" width="13.77734375" bestFit="1" customWidth="1"/>
    <col min="6" max="9" width="12" bestFit="1" customWidth="1"/>
  </cols>
  <sheetData>
    <row r="3" spans="1:8" x14ac:dyDescent="0.3">
      <c r="A3" s="12" t="s">
        <v>1480</v>
      </c>
      <c r="B3" s="12" t="s">
        <v>1440</v>
      </c>
    </row>
    <row r="4" spans="1:8" x14ac:dyDescent="0.3">
      <c r="A4" s="12" t="s">
        <v>1433</v>
      </c>
      <c r="B4" t="s">
        <v>711</v>
      </c>
      <c r="C4" t="s">
        <v>710</v>
      </c>
      <c r="D4" t="s">
        <v>709</v>
      </c>
      <c r="E4" t="s">
        <v>1421</v>
      </c>
      <c r="F4" t="s">
        <v>708</v>
      </c>
      <c r="G4" t="s">
        <v>707</v>
      </c>
      <c r="H4" t="s">
        <v>1435</v>
      </c>
    </row>
    <row r="5" spans="1:8" x14ac:dyDescent="0.3">
      <c r="A5" s="13" t="s">
        <v>646</v>
      </c>
      <c r="B5" s="24">
        <v>177919.81969999999</v>
      </c>
      <c r="C5" s="24">
        <v>192042.35206999999</v>
      </c>
      <c r="D5" s="24">
        <v>164839.30455999999</v>
      </c>
      <c r="E5" s="24">
        <v>16237.344229999999</v>
      </c>
      <c r="F5" s="24">
        <v>145453.94626999996</v>
      </c>
      <c r="G5" s="24">
        <v>153301.03854999997</v>
      </c>
      <c r="H5" s="24">
        <v>849793.80537999992</v>
      </c>
    </row>
    <row r="6" spans="1:8" x14ac:dyDescent="0.3">
      <c r="A6" s="13" t="s">
        <v>648</v>
      </c>
      <c r="B6" s="24">
        <v>258674.92591000002</v>
      </c>
      <c r="C6" s="24">
        <v>175298.68431999997</v>
      </c>
      <c r="D6" s="24">
        <v>96609.647519999999</v>
      </c>
      <c r="E6" s="24">
        <v>777.95999999999913</v>
      </c>
      <c r="F6" s="24">
        <v>261943.84436999995</v>
      </c>
      <c r="G6" s="24">
        <v>69035.709220000004</v>
      </c>
      <c r="H6" s="24">
        <v>862340.77133999986</v>
      </c>
    </row>
    <row r="7" spans="1:8" x14ac:dyDescent="0.3">
      <c r="A7" s="13" t="s">
        <v>647</v>
      </c>
      <c r="B7" s="24">
        <v>229217.47858</v>
      </c>
      <c r="C7" s="24">
        <v>151146.74599000002</v>
      </c>
      <c r="D7" s="24">
        <v>128045.00806000001</v>
      </c>
      <c r="E7" s="24">
        <v>20547.545489999997</v>
      </c>
      <c r="F7" s="24">
        <v>149042.38968999998</v>
      </c>
      <c r="G7" s="24">
        <v>153258.55984000003</v>
      </c>
      <c r="H7" s="24">
        <v>831257.72765000002</v>
      </c>
    </row>
    <row r="8" spans="1:8" x14ac:dyDescent="0.3">
      <c r="A8" s="13" t="s">
        <v>649</v>
      </c>
      <c r="B8" s="24">
        <v>292716.95204</v>
      </c>
      <c r="C8" s="24">
        <v>105550.85220000002</v>
      </c>
      <c r="D8" s="24">
        <v>173262.29025000008</v>
      </c>
      <c r="E8" s="24">
        <v>8028.7064599999994</v>
      </c>
      <c r="F8" s="24">
        <v>200067.16276999997</v>
      </c>
      <c r="G8" s="24">
        <v>180951.49252999996</v>
      </c>
      <c r="H8" s="24">
        <v>960577.45624999993</v>
      </c>
    </row>
    <row r="9" spans="1:8" x14ac:dyDescent="0.3">
      <c r="A9" s="13" t="s">
        <v>1435</v>
      </c>
      <c r="B9" s="24">
        <v>958529.17622999998</v>
      </c>
      <c r="C9" s="24">
        <v>624038.63458000007</v>
      </c>
      <c r="D9" s="24">
        <v>562756.25039000006</v>
      </c>
      <c r="E9" s="24">
        <v>45591.55618</v>
      </c>
      <c r="F9" s="24">
        <v>756507.34309999982</v>
      </c>
      <c r="G9" s="24">
        <v>556546.80013999995</v>
      </c>
      <c r="H9" s="24">
        <v>3503969.7606199998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C026-4B1A-4750-B1FF-5DE8050B9DBB}">
  <dimension ref="A3:B14"/>
  <sheetViews>
    <sheetView workbookViewId="0">
      <selection activeCell="L7" sqref="L7"/>
    </sheetView>
  </sheetViews>
  <sheetFormatPr defaultRowHeight="14.4" x14ac:dyDescent="0.3"/>
  <cols>
    <col min="1" max="1" width="12.5546875" bestFit="1" customWidth="1"/>
    <col min="2" max="2" width="19.5546875" bestFit="1" customWidth="1"/>
  </cols>
  <sheetData>
    <row r="3" spans="1:2" x14ac:dyDescent="0.3">
      <c r="A3" s="12" t="s">
        <v>1433</v>
      </c>
      <c r="B3" t="s">
        <v>1436</v>
      </c>
    </row>
    <row r="4" spans="1:2" x14ac:dyDescent="0.3">
      <c r="A4" s="13" t="s">
        <v>1345</v>
      </c>
      <c r="B4" s="24">
        <v>82141.339799999987</v>
      </c>
    </row>
    <row r="5" spans="1:2" x14ac:dyDescent="0.3">
      <c r="A5" s="13" t="s">
        <v>1010</v>
      </c>
      <c r="B5" s="24">
        <v>79548.755999999994</v>
      </c>
    </row>
    <row r="6" spans="1:2" x14ac:dyDescent="0.3">
      <c r="A6" s="13" t="s">
        <v>781</v>
      </c>
      <c r="B6" s="24">
        <v>109244</v>
      </c>
    </row>
    <row r="7" spans="1:2" x14ac:dyDescent="0.3">
      <c r="A7" s="13" t="s">
        <v>909</v>
      </c>
      <c r="B7" s="24">
        <v>92715.25</v>
      </c>
    </row>
    <row r="8" spans="1:2" x14ac:dyDescent="0.3">
      <c r="A8" s="13" t="s">
        <v>899</v>
      </c>
      <c r="B8" s="24">
        <v>85637.740319999997</v>
      </c>
    </row>
    <row r="9" spans="1:2" x14ac:dyDescent="0.3">
      <c r="A9" s="13" t="s">
        <v>874</v>
      </c>
      <c r="B9" s="24">
        <v>87404.929919999995</v>
      </c>
    </row>
    <row r="10" spans="1:2" x14ac:dyDescent="0.3">
      <c r="A10" s="13" t="s">
        <v>1155</v>
      </c>
      <c r="B10" s="24">
        <v>102122.94203999999</v>
      </c>
    </row>
    <row r="11" spans="1:2" x14ac:dyDescent="0.3">
      <c r="A11" s="13" t="s">
        <v>1096</v>
      </c>
      <c r="B11" s="24">
        <v>82514.711519999997</v>
      </c>
    </row>
    <row r="12" spans="1:2" x14ac:dyDescent="0.3">
      <c r="A12" s="13" t="s">
        <v>971</v>
      </c>
      <c r="B12" s="24">
        <v>139277.83032000001</v>
      </c>
    </row>
    <row r="13" spans="1:2" x14ac:dyDescent="0.3">
      <c r="A13" s="13" t="s">
        <v>1198</v>
      </c>
      <c r="B13" s="24">
        <v>84136.119600000005</v>
      </c>
    </row>
    <row r="14" spans="1:2" x14ac:dyDescent="0.3">
      <c r="A14" s="13" t="s">
        <v>1435</v>
      </c>
      <c r="B14" s="24">
        <v>944743.61952000007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2EBDF-15CF-4B99-AE95-0CB616D6B0D0}">
  <dimension ref="A1:B94"/>
  <sheetViews>
    <sheetView workbookViewId="0">
      <selection activeCell="R10" sqref="R10"/>
    </sheetView>
  </sheetViews>
  <sheetFormatPr defaultRowHeight="14.4" x14ac:dyDescent="0.3"/>
  <cols>
    <col min="1" max="1" width="16.109375" bestFit="1" customWidth="1"/>
    <col min="2" max="2" width="17.6640625" bestFit="1" customWidth="1"/>
    <col min="3" max="6" width="6" bestFit="1" customWidth="1"/>
    <col min="7" max="7" width="5" bestFit="1" customWidth="1"/>
    <col min="8" max="12" width="6" bestFit="1" customWidth="1"/>
    <col min="13" max="13" width="5" bestFit="1" customWidth="1"/>
    <col min="14" max="18" width="6" bestFit="1" customWidth="1"/>
    <col min="19" max="19" width="5" bestFit="1" customWidth="1"/>
    <col min="20" max="34" width="6" bestFit="1" customWidth="1"/>
    <col min="35" max="35" width="5" bestFit="1" customWidth="1"/>
    <col min="36" max="51" width="6" bestFit="1" customWidth="1"/>
    <col min="52" max="52" width="5" bestFit="1" customWidth="1"/>
    <col min="53" max="60" width="6" bestFit="1" customWidth="1"/>
    <col min="61" max="61" width="5" bestFit="1" customWidth="1"/>
    <col min="62" max="69" width="6" bestFit="1" customWidth="1"/>
    <col min="70" max="70" width="5" bestFit="1" customWidth="1"/>
    <col min="71" max="79" width="6" bestFit="1" customWidth="1"/>
    <col min="80" max="80" width="4" bestFit="1" customWidth="1"/>
    <col min="81" max="89" width="6" bestFit="1" customWidth="1"/>
    <col min="90" max="90" width="5" bestFit="1" customWidth="1"/>
    <col min="91" max="98" width="6" bestFit="1" customWidth="1"/>
    <col min="99" max="99" width="5" bestFit="1" customWidth="1"/>
    <col min="100" max="108" width="6" bestFit="1" customWidth="1"/>
    <col min="109" max="109" width="5" bestFit="1" customWidth="1"/>
    <col min="110" max="118" width="6" bestFit="1" customWidth="1"/>
    <col min="119" max="119" width="5" bestFit="1" customWidth="1"/>
    <col min="120" max="128" width="6" bestFit="1" customWidth="1"/>
    <col min="129" max="129" width="5" bestFit="1" customWidth="1"/>
    <col min="130" max="138" width="6" bestFit="1" customWidth="1"/>
    <col min="139" max="139" width="5" bestFit="1" customWidth="1"/>
    <col min="140" max="146" width="6" bestFit="1" customWidth="1"/>
    <col min="147" max="147" width="5" bestFit="1" customWidth="1"/>
    <col min="148" max="155" width="6" bestFit="1" customWidth="1"/>
    <col min="156" max="156" width="5" bestFit="1" customWidth="1"/>
    <col min="157" max="165" width="6" bestFit="1" customWidth="1"/>
    <col min="166" max="166" width="5" bestFit="1" customWidth="1"/>
    <col min="167" max="170" width="6" bestFit="1" customWidth="1"/>
    <col min="171" max="171" width="4" bestFit="1" customWidth="1"/>
    <col min="172" max="178" width="6" bestFit="1" customWidth="1"/>
    <col min="179" max="179" width="5" bestFit="1" customWidth="1"/>
    <col min="180" max="186" width="6" bestFit="1" customWidth="1"/>
    <col min="187" max="187" width="5" bestFit="1" customWidth="1"/>
    <col min="188" max="191" width="6" bestFit="1" customWidth="1"/>
    <col min="192" max="192" width="5" bestFit="1" customWidth="1"/>
    <col min="193" max="198" width="6" bestFit="1" customWidth="1"/>
    <col min="199" max="199" width="5" bestFit="1" customWidth="1"/>
    <col min="200" max="203" width="6" bestFit="1" customWidth="1"/>
    <col min="204" max="204" width="5" bestFit="1" customWidth="1"/>
    <col min="205" max="214" width="6" bestFit="1" customWidth="1"/>
    <col min="215" max="215" width="5" bestFit="1" customWidth="1"/>
    <col min="216" max="229" width="6" bestFit="1" customWidth="1"/>
    <col min="230" max="230" width="10.77734375" bestFit="1" customWidth="1"/>
    <col min="231" max="231" width="7" bestFit="1" customWidth="1"/>
    <col min="232" max="232" width="10.77734375" bestFit="1" customWidth="1"/>
    <col min="233" max="632" width="16.109375" bestFit="1" customWidth="1"/>
    <col min="633" max="633" width="7" bestFit="1" customWidth="1"/>
    <col min="634" max="634" width="10.77734375" bestFit="1" customWidth="1"/>
  </cols>
  <sheetData>
    <row r="1" spans="1:2" x14ac:dyDescent="0.3">
      <c r="A1" s="12" t="s">
        <v>1475</v>
      </c>
      <c r="B1" t="s">
        <v>1476</v>
      </c>
    </row>
    <row r="3" spans="1:2" x14ac:dyDescent="0.3">
      <c r="A3" s="12" t="s">
        <v>1433</v>
      </c>
      <c r="B3" t="s">
        <v>1484</v>
      </c>
    </row>
    <row r="4" spans="1:2" x14ac:dyDescent="0.3">
      <c r="A4" s="13" t="s">
        <v>137</v>
      </c>
      <c r="B4" s="24">
        <v>0.20300000000000001</v>
      </c>
    </row>
    <row r="5" spans="1:2" x14ac:dyDescent="0.3">
      <c r="A5" s="13" t="s">
        <v>354</v>
      </c>
      <c r="B5" s="24">
        <v>0.56499999999999995</v>
      </c>
    </row>
    <row r="6" spans="1:2" x14ac:dyDescent="0.3">
      <c r="A6" s="13" t="s">
        <v>235</v>
      </c>
      <c r="B6" s="24">
        <v>0.20399999999999999</v>
      </c>
    </row>
    <row r="7" spans="1:2" x14ac:dyDescent="0.3">
      <c r="A7" s="13" t="s">
        <v>265</v>
      </c>
      <c r="B7" s="24">
        <v>0.20300000000000001</v>
      </c>
    </row>
    <row r="8" spans="1:2" x14ac:dyDescent="0.3">
      <c r="A8" s="13" t="s">
        <v>93</v>
      </c>
      <c r="B8" s="24">
        <v>0.25700000000000001</v>
      </c>
    </row>
    <row r="9" spans="1:2" x14ac:dyDescent="0.3">
      <c r="A9" s="13" t="s">
        <v>96</v>
      </c>
      <c r="B9" s="24">
        <v>0.24099999999999999</v>
      </c>
    </row>
    <row r="10" spans="1:2" x14ac:dyDescent="0.3">
      <c r="A10" s="13" t="s">
        <v>406</v>
      </c>
      <c r="B10" s="24">
        <v>0.35699999999999998</v>
      </c>
    </row>
    <row r="11" spans="1:2" x14ac:dyDescent="0.3">
      <c r="A11" s="13" t="s">
        <v>89</v>
      </c>
      <c r="B11" s="24">
        <v>0.34300000000000003</v>
      </c>
    </row>
    <row r="12" spans="1:2" x14ac:dyDescent="0.3">
      <c r="A12" s="13" t="s">
        <v>114</v>
      </c>
      <c r="B12" s="24">
        <v>0.29199999999999998</v>
      </c>
    </row>
    <row r="13" spans="1:2" x14ac:dyDescent="0.3">
      <c r="A13" s="13" t="s">
        <v>147</v>
      </c>
      <c r="B13" s="24">
        <v>0.22</v>
      </c>
    </row>
    <row r="14" spans="1:2" x14ac:dyDescent="0.3">
      <c r="A14" s="13" t="s">
        <v>561</v>
      </c>
      <c r="B14" s="24">
        <v>0.20799999999999999</v>
      </c>
    </row>
    <row r="15" spans="1:2" x14ac:dyDescent="0.3">
      <c r="A15" s="13" t="s">
        <v>144</v>
      </c>
      <c r="B15" s="24">
        <v>0.23300000000000001</v>
      </c>
    </row>
    <row r="16" spans="1:2" x14ac:dyDescent="0.3">
      <c r="A16" s="13" t="s">
        <v>492</v>
      </c>
      <c r="B16" s="24">
        <v>0.216</v>
      </c>
    </row>
    <row r="17" spans="1:2" x14ac:dyDescent="0.3">
      <c r="A17" s="13" t="s">
        <v>217</v>
      </c>
      <c r="B17" s="24">
        <v>0.24299999999999999</v>
      </c>
    </row>
    <row r="18" spans="1:2" x14ac:dyDescent="0.3">
      <c r="A18" s="13" t="s">
        <v>500</v>
      </c>
      <c r="B18" s="24">
        <v>0.222</v>
      </c>
    </row>
    <row r="19" spans="1:2" x14ac:dyDescent="0.3">
      <c r="A19" s="13" t="s">
        <v>299</v>
      </c>
      <c r="B19" s="24">
        <v>0.22</v>
      </c>
    </row>
    <row r="20" spans="1:2" x14ac:dyDescent="0.3">
      <c r="A20" s="13" t="s">
        <v>152</v>
      </c>
      <c r="B20" s="24">
        <v>0.26500000000000001</v>
      </c>
    </row>
    <row r="21" spans="1:2" x14ac:dyDescent="0.3">
      <c r="A21" s="13" t="s">
        <v>276</v>
      </c>
      <c r="B21" s="24">
        <v>0.216</v>
      </c>
    </row>
    <row r="22" spans="1:2" x14ac:dyDescent="0.3">
      <c r="A22" s="13" t="s">
        <v>352</v>
      </c>
      <c r="B22" s="24">
        <v>0.24</v>
      </c>
    </row>
    <row r="23" spans="1:2" x14ac:dyDescent="0.3">
      <c r="A23" s="13" t="s">
        <v>306</v>
      </c>
      <c r="B23" s="24">
        <v>0.20699999999999999</v>
      </c>
    </row>
    <row r="24" spans="1:2" x14ac:dyDescent="0.3">
      <c r="A24" s="13" t="s">
        <v>83</v>
      </c>
      <c r="B24" s="24">
        <v>0.20399999999999999</v>
      </c>
    </row>
    <row r="25" spans="1:2" x14ac:dyDescent="0.3">
      <c r="A25" s="13" t="s">
        <v>355</v>
      </c>
      <c r="B25" s="24">
        <v>0.28199999999999997</v>
      </c>
    </row>
    <row r="26" spans="1:2" x14ac:dyDescent="0.3">
      <c r="A26" s="13" t="s">
        <v>353</v>
      </c>
      <c r="B26" s="24">
        <v>0.29899999999999999</v>
      </c>
    </row>
    <row r="27" spans="1:2" x14ac:dyDescent="0.3">
      <c r="A27" s="13" t="s">
        <v>596</v>
      </c>
      <c r="B27" s="24">
        <v>0.22600000000000001</v>
      </c>
    </row>
    <row r="28" spans="1:2" x14ac:dyDescent="0.3">
      <c r="A28" s="13" t="s">
        <v>524</v>
      </c>
      <c r="B28" s="24">
        <v>0.20899999999999999</v>
      </c>
    </row>
    <row r="29" spans="1:2" x14ac:dyDescent="0.3">
      <c r="A29" s="13" t="s">
        <v>346</v>
      </c>
      <c r="B29" s="24">
        <v>0.27</v>
      </c>
    </row>
    <row r="30" spans="1:2" x14ac:dyDescent="0.3">
      <c r="A30" s="13" t="s">
        <v>252</v>
      </c>
      <c r="B30" s="24">
        <v>0.23499999999999999</v>
      </c>
    </row>
    <row r="31" spans="1:2" x14ac:dyDescent="0.3">
      <c r="A31" s="13" t="s">
        <v>411</v>
      </c>
      <c r="B31" s="24">
        <v>0.24099999999999999</v>
      </c>
    </row>
    <row r="32" spans="1:2" x14ac:dyDescent="0.3">
      <c r="A32" s="13" t="s">
        <v>351</v>
      </c>
      <c r="B32" s="24">
        <v>0.21</v>
      </c>
    </row>
    <row r="33" spans="1:2" x14ac:dyDescent="0.3">
      <c r="A33" s="13" t="s">
        <v>120</v>
      </c>
      <c r="B33" s="24">
        <v>0.27800000000000002</v>
      </c>
    </row>
    <row r="34" spans="1:2" x14ac:dyDescent="0.3">
      <c r="A34" s="13" t="s">
        <v>124</v>
      </c>
      <c r="B34" s="24">
        <v>0.22900000000000001</v>
      </c>
    </row>
    <row r="35" spans="1:2" x14ac:dyDescent="0.3">
      <c r="A35" s="13" t="s">
        <v>229</v>
      </c>
      <c r="B35" s="24">
        <v>0.20100000000000001</v>
      </c>
    </row>
    <row r="36" spans="1:2" x14ac:dyDescent="0.3">
      <c r="A36" s="13" t="s">
        <v>206</v>
      </c>
      <c r="B36" s="24">
        <v>0.23599999999999999</v>
      </c>
    </row>
    <row r="37" spans="1:2" x14ac:dyDescent="0.3">
      <c r="A37" s="13" t="s">
        <v>266</v>
      </c>
      <c r="B37" s="24">
        <v>0.22500000000000001</v>
      </c>
    </row>
    <row r="38" spans="1:2" x14ac:dyDescent="0.3">
      <c r="A38" s="13" t="s">
        <v>154</v>
      </c>
      <c r="B38" s="24">
        <v>0.25900000000000001</v>
      </c>
    </row>
    <row r="39" spans="1:2" x14ac:dyDescent="0.3">
      <c r="A39" s="13" t="s">
        <v>78</v>
      </c>
      <c r="B39" s="24">
        <v>0.255</v>
      </c>
    </row>
    <row r="40" spans="1:2" x14ac:dyDescent="0.3">
      <c r="A40" s="13" t="s">
        <v>407</v>
      </c>
      <c r="B40" s="24">
        <v>0.254</v>
      </c>
    </row>
    <row r="41" spans="1:2" x14ac:dyDescent="0.3">
      <c r="A41" s="13" t="s">
        <v>66</v>
      </c>
      <c r="B41" s="24">
        <v>0.29499999999999998</v>
      </c>
    </row>
    <row r="42" spans="1:2" x14ac:dyDescent="0.3">
      <c r="A42" s="13" t="s">
        <v>182</v>
      </c>
      <c r="B42" s="24">
        <v>0.254</v>
      </c>
    </row>
    <row r="43" spans="1:2" x14ac:dyDescent="0.3">
      <c r="A43" s="13" t="s">
        <v>377</v>
      </c>
      <c r="B43" s="24">
        <v>0.27200000000000002</v>
      </c>
    </row>
    <row r="44" spans="1:2" x14ac:dyDescent="0.3">
      <c r="A44" s="13" t="s">
        <v>587</v>
      </c>
      <c r="B44" s="24">
        <v>0.20699999999999999</v>
      </c>
    </row>
    <row r="45" spans="1:2" x14ac:dyDescent="0.3">
      <c r="A45" s="13" t="s">
        <v>16</v>
      </c>
      <c r="B45" s="24">
        <v>0.23699999999999999</v>
      </c>
    </row>
    <row r="46" spans="1:2" x14ac:dyDescent="0.3">
      <c r="A46" s="13" t="s">
        <v>539</v>
      </c>
      <c r="B46" s="24">
        <v>0.22500000000000001</v>
      </c>
    </row>
    <row r="47" spans="1:2" x14ac:dyDescent="0.3">
      <c r="A47" s="13" t="s">
        <v>425</v>
      </c>
      <c r="B47" s="24">
        <v>0.23899999999999999</v>
      </c>
    </row>
    <row r="48" spans="1:2" x14ac:dyDescent="0.3">
      <c r="A48" s="13" t="s">
        <v>158</v>
      </c>
      <c r="B48" s="24">
        <v>0.245</v>
      </c>
    </row>
    <row r="49" spans="1:2" x14ac:dyDescent="0.3">
      <c r="A49" s="13" t="s">
        <v>560</v>
      </c>
      <c r="B49" s="24">
        <v>0.23699999999999999</v>
      </c>
    </row>
    <row r="50" spans="1:2" x14ac:dyDescent="0.3">
      <c r="A50" s="13" t="s">
        <v>65</v>
      </c>
      <c r="B50" s="24">
        <v>0.29199999999999998</v>
      </c>
    </row>
    <row r="51" spans="1:2" x14ac:dyDescent="0.3">
      <c r="A51" s="13" t="s">
        <v>438</v>
      </c>
      <c r="B51" s="24">
        <v>0.24299999999999999</v>
      </c>
    </row>
    <row r="52" spans="1:2" x14ac:dyDescent="0.3">
      <c r="A52" s="13" t="s">
        <v>479</v>
      </c>
      <c r="B52" s="24">
        <v>0.21099999999999999</v>
      </c>
    </row>
    <row r="53" spans="1:2" x14ac:dyDescent="0.3">
      <c r="A53" s="13" t="s">
        <v>424</v>
      </c>
      <c r="B53" s="24">
        <v>0.24099999999999999</v>
      </c>
    </row>
    <row r="54" spans="1:2" x14ac:dyDescent="0.3">
      <c r="A54" s="13" t="s">
        <v>260</v>
      </c>
      <c r="B54" s="24">
        <v>0.26300000000000001</v>
      </c>
    </row>
    <row r="55" spans="1:2" x14ac:dyDescent="0.3">
      <c r="A55" s="13" t="s">
        <v>463</v>
      </c>
      <c r="B55" s="24">
        <v>0.216</v>
      </c>
    </row>
    <row r="56" spans="1:2" x14ac:dyDescent="0.3">
      <c r="A56" s="13" t="s">
        <v>448</v>
      </c>
      <c r="B56" s="24">
        <v>0.214</v>
      </c>
    </row>
    <row r="57" spans="1:2" x14ac:dyDescent="0.3">
      <c r="A57" s="13" t="s">
        <v>185</v>
      </c>
      <c r="B57" s="24">
        <v>0.254</v>
      </c>
    </row>
    <row r="58" spans="1:2" x14ac:dyDescent="0.3">
      <c r="A58" s="13" t="s">
        <v>357</v>
      </c>
      <c r="B58" s="24">
        <v>0.26100000000000001</v>
      </c>
    </row>
    <row r="59" spans="1:2" x14ac:dyDescent="0.3">
      <c r="A59" s="13" t="s">
        <v>430</v>
      </c>
      <c r="B59" s="24">
        <v>0.245</v>
      </c>
    </row>
    <row r="60" spans="1:2" x14ac:dyDescent="0.3">
      <c r="A60" s="13" t="s">
        <v>572</v>
      </c>
      <c r="B60" s="24">
        <v>0.21099999999999999</v>
      </c>
    </row>
    <row r="61" spans="1:2" x14ac:dyDescent="0.3">
      <c r="A61" s="13" t="s">
        <v>222</v>
      </c>
      <c r="B61" s="24">
        <v>0.20300000000000001</v>
      </c>
    </row>
    <row r="62" spans="1:2" x14ac:dyDescent="0.3">
      <c r="A62" s="13" t="s">
        <v>388</v>
      </c>
      <c r="B62" s="24">
        <v>0.25600000000000001</v>
      </c>
    </row>
    <row r="63" spans="1:2" x14ac:dyDescent="0.3">
      <c r="A63" s="13" t="s">
        <v>51</v>
      </c>
      <c r="B63" s="24">
        <v>0.24299999999999999</v>
      </c>
    </row>
    <row r="64" spans="1:2" x14ac:dyDescent="0.3">
      <c r="A64" s="13" t="s">
        <v>335</v>
      </c>
      <c r="B64" s="24">
        <v>0.215</v>
      </c>
    </row>
    <row r="65" spans="1:2" x14ac:dyDescent="0.3">
      <c r="A65" s="13" t="s">
        <v>433</v>
      </c>
      <c r="B65" s="24">
        <v>0.22600000000000001</v>
      </c>
    </row>
    <row r="66" spans="1:2" x14ac:dyDescent="0.3">
      <c r="A66" s="13" t="s">
        <v>204</v>
      </c>
      <c r="B66" s="24">
        <v>0.215</v>
      </c>
    </row>
    <row r="67" spans="1:2" x14ac:dyDescent="0.3">
      <c r="A67" s="13" t="s">
        <v>233</v>
      </c>
      <c r="B67" s="24">
        <v>0.26600000000000001</v>
      </c>
    </row>
    <row r="68" spans="1:2" x14ac:dyDescent="0.3">
      <c r="A68" s="13" t="s">
        <v>480</v>
      </c>
      <c r="B68" s="24">
        <v>0.22900000000000001</v>
      </c>
    </row>
    <row r="69" spans="1:2" x14ac:dyDescent="0.3">
      <c r="A69" s="13" t="s">
        <v>257</v>
      </c>
      <c r="B69" s="24">
        <v>0.23799999999999999</v>
      </c>
    </row>
    <row r="70" spans="1:2" x14ac:dyDescent="0.3">
      <c r="A70" s="13" t="s">
        <v>441</v>
      </c>
      <c r="B70" s="24">
        <v>0.314</v>
      </c>
    </row>
    <row r="71" spans="1:2" x14ac:dyDescent="0.3">
      <c r="A71" s="13" t="s">
        <v>57</v>
      </c>
      <c r="B71" s="24">
        <v>0.318</v>
      </c>
    </row>
    <row r="72" spans="1:2" x14ac:dyDescent="0.3">
      <c r="A72" s="13" t="s">
        <v>215</v>
      </c>
      <c r="B72" s="24">
        <v>0.25800000000000001</v>
      </c>
    </row>
    <row r="73" spans="1:2" x14ac:dyDescent="0.3">
      <c r="A73" s="13" t="s">
        <v>272</v>
      </c>
      <c r="B73" s="24">
        <v>0.20499999999999999</v>
      </c>
    </row>
    <row r="74" spans="1:2" x14ac:dyDescent="0.3">
      <c r="A74" s="13" t="s">
        <v>432</v>
      </c>
      <c r="B74" s="24">
        <v>0.217</v>
      </c>
    </row>
    <row r="75" spans="1:2" x14ac:dyDescent="0.3">
      <c r="A75" s="13" t="s">
        <v>548</v>
      </c>
      <c r="B75" s="24">
        <v>0.248</v>
      </c>
    </row>
    <row r="76" spans="1:2" x14ac:dyDescent="0.3">
      <c r="A76" s="13" t="s">
        <v>565</v>
      </c>
      <c r="B76" s="24">
        <v>0.21199999999999999</v>
      </c>
    </row>
    <row r="77" spans="1:2" x14ac:dyDescent="0.3">
      <c r="A77" s="13" t="s">
        <v>461</v>
      </c>
      <c r="B77" s="24">
        <v>0.29299999999999998</v>
      </c>
    </row>
    <row r="78" spans="1:2" x14ac:dyDescent="0.3">
      <c r="A78" s="13" t="s">
        <v>520</v>
      </c>
      <c r="B78" s="24">
        <v>0.23499999999999999</v>
      </c>
    </row>
    <row r="79" spans="1:2" x14ac:dyDescent="0.3">
      <c r="A79" s="13" t="s">
        <v>98</v>
      </c>
      <c r="B79" s="24">
        <v>0.215</v>
      </c>
    </row>
    <row r="80" spans="1:2" x14ac:dyDescent="0.3">
      <c r="A80" s="13" t="s">
        <v>478</v>
      </c>
      <c r="B80" s="24">
        <v>0.25700000000000001</v>
      </c>
    </row>
    <row r="81" spans="1:2" x14ac:dyDescent="0.3">
      <c r="A81" s="13" t="s">
        <v>26</v>
      </c>
      <c r="B81" s="24">
        <v>0.25</v>
      </c>
    </row>
    <row r="82" spans="1:2" x14ac:dyDescent="0.3">
      <c r="A82" s="13" t="s">
        <v>201</v>
      </c>
      <c r="B82" s="24">
        <v>0.21099999999999999</v>
      </c>
    </row>
    <row r="83" spans="1:2" x14ac:dyDescent="0.3">
      <c r="A83" s="13" t="s">
        <v>195</v>
      </c>
      <c r="B83" s="24">
        <v>0.21199999999999999</v>
      </c>
    </row>
    <row r="84" spans="1:2" x14ac:dyDescent="0.3">
      <c r="A84" s="13" t="s">
        <v>488</v>
      </c>
      <c r="B84" s="24">
        <v>0.20499999999999999</v>
      </c>
    </row>
    <row r="85" spans="1:2" x14ac:dyDescent="0.3">
      <c r="A85" s="13" t="s">
        <v>295</v>
      </c>
      <c r="B85" s="24">
        <v>0.317</v>
      </c>
    </row>
    <row r="86" spans="1:2" x14ac:dyDescent="0.3">
      <c r="A86" s="13" t="s">
        <v>345</v>
      </c>
      <c r="B86" s="24">
        <v>0.23899999999999999</v>
      </c>
    </row>
    <row r="87" spans="1:2" x14ac:dyDescent="0.3">
      <c r="A87" s="13" t="s">
        <v>74</v>
      </c>
      <c r="B87" s="24">
        <v>0.20499999999999999</v>
      </c>
    </row>
    <row r="88" spans="1:2" x14ac:dyDescent="0.3">
      <c r="A88" s="13" t="s">
        <v>342</v>
      </c>
      <c r="B88" s="24">
        <v>0.34599999999999997</v>
      </c>
    </row>
    <row r="89" spans="1:2" x14ac:dyDescent="0.3">
      <c r="A89" s="13" t="s">
        <v>482</v>
      </c>
      <c r="B89" s="24">
        <v>0.23</v>
      </c>
    </row>
    <row r="90" spans="1:2" x14ac:dyDescent="0.3">
      <c r="A90" s="13" t="s">
        <v>440</v>
      </c>
      <c r="B90" s="24">
        <v>0.25</v>
      </c>
    </row>
    <row r="91" spans="1:2" x14ac:dyDescent="0.3">
      <c r="A91" s="13" t="s">
        <v>513</v>
      </c>
      <c r="B91" s="24">
        <v>0.218</v>
      </c>
    </row>
    <row r="92" spans="1:2" x14ac:dyDescent="0.3">
      <c r="A92" s="13" t="s">
        <v>190</v>
      </c>
      <c r="B92" s="24">
        <v>0.255</v>
      </c>
    </row>
    <row r="93" spans="1:2" x14ac:dyDescent="0.3">
      <c r="A93" s="13" t="s">
        <v>559</v>
      </c>
      <c r="B93" s="24">
        <v>0.21199999999999999</v>
      </c>
    </row>
    <row r="94" spans="1:2" x14ac:dyDescent="0.3">
      <c r="A94" s="13" t="s">
        <v>1435</v>
      </c>
      <c r="B94" s="24">
        <v>22.142999999999994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ECD7B-BE26-4833-8AB8-E36D9DEC44DD}">
  <dimension ref="A1:AC1266"/>
  <sheetViews>
    <sheetView tabSelected="1" workbookViewId="0">
      <pane ySplit="1" topLeftCell="A2" activePane="bottomLeft" state="frozen"/>
      <selection pane="bottomLeft" activeCell="AA6" sqref="AA6"/>
    </sheetView>
  </sheetViews>
  <sheetFormatPr defaultRowHeight="14.4" x14ac:dyDescent="0.3"/>
  <cols>
    <col min="1" max="1" width="16.109375" bestFit="1" customWidth="1"/>
    <col min="2" max="2" width="10.5546875" style="3" bestFit="1" customWidth="1"/>
    <col min="3" max="3" width="17.33203125" style="3" bestFit="1" customWidth="1"/>
    <col min="4" max="4" width="17.33203125" style="3" customWidth="1"/>
    <col min="5" max="5" width="12.44140625" style="3" bestFit="1" customWidth="1"/>
    <col min="6" max="6" width="10.5546875" style="3" bestFit="1" customWidth="1"/>
    <col min="7" max="7" width="14.5546875" style="3" bestFit="1" customWidth="1"/>
    <col min="8" max="9" width="14.5546875" style="3" customWidth="1"/>
    <col min="10" max="10" width="8.44140625" bestFit="1" customWidth="1"/>
    <col min="11" max="11" width="14" bestFit="1" customWidth="1"/>
    <col min="12" max="12" width="13.44140625" bestFit="1" customWidth="1"/>
    <col min="13" max="13" width="16.6640625" bestFit="1" customWidth="1"/>
    <col min="14" max="15" width="13.44140625" bestFit="1" customWidth="1"/>
    <col min="16" max="16" width="15.33203125" bestFit="1" customWidth="1"/>
    <col min="17" max="17" width="15.33203125" customWidth="1"/>
    <col min="18" max="18" width="10" bestFit="1" customWidth="1"/>
    <col min="19" max="19" width="8.88671875" style="4"/>
    <col min="20" max="20" width="8.6640625" bestFit="1" customWidth="1"/>
    <col min="21" max="21" width="10.5546875" bestFit="1" customWidth="1"/>
    <col min="22" max="22" width="11" style="7" bestFit="1" customWidth="1"/>
    <col min="23" max="23" width="11" style="7" customWidth="1"/>
    <col min="24" max="24" width="11.88671875" style="7" bestFit="1" customWidth="1"/>
    <col min="25" max="25" width="8.33203125" style="9" bestFit="1" customWidth="1"/>
    <col min="26" max="27" width="12.5546875" bestFit="1" customWidth="1"/>
    <col min="28" max="29" width="12.6640625" bestFit="1" customWidth="1"/>
  </cols>
  <sheetData>
    <row r="1" spans="1:29" x14ac:dyDescent="0.3">
      <c r="A1" s="1" t="s">
        <v>0</v>
      </c>
      <c r="B1" s="2" t="s">
        <v>1</v>
      </c>
      <c r="C1" s="2" t="s">
        <v>1430</v>
      </c>
      <c r="D1" s="2" t="s">
        <v>1431</v>
      </c>
      <c r="E1" s="2" t="s">
        <v>2</v>
      </c>
      <c r="F1" s="2" t="s">
        <v>1423</v>
      </c>
      <c r="G1" s="2" t="s">
        <v>1422</v>
      </c>
      <c r="H1" s="2" t="s">
        <v>1477</v>
      </c>
      <c r="I1" s="2" t="s">
        <v>1471</v>
      </c>
      <c r="J1" s="1" t="s">
        <v>3</v>
      </c>
      <c r="K1" s="1" t="s">
        <v>4</v>
      </c>
      <c r="L1" s="1" t="s">
        <v>5</v>
      </c>
      <c r="M1" s="1" t="s">
        <v>6</v>
      </c>
      <c r="N1" s="1" t="s">
        <v>7</v>
      </c>
      <c r="O1" s="1" t="s">
        <v>8</v>
      </c>
      <c r="P1" s="1" t="s">
        <v>9</v>
      </c>
      <c r="Q1" s="1" t="s">
        <v>1432</v>
      </c>
      <c r="R1" s="1" t="s">
        <v>10</v>
      </c>
      <c r="S1" s="5" t="s">
        <v>11</v>
      </c>
      <c r="T1" s="1" t="s">
        <v>12</v>
      </c>
      <c r="U1" s="1" t="s">
        <v>1424</v>
      </c>
      <c r="V1" s="6" t="s">
        <v>13</v>
      </c>
      <c r="W1" s="6" t="s">
        <v>1425</v>
      </c>
      <c r="X1" s="6" t="s">
        <v>1475</v>
      </c>
      <c r="Y1" s="8" t="s">
        <v>14</v>
      </c>
      <c r="Z1" s="10" t="s">
        <v>1426</v>
      </c>
      <c r="AA1" s="10" t="s">
        <v>1427</v>
      </c>
      <c r="AB1" s="10" t="s">
        <v>1428</v>
      </c>
      <c r="AC1" s="10" t="s">
        <v>1429</v>
      </c>
    </row>
    <row r="2" spans="1:29" x14ac:dyDescent="0.3">
      <c r="A2" t="s">
        <v>15</v>
      </c>
      <c r="B2" s="3">
        <v>45362</v>
      </c>
      <c r="C2" s="3" t="str" cm="1">
        <f t="array" ref="C2:C633">TEXT(B2:B633,"MMM-YYYY")</f>
        <v>Mar-2024</v>
      </c>
      <c r="D2" s="11" t="str">
        <f>"Q" &amp; ROUNDUP(MONTH(C2)/3,0) &amp; "-" &amp; YEAR(C2)</f>
        <v>Q1-2024</v>
      </c>
      <c r="E2" s="4">
        <v>45388</v>
      </c>
      <c r="F2" s="4" cm="1">
        <f t="array" ref="F2:F633">IF(E2:E633&lt;B2:B633, B2:B633+7, B2:B633)</f>
        <v>45362</v>
      </c>
      <c r="G2" s="4">
        <f>(E2-F2)</f>
        <v>26</v>
      </c>
      <c r="H2" s="4" t="str" cm="1">
        <f t="array" ref="H2:H633">IF(G2:G633&lt;=7,"ontime","delayed")</f>
        <v>delayed</v>
      </c>
      <c r="I2" s="4">
        <f>IF(G2&lt;=7,1,0)</f>
        <v>0</v>
      </c>
      <c r="J2" t="s">
        <v>646</v>
      </c>
      <c r="K2" t="s">
        <v>650</v>
      </c>
      <c r="L2" t="s">
        <v>662</v>
      </c>
      <c r="M2" t="s">
        <v>701</v>
      </c>
      <c r="N2" t="s">
        <v>707</v>
      </c>
      <c r="O2" t="s">
        <v>712</v>
      </c>
      <c r="P2" t="s">
        <v>727</v>
      </c>
      <c r="Q2" t="str" cm="1">
        <f t="array" ref="Q2">_xlfn.IFS(U2&lt;=_xlfn.QUARTILE.INC($U$2:$U633,1),"Low",B2&lt;=_xlfn.QUARTILE.INC($U$2:$U$633,2),"Medium",TRUE,"High")</f>
        <v>Low</v>
      </c>
      <c r="R2" t="s">
        <v>734</v>
      </c>
      <c r="S2" s="4">
        <v>279.24</v>
      </c>
      <c r="T2">
        <v>608.9</v>
      </c>
      <c r="U2" s="4" cm="1">
        <f t="array" ref="U2:U633">IF(T2:T633&lt;=0,"1193.87",T2:T633)</f>
        <v>608.9</v>
      </c>
      <c r="V2" s="7">
        <v>0.112</v>
      </c>
      <c r="W2" s="7" cm="1">
        <f t="array" ref="W2:W633">IF(V2:V633&lt;0,0,IF(V2:V633&gt;30,30,V2:V633))</f>
        <v>0.112</v>
      </c>
      <c r="X2" s="7" t="str">
        <f>IF(V2&gt;0.2, "High discount","okay")</f>
        <v>okay</v>
      </c>
      <c r="Y2" s="9">
        <v>9</v>
      </c>
      <c r="Z2" cm="1">
        <f t="array" ref="Z2:Z633">U2:U633*Y2:Y633 * (1 - W2:W633)</f>
        <v>4866.3287999999993</v>
      </c>
      <c r="AA2" cm="1">
        <f t="array" ref="AA2:AA633">S2:S633*Y2:Y633</f>
        <v>2513.16</v>
      </c>
      <c r="AB2" cm="1">
        <f t="array" ref="AB2:AB633">Z2:Z633-AA2:AA633</f>
        <v>2353.1687999999995</v>
      </c>
      <c r="AC2" cm="1">
        <f t="array" ref="AC2:AC633">IF(Z2:Z633=0, 0, AB2:AB633/ Z2:Z633)</f>
        <v>0.48356140670149533</v>
      </c>
    </row>
    <row r="3" spans="1:29" x14ac:dyDescent="0.3">
      <c r="A3" t="s">
        <v>16</v>
      </c>
      <c r="B3" s="3">
        <v>45588</v>
      </c>
      <c r="C3" s="3" t="str">
        <v>Oct-2024</v>
      </c>
      <c r="D3" s="11" t="str">
        <f t="shared" ref="D3:D66" si="0">"Q" &amp; ROUNDUP(MONTH(C3)/3,0) &amp; "-" &amp; YEAR(C3)</f>
        <v>Q4-2024</v>
      </c>
      <c r="E3" s="4">
        <v>45587</v>
      </c>
      <c r="F3" s="4">
        <v>45595</v>
      </c>
      <c r="G3" s="4">
        <f>(E3-F3)</f>
        <v>-8</v>
      </c>
      <c r="H3" s="4" t="str">
        <v>ontime</v>
      </c>
      <c r="I3" s="4">
        <f>IF(G3&lt;=7,1,0)</f>
        <v>1</v>
      </c>
      <c r="J3" t="s">
        <v>646</v>
      </c>
      <c r="K3" t="s">
        <v>651</v>
      </c>
      <c r="L3" t="s">
        <v>663</v>
      </c>
      <c r="M3" t="s">
        <v>702</v>
      </c>
      <c r="N3" t="s">
        <v>708</v>
      </c>
      <c r="O3" t="s">
        <v>713</v>
      </c>
      <c r="P3" t="s">
        <v>728</v>
      </c>
      <c r="Q3" t="str" cm="1">
        <f t="array" ref="Q3">_xlfn.IFS(U3&lt;=_xlfn.QUARTILE.INC($U$2:$U634,1),"Low",B3&lt;=_xlfn.QUARTILE.INC($U$2:$U$633,2),"Medium",TRUE,"High")</f>
        <v>High</v>
      </c>
      <c r="R3" t="s">
        <v>735</v>
      </c>
      <c r="S3" s="4">
        <v>1084.3900000000001</v>
      </c>
      <c r="T3">
        <v>759.33</v>
      </c>
      <c r="U3">
        <v>759.33</v>
      </c>
      <c r="V3" s="7">
        <v>0.23699999999999999</v>
      </c>
      <c r="W3" s="7">
        <v>0.23699999999999999</v>
      </c>
      <c r="X3" s="7" t="str">
        <f t="shared" ref="X3:X66" si="1">IF(V3&gt;0.2, "High discount","okay")</f>
        <v>High discount</v>
      </c>
      <c r="Y3" s="9">
        <v>31</v>
      </c>
      <c r="Z3">
        <v>17960.432489999999</v>
      </c>
      <c r="AA3">
        <v>33616.090000000004</v>
      </c>
      <c r="AB3">
        <v>-15655.657510000005</v>
      </c>
      <c r="AC3">
        <v>-0.87167486187856302</v>
      </c>
    </row>
    <row r="4" spans="1:29" x14ac:dyDescent="0.3">
      <c r="A4" t="s">
        <v>17</v>
      </c>
      <c r="B4" s="3">
        <v>44985</v>
      </c>
      <c r="C4" s="3" t="str">
        <v>Feb-2023</v>
      </c>
      <c r="D4" s="11" t="str">
        <f t="shared" si="0"/>
        <v>Q1-2023</v>
      </c>
      <c r="E4" s="3">
        <v>45010</v>
      </c>
      <c r="F4" s="3">
        <v>44985</v>
      </c>
      <c r="G4" s="4">
        <f t="shared" ref="G4:G66" si="2">(E4-F4)</f>
        <v>25</v>
      </c>
      <c r="H4" s="4" t="str">
        <v>delayed</v>
      </c>
      <c r="I4" s="4">
        <f>IF(G4&lt;=7,1,0)</f>
        <v>0</v>
      </c>
      <c r="J4" t="s">
        <v>646</v>
      </c>
      <c r="K4" t="s">
        <v>650</v>
      </c>
      <c r="L4" t="s">
        <v>664</v>
      </c>
      <c r="M4" t="s">
        <v>701</v>
      </c>
      <c r="N4" t="s">
        <v>707</v>
      </c>
      <c r="O4" t="s">
        <v>714</v>
      </c>
      <c r="P4" t="s">
        <v>729</v>
      </c>
      <c r="Q4" t="str" cm="1">
        <f t="array" ref="Q4">_xlfn.IFS(U4&lt;=_xlfn.QUARTILE.INC($U$2:$U635,1),"Low",B4&lt;=_xlfn.QUARTILE.INC($U$2:$U$633,2),"Medium",TRUE,"High")</f>
        <v>High</v>
      </c>
      <c r="R4" t="s">
        <v>736</v>
      </c>
      <c r="S4" s="4">
        <v>1460.76</v>
      </c>
      <c r="T4">
        <v>-30.66</v>
      </c>
      <c r="U4" s="4" t="str">
        <v>1193.87</v>
      </c>
      <c r="V4" s="7">
        <v>0.13100000000000001</v>
      </c>
      <c r="W4" s="7">
        <v>0.13100000000000001</v>
      </c>
      <c r="X4" s="7" t="str">
        <f t="shared" si="1"/>
        <v>okay</v>
      </c>
      <c r="Y4" s="9">
        <v>12</v>
      </c>
      <c r="Z4">
        <v>12449.676359999999</v>
      </c>
      <c r="AA4">
        <v>17529.12</v>
      </c>
      <c r="AB4">
        <v>-5079.4436399999995</v>
      </c>
      <c r="AC4">
        <v>-0.40799804694682035</v>
      </c>
    </row>
    <row r="5" spans="1:29" x14ac:dyDescent="0.3">
      <c r="A5" t="s">
        <v>18</v>
      </c>
      <c r="B5" s="3">
        <v>45745</v>
      </c>
      <c r="C5" s="3" t="str">
        <v>Mar-2025</v>
      </c>
      <c r="D5" s="11" t="str">
        <f t="shared" si="0"/>
        <v>Q1-2025</v>
      </c>
      <c r="E5" s="3">
        <v>45749</v>
      </c>
      <c r="F5" s="3">
        <v>45745</v>
      </c>
      <c r="G5" s="4">
        <f t="shared" si="2"/>
        <v>4</v>
      </c>
      <c r="H5" s="4" t="str">
        <v>ontime</v>
      </c>
      <c r="I5" s="4">
        <f>IF(G5&lt;=7,1,0)</f>
        <v>1</v>
      </c>
      <c r="J5" t="s">
        <v>646</v>
      </c>
      <c r="K5" t="s">
        <v>651</v>
      </c>
      <c r="L5" t="s">
        <v>665</v>
      </c>
      <c r="M5" t="s">
        <v>703</v>
      </c>
      <c r="N5" t="s">
        <v>709</v>
      </c>
      <c r="O5" t="s">
        <v>715</v>
      </c>
      <c r="P5" t="s">
        <v>730</v>
      </c>
      <c r="Q5" t="str" cm="1">
        <f t="array" ref="Q5">_xlfn.IFS(U5&lt;=_xlfn.QUARTILE.INC($U$2:$U636,1),"Low",B5&lt;=_xlfn.QUARTILE.INC($U$2:$U$633,2),"Medium",TRUE,"High")</f>
        <v>Low</v>
      </c>
      <c r="R5" t="s">
        <v>737</v>
      </c>
      <c r="S5" s="4">
        <v>259.93</v>
      </c>
      <c r="T5">
        <v>255.94</v>
      </c>
      <c r="U5">
        <v>255.94</v>
      </c>
      <c r="V5" s="7">
        <v>7.1999999999999995E-2</v>
      </c>
      <c r="W5" s="7">
        <v>7.1999999999999995E-2</v>
      </c>
      <c r="X5" s="7" t="str">
        <f t="shared" si="1"/>
        <v>okay</v>
      </c>
      <c r="Y5" s="9">
        <v>22</v>
      </c>
      <c r="Z5">
        <v>5225.2710400000005</v>
      </c>
      <c r="AA5">
        <v>5718.46</v>
      </c>
      <c r="AB5">
        <v>-493.1889599999995</v>
      </c>
      <c r="AC5">
        <v>-9.4385335463861311E-2</v>
      </c>
    </row>
    <row r="6" spans="1:29" x14ac:dyDescent="0.3">
      <c r="A6" t="s">
        <v>19</v>
      </c>
      <c r="B6" s="3">
        <v>45266</v>
      </c>
      <c r="C6" s="3" t="str">
        <v>Dec-2023</v>
      </c>
      <c r="D6" s="11" t="str">
        <f t="shared" si="0"/>
        <v>Q4-2023</v>
      </c>
      <c r="E6" s="3">
        <v>45291</v>
      </c>
      <c r="F6" s="3">
        <v>45266</v>
      </c>
      <c r="G6" s="4">
        <f t="shared" si="2"/>
        <v>25</v>
      </c>
      <c r="H6" s="4" t="str">
        <v>delayed</v>
      </c>
      <c r="I6" s="4">
        <f>IF(G6&lt;=7,1,0)</f>
        <v>0</v>
      </c>
      <c r="J6" t="s">
        <v>647</v>
      </c>
      <c r="K6" t="s">
        <v>652</v>
      </c>
      <c r="L6" t="s">
        <v>666</v>
      </c>
      <c r="M6" t="s">
        <v>704</v>
      </c>
      <c r="N6" t="s">
        <v>707</v>
      </c>
      <c r="O6" t="s">
        <v>716</v>
      </c>
      <c r="P6" t="s">
        <v>728</v>
      </c>
      <c r="Q6" t="str" cm="1">
        <f t="array" ref="Q6">_xlfn.IFS(U6&lt;=_xlfn.QUARTILE.INC($U$2:$U637,1),"Low",B6&lt;=_xlfn.QUARTILE.INC($U$2:$U$633,2),"Medium",TRUE,"High")</f>
        <v>High</v>
      </c>
      <c r="R6" t="s">
        <v>738</v>
      </c>
      <c r="S6" s="4">
        <v>663.03</v>
      </c>
      <c r="T6">
        <v>813.51</v>
      </c>
      <c r="U6">
        <v>813.51</v>
      </c>
      <c r="V6" s="7">
        <v>0.10199999999999999</v>
      </c>
      <c r="W6" s="7">
        <v>0.10199999999999999</v>
      </c>
      <c r="X6" s="7" t="str">
        <f t="shared" si="1"/>
        <v>okay</v>
      </c>
      <c r="Y6" s="9">
        <v>15</v>
      </c>
      <c r="Z6">
        <v>10957.9797</v>
      </c>
      <c r="AA6">
        <v>9945.4499999999989</v>
      </c>
      <c r="AB6">
        <v>1012.529700000001</v>
      </c>
      <c r="AC6">
        <v>9.2401129379715952E-2</v>
      </c>
    </row>
    <row r="7" spans="1:29" x14ac:dyDescent="0.3">
      <c r="A7" t="s">
        <v>20</v>
      </c>
      <c r="B7" s="3">
        <v>44928</v>
      </c>
      <c r="C7" s="3" t="str">
        <v>Jan-2023</v>
      </c>
      <c r="D7" s="11" t="str">
        <f t="shared" si="0"/>
        <v>Q1-2023</v>
      </c>
      <c r="E7" s="3">
        <v>44931</v>
      </c>
      <c r="F7" s="3">
        <v>44928</v>
      </c>
      <c r="G7" s="4">
        <f t="shared" si="2"/>
        <v>3</v>
      </c>
      <c r="H7" s="4" t="str">
        <v>ontime</v>
      </c>
      <c r="I7" s="4">
        <f>IF(G7&lt;=7,1,0)</f>
        <v>1</v>
      </c>
      <c r="J7" t="s">
        <v>648</v>
      </c>
      <c r="K7" t="s">
        <v>653</v>
      </c>
      <c r="L7" t="s">
        <v>667</v>
      </c>
      <c r="M7" t="s">
        <v>701</v>
      </c>
      <c r="N7" t="s">
        <v>710</v>
      </c>
      <c r="O7" t="s">
        <v>717</v>
      </c>
      <c r="P7" t="s">
        <v>731</v>
      </c>
      <c r="Q7" t="str" cm="1">
        <f t="array" ref="Q7">_xlfn.IFS(U7&lt;=_xlfn.QUARTILE.INC($U$2:$U638,1),"Low",B7&lt;=_xlfn.QUARTILE.INC($U$2:$U$633,2),"Medium",TRUE,"High")</f>
        <v>Low</v>
      </c>
      <c r="R7" t="s">
        <v>739</v>
      </c>
      <c r="S7" s="4">
        <v>315.87</v>
      </c>
      <c r="T7">
        <v>591.67999999999995</v>
      </c>
      <c r="U7">
        <v>591.67999999999995</v>
      </c>
      <c r="V7" s="7">
        <v>0</v>
      </c>
      <c r="W7" s="7">
        <v>0</v>
      </c>
      <c r="X7" s="7" t="str">
        <f t="shared" si="1"/>
        <v>okay</v>
      </c>
      <c r="Y7" s="9">
        <v>7</v>
      </c>
      <c r="Z7">
        <v>4141.7599999999993</v>
      </c>
      <c r="AA7">
        <v>2211.09</v>
      </c>
      <c r="AB7">
        <v>1930.6699999999992</v>
      </c>
      <c r="AC7">
        <v>0.46614724175229844</v>
      </c>
    </row>
    <row r="8" spans="1:29" x14ac:dyDescent="0.3">
      <c r="A8" t="s">
        <v>21</v>
      </c>
      <c r="B8" s="3">
        <v>45653</v>
      </c>
      <c r="C8" s="3" t="str">
        <v>Dec-2024</v>
      </c>
      <c r="D8" s="11" t="str">
        <f t="shared" si="0"/>
        <v>Q4-2024</v>
      </c>
      <c r="E8" s="3">
        <v>45671</v>
      </c>
      <c r="F8" s="3">
        <v>45653</v>
      </c>
      <c r="G8" s="4">
        <f t="shared" si="2"/>
        <v>18</v>
      </c>
      <c r="H8" s="4" t="str">
        <v>delayed</v>
      </c>
      <c r="I8" s="4">
        <f t="shared" ref="I8:I71" si="3">IF(G8&lt;=7,1,0)</f>
        <v>0</v>
      </c>
      <c r="J8" t="s">
        <v>647</v>
      </c>
      <c r="K8" t="s">
        <v>654</v>
      </c>
      <c r="L8" t="s">
        <v>668</v>
      </c>
      <c r="M8" t="s">
        <v>705</v>
      </c>
      <c r="N8" t="s">
        <v>709</v>
      </c>
      <c r="O8" t="s">
        <v>718</v>
      </c>
      <c r="P8" t="s">
        <v>732</v>
      </c>
      <c r="Q8" t="str" cm="1">
        <f t="array" ref="Q8">_xlfn.IFS(U8&lt;=_xlfn.QUARTILE.INC($U$2:$U639,1),"Low",B8&lt;=_xlfn.QUARTILE.INC($U$2:$U$633,2),"Medium",TRUE,"High")</f>
        <v>High</v>
      </c>
      <c r="R8" t="s">
        <v>740</v>
      </c>
      <c r="S8" s="4">
        <v>586.07000000000005</v>
      </c>
      <c r="T8">
        <v>845.97</v>
      </c>
      <c r="U8">
        <v>845.97</v>
      </c>
      <c r="V8" s="7">
        <v>0.14699999999999999</v>
      </c>
      <c r="W8" s="7">
        <v>0.14699999999999999</v>
      </c>
      <c r="X8" s="7" t="str">
        <f t="shared" si="1"/>
        <v>okay</v>
      </c>
      <c r="Y8" s="9">
        <v>4</v>
      </c>
      <c r="Z8">
        <v>2886.4496399999998</v>
      </c>
      <c r="AA8">
        <v>2344.2800000000002</v>
      </c>
      <c r="AB8">
        <v>542.16963999999962</v>
      </c>
      <c r="AC8">
        <v>0.18783270370862928</v>
      </c>
    </row>
    <row r="9" spans="1:29" x14ac:dyDescent="0.3">
      <c r="A9" t="s">
        <v>22</v>
      </c>
      <c r="B9" s="3">
        <v>44941</v>
      </c>
      <c r="C9" s="3" t="str">
        <v>Jan-2023</v>
      </c>
      <c r="D9" s="11" t="str">
        <f t="shared" si="0"/>
        <v>Q1-2023</v>
      </c>
      <c r="E9" s="3">
        <v>44939</v>
      </c>
      <c r="F9" s="3">
        <v>44948</v>
      </c>
      <c r="G9" s="4">
        <f t="shared" si="2"/>
        <v>-9</v>
      </c>
      <c r="H9" s="4" t="str">
        <v>ontime</v>
      </c>
      <c r="I9" s="4">
        <f t="shared" si="3"/>
        <v>1</v>
      </c>
      <c r="J9" t="s">
        <v>646</v>
      </c>
      <c r="K9" t="s">
        <v>651</v>
      </c>
      <c r="L9" t="s">
        <v>669</v>
      </c>
      <c r="M9" t="s">
        <v>702</v>
      </c>
      <c r="N9" t="s">
        <v>708</v>
      </c>
      <c r="O9" t="s">
        <v>719</v>
      </c>
      <c r="P9" t="s">
        <v>728</v>
      </c>
      <c r="Q9" t="str" cm="1">
        <f t="array" ref="Q9">_xlfn.IFS(U9&lt;=_xlfn.QUARTILE.INC($U$2:$U640,1),"Low",B9&lt;=_xlfn.QUARTILE.INC($U$2:$U$633,2),"Medium",TRUE,"High")</f>
        <v>Low</v>
      </c>
      <c r="R9" t="s">
        <v>741</v>
      </c>
      <c r="S9" s="4">
        <v>28.38</v>
      </c>
      <c r="T9">
        <v>47.22</v>
      </c>
      <c r="U9">
        <v>47.22</v>
      </c>
      <c r="V9" s="7">
        <v>0.19400000000000001</v>
      </c>
      <c r="W9" s="7">
        <v>0.19400000000000001</v>
      </c>
      <c r="X9" s="7" t="str">
        <f t="shared" si="1"/>
        <v>okay</v>
      </c>
      <c r="Y9" s="9">
        <v>18</v>
      </c>
      <c r="Z9">
        <v>685.06776000000002</v>
      </c>
      <c r="AA9">
        <v>510.84</v>
      </c>
      <c r="AB9">
        <v>174.22776000000005</v>
      </c>
      <c r="AC9">
        <v>0.25432193743871417</v>
      </c>
    </row>
    <row r="10" spans="1:29" x14ac:dyDescent="0.3">
      <c r="A10" t="s">
        <v>23</v>
      </c>
      <c r="B10" s="3">
        <v>45416</v>
      </c>
      <c r="C10" s="3" t="str">
        <v>May-2024</v>
      </c>
      <c r="D10" s="11" t="str">
        <f t="shared" si="0"/>
        <v>Q2-2024</v>
      </c>
      <c r="E10" s="3">
        <v>45441</v>
      </c>
      <c r="F10" s="3">
        <v>45416</v>
      </c>
      <c r="G10" s="4">
        <f t="shared" si="2"/>
        <v>25</v>
      </c>
      <c r="H10" s="4" t="str">
        <v>delayed</v>
      </c>
      <c r="I10" s="4">
        <f t="shared" si="3"/>
        <v>0</v>
      </c>
      <c r="J10" t="s">
        <v>646</v>
      </c>
      <c r="K10" t="s">
        <v>651</v>
      </c>
      <c r="L10" t="s">
        <v>669</v>
      </c>
      <c r="M10" t="s">
        <v>703</v>
      </c>
      <c r="N10" t="s">
        <v>709</v>
      </c>
      <c r="O10" t="s">
        <v>719</v>
      </c>
      <c r="P10" t="s">
        <v>732</v>
      </c>
      <c r="Q10" t="str" cm="1">
        <f t="array" ref="Q10">_xlfn.IFS(U10&lt;=_xlfn.QUARTILE.INC($U$2:$U641,1),"Low",B10&lt;=_xlfn.QUARTILE.INC($U$2:$U$633,2),"Medium",TRUE,"High")</f>
        <v>High</v>
      </c>
      <c r="R10" t="s">
        <v>742</v>
      </c>
      <c r="S10" s="4">
        <v>1295.3399999999999</v>
      </c>
      <c r="T10">
        <v>2530.81</v>
      </c>
      <c r="U10">
        <v>2530.81</v>
      </c>
      <c r="V10" s="7">
        <v>3.1E-2</v>
      </c>
      <c r="W10" s="7">
        <v>3.1E-2</v>
      </c>
      <c r="X10" s="7" t="str">
        <f t="shared" si="1"/>
        <v>okay</v>
      </c>
      <c r="Y10" s="9">
        <v>6</v>
      </c>
      <c r="Z10">
        <v>14714.12934</v>
      </c>
      <c r="AA10">
        <v>7772.0399999999991</v>
      </c>
      <c r="AB10">
        <v>6942.0893400000004</v>
      </c>
      <c r="AC10">
        <v>0.4717974933880798</v>
      </c>
    </row>
    <row r="11" spans="1:29" x14ac:dyDescent="0.3">
      <c r="A11" t="s">
        <v>24</v>
      </c>
      <c r="B11" s="3">
        <v>45798</v>
      </c>
      <c r="C11" s="3" t="str">
        <v>May-2025</v>
      </c>
      <c r="D11" s="11" t="str">
        <f t="shared" si="0"/>
        <v>Q2-2025</v>
      </c>
      <c r="E11" s="3">
        <v>45817</v>
      </c>
      <c r="F11" s="3">
        <v>45798</v>
      </c>
      <c r="G11" s="4">
        <f t="shared" si="2"/>
        <v>19</v>
      </c>
      <c r="H11" s="4" t="str">
        <v>delayed</v>
      </c>
      <c r="I11" s="4">
        <f t="shared" si="3"/>
        <v>0</v>
      </c>
      <c r="J11" t="s">
        <v>648</v>
      </c>
      <c r="K11" t="s">
        <v>655</v>
      </c>
      <c r="L11" t="s">
        <v>670</v>
      </c>
      <c r="M11" t="s">
        <v>703</v>
      </c>
      <c r="N11" t="s">
        <v>708</v>
      </c>
      <c r="O11" t="s">
        <v>720</v>
      </c>
      <c r="P11" t="s">
        <v>727</v>
      </c>
      <c r="Q11" t="str" cm="1">
        <f t="array" ref="Q11">_xlfn.IFS(U11&lt;=_xlfn.QUARTILE.INC($U$2:$U642,1),"Low",B11&lt;=_xlfn.QUARTILE.INC($U$2:$U$633,2),"Medium",TRUE,"High")</f>
        <v>High</v>
      </c>
      <c r="R11" t="s">
        <v>743</v>
      </c>
      <c r="S11" s="4">
        <v>1331.38</v>
      </c>
      <c r="T11">
        <v>2309.56</v>
      </c>
      <c r="U11">
        <v>2309.56</v>
      </c>
      <c r="V11" s="7">
        <v>0.14899999999999999</v>
      </c>
      <c r="W11" s="7">
        <v>0.14899999999999999</v>
      </c>
      <c r="X11" s="7" t="str">
        <f t="shared" si="1"/>
        <v>okay</v>
      </c>
      <c r="Y11" s="9">
        <v>31</v>
      </c>
      <c r="Z11">
        <v>60928.502359999999</v>
      </c>
      <c r="AA11">
        <v>41272.780000000006</v>
      </c>
      <c r="AB11">
        <v>19655.722359999992</v>
      </c>
      <c r="AC11">
        <v>0.32260307735553528</v>
      </c>
    </row>
    <row r="12" spans="1:29" x14ac:dyDescent="0.3">
      <c r="A12" t="s">
        <v>25</v>
      </c>
      <c r="B12" s="3">
        <v>45319</v>
      </c>
      <c r="C12" s="3" t="str">
        <v>Jan-2024</v>
      </c>
      <c r="D12" s="11" t="str">
        <f t="shared" si="0"/>
        <v>Q1-2024</v>
      </c>
      <c r="E12" s="3">
        <v>45331</v>
      </c>
      <c r="F12" s="3">
        <v>45319</v>
      </c>
      <c r="G12" s="4">
        <f t="shared" si="2"/>
        <v>12</v>
      </c>
      <c r="H12" s="4" t="str">
        <v>delayed</v>
      </c>
      <c r="I12" s="4">
        <f t="shared" si="3"/>
        <v>0</v>
      </c>
      <c r="J12" t="s">
        <v>649</v>
      </c>
      <c r="K12" t="s">
        <v>656</v>
      </c>
      <c r="L12" t="s">
        <v>671</v>
      </c>
      <c r="M12" t="s">
        <v>701</v>
      </c>
      <c r="N12" t="s">
        <v>708</v>
      </c>
      <c r="O12" t="s">
        <v>715</v>
      </c>
      <c r="P12" t="s">
        <v>733</v>
      </c>
      <c r="Q12" t="str" cm="1">
        <f t="array" ref="Q12">_xlfn.IFS(U12&lt;=_xlfn.QUARTILE.INC($U$2:$U643,1),"Low",B12&lt;=_xlfn.QUARTILE.INC($U$2:$U$633,2),"Medium",TRUE,"High")</f>
        <v>High</v>
      </c>
      <c r="R12" t="s">
        <v>744</v>
      </c>
      <c r="S12" s="4">
        <v>644.16999999999996</v>
      </c>
      <c r="T12">
        <v>700.12</v>
      </c>
      <c r="U12">
        <v>700.12</v>
      </c>
      <c r="V12" s="7">
        <v>6.0000000000000001E-3</v>
      </c>
      <c r="W12" s="7">
        <v>6.0000000000000001E-3</v>
      </c>
      <c r="X12" s="7" t="str">
        <f t="shared" si="1"/>
        <v>okay</v>
      </c>
      <c r="Y12" s="9">
        <v>23</v>
      </c>
      <c r="Z12">
        <v>16006.14344</v>
      </c>
      <c r="AA12">
        <v>14815.91</v>
      </c>
      <c r="AB12">
        <v>1190.23344</v>
      </c>
      <c r="AC12">
        <v>7.436103796405813E-2</v>
      </c>
    </row>
    <row r="13" spans="1:29" x14ac:dyDescent="0.3">
      <c r="A13" t="s">
        <v>26</v>
      </c>
      <c r="B13" s="3">
        <v>45660</v>
      </c>
      <c r="C13" s="3" t="str">
        <v>Jan-2025</v>
      </c>
      <c r="D13" s="11" t="str">
        <f t="shared" si="0"/>
        <v>Q1-2025</v>
      </c>
      <c r="E13" s="3">
        <v>45680</v>
      </c>
      <c r="F13" s="3">
        <v>45660</v>
      </c>
      <c r="G13" s="4">
        <f t="shared" si="2"/>
        <v>20</v>
      </c>
      <c r="H13" s="4" t="str">
        <v>delayed</v>
      </c>
      <c r="I13" s="4">
        <f t="shared" si="3"/>
        <v>0</v>
      </c>
      <c r="J13" t="s">
        <v>647</v>
      </c>
      <c r="K13" t="s">
        <v>652</v>
      </c>
      <c r="L13" t="s">
        <v>666</v>
      </c>
      <c r="M13" t="s">
        <v>701</v>
      </c>
      <c r="N13" t="s">
        <v>710</v>
      </c>
      <c r="O13" t="s">
        <v>721</v>
      </c>
      <c r="P13" t="s">
        <v>730</v>
      </c>
      <c r="Q13" t="str" cm="1">
        <f t="array" ref="Q13">_xlfn.IFS(U13&lt;=_xlfn.QUARTILE.INC($U$2:$U644,1),"Low",B13&lt;=_xlfn.QUARTILE.INC($U$2:$U$633,2),"Medium",TRUE,"High")</f>
        <v>High</v>
      </c>
      <c r="R13" t="s">
        <v>745</v>
      </c>
      <c r="S13" s="4">
        <v>908.6</v>
      </c>
      <c r="T13">
        <v>691.37</v>
      </c>
      <c r="U13">
        <v>691.37</v>
      </c>
      <c r="V13" s="7">
        <v>0.25</v>
      </c>
      <c r="W13" s="7">
        <v>0.25</v>
      </c>
      <c r="X13" s="7" t="str">
        <f t="shared" si="1"/>
        <v>High discount</v>
      </c>
      <c r="Y13" s="9">
        <v>20</v>
      </c>
      <c r="Z13">
        <v>10370.549999999999</v>
      </c>
      <c r="AA13">
        <v>18172</v>
      </c>
      <c r="AB13">
        <v>-7801.4500000000007</v>
      </c>
      <c r="AC13">
        <v>-0.75226964818645115</v>
      </c>
    </row>
    <row r="14" spans="1:29" x14ac:dyDescent="0.3">
      <c r="A14" t="s">
        <v>27</v>
      </c>
      <c r="B14" s="3">
        <v>45722</v>
      </c>
      <c r="C14" s="3" t="str">
        <v>Mar-2025</v>
      </c>
      <c r="D14" s="11" t="str">
        <f t="shared" si="0"/>
        <v>Q1-2025</v>
      </c>
      <c r="E14" s="3">
        <v>45747</v>
      </c>
      <c r="F14" s="3">
        <v>45722</v>
      </c>
      <c r="G14" s="4">
        <f t="shared" si="2"/>
        <v>25</v>
      </c>
      <c r="H14" s="4" t="str">
        <v>delayed</v>
      </c>
      <c r="I14" s="4">
        <f t="shared" si="3"/>
        <v>0</v>
      </c>
      <c r="J14" t="s">
        <v>648</v>
      </c>
      <c r="K14" t="s">
        <v>655</v>
      </c>
      <c r="L14" t="s">
        <v>672</v>
      </c>
      <c r="M14" t="s">
        <v>703</v>
      </c>
      <c r="N14" t="s">
        <v>708</v>
      </c>
      <c r="O14" t="s">
        <v>713</v>
      </c>
      <c r="P14" t="s">
        <v>727</v>
      </c>
      <c r="Q14" t="str" cm="1">
        <f t="array" ref="Q14">_xlfn.IFS(U14&lt;=_xlfn.QUARTILE.INC($U$2:$U645,1),"Low",B14&lt;=_xlfn.QUARTILE.INC($U$2:$U$633,2),"Medium",TRUE,"High")</f>
        <v>Low</v>
      </c>
      <c r="R14" t="s">
        <v>746</v>
      </c>
      <c r="S14" s="4">
        <v>331.57</v>
      </c>
      <c r="T14">
        <v>548.4</v>
      </c>
      <c r="U14">
        <v>548.4</v>
      </c>
      <c r="V14" s="7">
        <v>9.4E-2</v>
      </c>
      <c r="W14" s="7">
        <v>9.4E-2</v>
      </c>
      <c r="X14" s="7" t="str">
        <f t="shared" si="1"/>
        <v>okay</v>
      </c>
      <c r="Y14" s="9">
        <v>10</v>
      </c>
      <c r="Z14">
        <v>4968.5039999999999</v>
      </c>
      <c r="AA14">
        <v>3315.7</v>
      </c>
      <c r="AB14">
        <v>1652.8040000000001</v>
      </c>
      <c r="AC14">
        <v>0.33265626836568918</v>
      </c>
    </row>
    <row r="15" spans="1:29" x14ac:dyDescent="0.3">
      <c r="A15" t="s">
        <v>28</v>
      </c>
      <c r="B15" s="3">
        <v>45311</v>
      </c>
      <c r="C15" s="3" t="str">
        <v>Jan-2024</v>
      </c>
      <c r="D15" s="11" t="str">
        <f t="shared" si="0"/>
        <v>Q1-2024</v>
      </c>
      <c r="E15" s="3">
        <v>45335</v>
      </c>
      <c r="F15" s="3">
        <v>45311</v>
      </c>
      <c r="G15" s="4">
        <f t="shared" si="2"/>
        <v>24</v>
      </c>
      <c r="H15" s="4" t="str">
        <v>delayed</v>
      </c>
      <c r="I15" s="4">
        <f t="shared" si="3"/>
        <v>0</v>
      </c>
      <c r="J15" t="s">
        <v>649</v>
      </c>
      <c r="K15" t="s">
        <v>657</v>
      </c>
      <c r="L15" t="s">
        <v>673</v>
      </c>
      <c r="M15" t="s">
        <v>701</v>
      </c>
      <c r="N15" t="s">
        <v>707</v>
      </c>
      <c r="O15" t="s">
        <v>722</v>
      </c>
      <c r="P15" t="s">
        <v>728</v>
      </c>
      <c r="Q15" t="str" cm="1">
        <f t="array" ref="Q15">_xlfn.IFS(U15&lt;=_xlfn.QUARTILE.INC($U$2:$U646,1),"Low",B15&lt;=_xlfn.QUARTILE.INC($U$2:$U$633,2),"Medium",TRUE,"High")</f>
        <v>High</v>
      </c>
      <c r="R15" t="s">
        <v>747</v>
      </c>
      <c r="S15" s="4">
        <v>643.53</v>
      </c>
      <c r="T15">
        <v>1439.01</v>
      </c>
      <c r="U15">
        <v>1439.01</v>
      </c>
      <c r="V15" s="7">
        <v>0</v>
      </c>
      <c r="W15" s="7">
        <v>0</v>
      </c>
      <c r="X15" s="7" t="str">
        <f t="shared" si="1"/>
        <v>okay</v>
      </c>
      <c r="Y15" s="9">
        <v>15</v>
      </c>
      <c r="Z15">
        <v>21585.15</v>
      </c>
      <c r="AA15">
        <v>9652.9499999999989</v>
      </c>
      <c r="AB15">
        <v>11932.200000000003</v>
      </c>
      <c r="AC15">
        <v>0.55279671440782208</v>
      </c>
    </row>
    <row r="16" spans="1:29" x14ac:dyDescent="0.3">
      <c r="A16" t="s">
        <v>29</v>
      </c>
      <c r="B16" s="3">
        <v>45901</v>
      </c>
      <c r="C16" s="3" t="str">
        <v>Sep-2025</v>
      </c>
      <c r="D16" s="11" t="str">
        <f t="shared" si="0"/>
        <v>Q3-2025</v>
      </c>
      <c r="E16" s="3">
        <v>45930</v>
      </c>
      <c r="F16" s="3">
        <v>45901</v>
      </c>
      <c r="G16" s="4">
        <f t="shared" si="2"/>
        <v>29</v>
      </c>
      <c r="H16" s="4" t="str">
        <v>delayed</v>
      </c>
      <c r="I16" s="4">
        <f t="shared" si="3"/>
        <v>0</v>
      </c>
      <c r="J16" t="s">
        <v>648</v>
      </c>
      <c r="K16" t="s">
        <v>655</v>
      </c>
      <c r="L16" t="s">
        <v>672</v>
      </c>
      <c r="M16" t="s">
        <v>702</v>
      </c>
      <c r="N16" t="s">
        <v>707</v>
      </c>
      <c r="O16" t="s">
        <v>723</v>
      </c>
      <c r="P16" t="s">
        <v>733</v>
      </c>
      <c r="Q16" t="str" cm="1">
        <f t="array" ref="Q16">_xlfn.IFS(U16&lt;=_xlfn.QUARTILE.INC($U$2:$U647,1),"Low",B16&lt;=_xlfn.QUARTILE.INC($U$2:$U$633,2),"Medium",TRUE,"High")</f>
        <v>High</v>
      </c>
      <c r="R16" t="s">
        <v>748</v>
      </c>
      <c r="S16" s="4">
        <v>780.59</v>
      </c>
      <c r="T16">
        <v>631.57000000000005</v>
      </c>
      <c r="U16">
        <v>631.57000000000005</v>
      </c>
      <c r="V16" s="7">
        <v>0</v>
      </c>
      <c r="W16" s="7">
        <v>0</v>
      </c>
      <c r="X16" s="7" t="str">
        <f t="shared" si="1"/>
        <v>okay</v>
      </c>
      <c r="Y16" s="9">
        <v>12</v>
      </c>
      <c r="Z16">
        <v>7578.84</v>
      </c>
      <c r="AA16">
        <v>9367.08</v>
      </c>
      <c r="AB16">
        <v>-1788.2399999999998</v>
      </c>
      <c r="AC16">
        <v>-0.23595167598207639</v>
      </c>
    </row>
    <row r="17" spans="1:29" x14ac:dyDescent="0.3">
      <c r="A17" t="s">
        <v>30</v>
      </c>
      <c r="B17" s="3">
        <v>45039</v>
      </c>
      <c r="C17" s="3" t="str">
        <v>Apr-2023</v>
      </c>
      <c r="D17" s="11" t="str">
        <f t="shared" si="0"/>
        <v>Q2-2023</v>
      </c>
      <c r="E17" s="3">
        <v>45038</v>
      </c>
      <c r="F17" s="3">
        <v>45046</v>
      </c>
      <c r="G17" s="4">
        <f t="shared" si="2"/>
        <v>-8</v>
      </c>
      <c r="H17" s="4" t="str">
        <v>ontime</v>
      </c>
      <c r="I17" s="4">
        <f t="shared" si="3"/>
        <v>1</v>
      </c>
      <c r="J17" t="s">
        <v>646</v>
      </c>
      <c r="K17" t="s">
        <v>650</v>
      </c>
      <c r="L17" t="s">
        <v>664</v>
      </c>
      <c r="M17" t="s">
        <v>705</v>
      </c>
      <c r="N17" t="s">
        <v>711</v>
      </c>
      <c r="O17" t="s">
        <v>718</v>
      </c>
      <c r="P17" t="s">
        <v>731</v>
      </c>
      <c r="Q17" t="str" cm="1">
        <f t="array" ref="Q17">_xlfn.IFS(U17&lt;=_xlfn.QUARTILE.INC($U$2:$U648,1),"Low",B17&lt;=_xlfn.QUARTILE.INC($U$2:$U$633,2),"Medium",TRUE,"High")</f>
        <v>High</v>
      </c>
      <c r="R17" t="s">
        <v>749</v>
      </c>
      <c r="S17" s="4">
        <v>756.51</v>
      </c>
      <c r="T17">
        <v>850.8</v>
      </c>
      <c r="U17">
        <v>850.8</v>
      </c>
      <c r="V17" s="7">
        <v>7.3999999999999996E-2</v>
      </c>
      <c r="W17" s="7">
        <v>7.3999999999999996E-2</v>
      </c>
      <c r="X17" s="7" t="str">
        <f t="shared" si="1"/>
        <v>okay</v>
      </c>
      <c r="Y17" s="9">
        <v>9</v>
      </c>
      <c r="Z17">
        <v>7090.5672000000004</v>
      </c>
      <c r="AA17">
        <v>6808.59</v>
      </c>
      <c r="AB17">
        <v>281.97720000000027</v>
      </c>
      <c r="AC17">
        <v>3.9767932810791252E-2</v>
      </c>
    </row>
    <row r="18" spans="1:29" x14ac:dyDescent="0.3">
      <c r="A18" t="s">
        <v>31</v>
      </c>
      <c r="B18" s="3">
        <v>45636</v>
      </c>
      <c r="C18" s="3" t="str">
        <v>Dec-2024</v>
      </c>
      <c r="D18" s="11" t="str">
        <f t="shared" si="0"/>
        <v>Q4-2024</v>
      </c>
      <c r="E18" s="3">
        <v>45665</v>
      </c>
      <c r="F18" s="3">
        <v>45636</v>
      </c>
      <c r="G18" s="4">
        <f t="shared" si="2"/>
        <v>29</v>
      </c>
      <c r="H18" s="4" t="str">
        <v>delayed</v>
      </c>
      <c r="I18" s="4">
        <f t="shared" si="3"/>
        <v>0</v>
      </c>
      <c r="J18" t="s">
        <v>649</v>
      </c>
      <c r="K18" t="s">
        <v>657</v>
      </c>
      <c r="L18" t="s">
        <v>673</v>
      </c>
      <c r="M18" t="s">
        <v>705</v>
      </c>
      <c r="N18" t="s">
        <v>707</v>
      </c>
      <c r="O18" t="s">
        <v>723</v>
      </c>
      <c r="P18" t="s">
        <v>728</v>
      </c>
      <c r="Q18" t="str" cm="1">
        <f t="array" ref="Q18">_xlfn.IFS(U18&lt;=_xlfn.QUARTILE.INC($U$2:$U649,1),"Low",B18&lt;=_xlfn.QUARTILE.INC($U$2:$U$633,2),"Medium",TRUE,"High")</f>
        <v>High</v>
      </c>
      <c r="R18" t="s">
        <v>750</v>
      </c>
      <c r="S18" s="4">
        <v>891.08</v>
      </c>
      <c r="T18">
        <v>1040.0999999999999</v>
      </c>
      <c r="U18">
        <v>1040.0999999999999</v>
      </c>
      <c r="V18" s="7">
        <v>0.109</v>
      </c>
      <c r="W18" s="7">
        <v>0.109</v>
      </c>
      <c r="X18" s="7" t="str">
        <f t="shared" si="1"/>
        <v>okay</v>
      </c>
      <c r="Y18" s="9">
        <v>28</v>
      </c>
      <c r="Z18">
        <v>25948.414799999995</v>
      </c>
      <c r="AA18">
        <v>24950.240000000002</v>
      </c>
      <c r="AB18">
        <v>998.17479999999341</v>
      </c>
      <c r="AC18">
        <v>3.8467660074556598E-2</v>
      </c>
    </row>
    <row r="19" spans="1:29" x14ac:dyDescent="0.3">
      <c r="A19" t="s">
        <v>32</v>
      </c>
      <c r="B19" s="3">
        <v>45908</v>
      </c>
      <c r="C19" s="3" t="str">
        <v>Sep-2025</v>
      </c>
      <c r="D19" s="11" t="str">
        <f t="shared" si="0"/>
        <v>Q3-2025</v>
      </c>
      <c r="E19" s="3">
        <v>45916</v>
      </c>
      <c r="F19" s="3">
        <v>45908</v>
      </c>
      <c r="G19" s="4">
        <f t="shared" si="2"/>
        <v>8</v>
      </c>
      <c r="H19" s="4" t="str">
        <v>delayed</v>
      </c>
      <c r="I19" s="4">
        <f t="shared" si="3"/>
        <v>0</v>
      </c>
      <c r="J19" t="s">
        <v>647</v>
      </c>
      <c r="K19" t="s">
        <v>652</v>
      </c>
      <c r="L19" t="s">
        <v>666</v>
      </c>
      <c r="M19" t="s">
        <v>701</v>
      </c>
      <c r="N19" t="s">
        <v>710</v>
      </c>
      <c r="O19" t="s">
        <v>712</v>
      </c>
      <c r="P19" t="s">
        <v>730</v>
      </c>
      <c r="Q19" t="str" cm="1">
        <f t="array" ref="Q19">_xlfn.IFS(U19&lt;=_xlfn.QUARTILE.INC($U$2:$U650,1),"Low",B19&lt;=_xlfn.QUARTILE.INC($U$2:$U$633,2),"Medium",TRUE,"High")</f>
        <v>High</v>
      </c>
      <c r="R19" t="s">
        <v>751</v>
      </c>
      <c r="S19" s="4">
        <v>1225.57</v>
      </c>
      <c r="T19">
        <v>2705.57</v>
      </c>
      <c r="U19">
        <v>2705.57</v>
      </c>
      <c r="V19" s="7">
        <v>0.183</v>
      </c>
      <c r="W19" s="7">
        <v>0.183</v>
      </c>
      <c r="X19" s="7" t="str">
        <f t="shared" si="1"/>
        <v>okay</v>
      </c>
      <c r="Y19" s="9">
        <v>16</v>
      </c>
      <c r="Z19">
        <v>35367.211040000002</v>
      </c>
      <c r="AA19">
        <v>19609.12</v>
      </c>
      <c r="AB19">
        <v>15758.091040000003</v>
      </c>
      <c r="AC19">
        <v>0.44555650775453404</v>
      </c>
    </row>
    <row r="20" spans="1:29" x14ac:dyDescent="0.3">
      <c r="A20" t="s">
        <v>33</v>
      </c>
      <c r="B20" s="3">
        <v>45858</v>
      </c>
      <c r="C20" s="3" t="str">
        <v>Jul-2025</v>
      </c>
      <c r="D20" s="11" t="str">
        <f t="shared" si="0"/>
        <v>Q3-2025</v>
      </c>
      <c r="E20" s="3">
        <v>45874</v>
      </c>
      <c r="F20" s="3">
        <v>45858</v>
      </c>
      <c r="G20" s="4">
        <f t="shared" si="2"/>
        <v>16</v>
      </c>
      <c r="H20" s="4" t="str">
        <v>delayed</v>
      </c>
      <c r="I20" s="4">
        <f t="shared" si="3"/>
        <v>0</v>
      </c>
      <c r="J20" t="s">
        <v>648</v>
      </c>
      <c r="K20" t="s">
        <v>655</v>
      </c>
      <c r="L20" t="s">
        <v>672</v>
      </c>
      <c r="M20" t="s">
        <v>706</v>
      </c>
      <c r="N20" t="s">
        <v>709</v>
      </c>
      <c r="O20" t="s">
        <v>715</v>
      </c>
      <c r="P20" t="s">
        <v>733</v>
      </c>
      <c r="Q20" t="str" cm="1">
        <f t="array" ref="Q20">_xlfn.IFS(U20&lt;=_xlfn.QUARTILE.INC($U$2:$U651,1),"Low",B20&lt;=_xlfn.QUARTILE.INC($U$2:$U$633,2),"Medium",TRUE,"High")</f>
        <v>High</v>
      </c>
      <c r="R20" t="s">
        <v>752</v>
      </c>
      <c r="S20" s="4">
        <v>1068.17</v>
      </c>
      <c r="T20">
        <v>2375.37</v>
      </c>
      <c r="U20">
        <v>2375.37</v>
      </c>
      <c r="V20" s="7">
        <v>0.109</v>
      </c>
      <c r="W20" s="7">
        <v>0.109</v>
      </c>
      <c r="X20" s="7" t="str">
        <f t="shared" si="1"/>
        <v>okay</v>
      </c>
      <c r="Y20" s="9">
        <v>18</v>
      </c>
      <c r="Z20">
        <v>38096.18406</v>
      </c>
      <c r="AA20">
        <v>19227.060000000001</v>
      </c>
      <c r="AB20">
        <v>18869.124059999998</v>
      </c>
      <c r="AC20">
        <v>0.49530220744108822</v>
      </c>
    </row>
    <row r="21" spans="1:29" x14ac:dyDescent="0.3">
      <c r="A21" t="s">
        <v>34</v>
      </c>
      <c r="B21" s="3">
        <v>45798</v>
      </c>
      <c r="C21" s="3" t="str">
        <v>May-2025</v>
      </c>
      <c r="D21" s="11" t="str">
        <f t="shared" si="0"/>
        <v>Q2-2025</v>
      </c>
      <c r="E21" s="3">
        <v>45796</v>
      </c>
      <c r="F21" s="3">
        <v>45805</v>
      </c>
      <c r="G21" s="4">
        <f t="shared" si="2"/>
        <v>-9</v>
      </c>
      <c r="H21" s="4" t="str">
        <v>ontime</v>
      </c>
      <c r="I21" s="4">
        <f t="shared" si="3"/>
        <v>1</v>
      </c>
      <c r="J21" t="s">
        <v>649</v>
      </c>
      <c r="K21" t="s">
        <v>658</v>
      </c>
      <c r="L21" t="s">
        <v>674</v>
      </c>
      <c r="M21" t="s">
        <v>706</v>
      </c>
      <c r="N21" t="s">
        <v>708</v>
      </c>
      <c r="O21" t="s">
        <v>724</v>
      </c>
      <c r="P21" t="s">
        <v>731</v>
      </c>
      <c r="Q21" t="str" cm="1">
        <f t="array" ref="Q21">_xlfn.IFS(U21&lt;=_xlfn.QUARTILE.INC($U$2:$U652,1),"Low",B21&lt;=_xlfn.QUARTILE.INC($U$2:$U$633,2),"Medium",TRUE,"High")</f>
        <v>High</v>
      </c>
      <c r="R21" t="s">
        <v>753</v>
      </c>
      <c r="S21" s="4">
        <v>1015.16</v>
      </c>
      <c r="T21">
        <v>2148.14</v>
      </c>
      <c r="U21">
        <v>2148.14</v>
      </c>
      <c r="V21" s="7">
        <v>3.7999999999999999E-2</v>
      </c>
      <c r="W21" s="7">
        <v>3.7999999999999999E-2</v>
      </c>
      <c r="X21" s="7" t="str">
        <f t="shared" si="1"/>
        <v>okay</v>
      </c>
      <c r="Y21" s="9">
        <v>19</v>
      </c>
      <c r="Z21">
        <v>39263.702919999996</v>
      </c>
      <c r="AA21">
        <v>19288.04</v>
      </c>
      <c r="AB21">
        <v>19975.662919999995</v>
      </c>
      <c r="AC21">
        <v>0.50875647059322227</v>
      </c>
    </row>
    <row r="22" spans="1:29" x14ac:dyDescent="0.3">
      <c r="A22" t="s">
        <v>35</v>
      </c>
      <c r="B22" s="3">
        <v>45498</v>
      </c>
      <c r="C22" s="3" t="str">
        <v>Jul-2024</v>
      </c>
      <c r="D22" s="11" t="str">
        <f t="shared" si="0"/>
        <v>Q3-2024</v>
      </c>
      <c r="E22" s="3">
        <v>45497</v>
      </c>
      <c r="F22" s="3">
        <v>45505</v>
      </c>
      <c r="G22" s="4">
        <f t="shared" si="2"/>
        <v>-8</v>
      </c>
      <c r="H22" s="4" t="str">
        <v>ontime</v>
      </c>
      <c r="I22" s="4">
        <f t="shared" si="3"/>
        <v>1</v>
      </c>
      <c r="J22" t="s">
        <v>646</v>
      </c>
      <c r="K22" t="s">
        <v>650</v>
      </c>
      <c r="L22" t="s">
        <v>675</v>
      </c>
      <c r="M22" t="s">
        <v>703</v>
      </c>
      <c r="N22" t="s">
        <v>711</v>
      </c>
      <c r="O22" t="s">
        <v>713</v>
      </c>
      <c r="P22" t="s">
        <v>731</v>
      </c>
      <c r="Q22" t="str" cm="1">
        <f t="array" ref="Q22">_xlfn.IFS(U22&lt;=_xlfn.QUARTILE.INC($U$2:$U653,1),"Low",B22&lt;=_xlfn.QUARTILE.INC($U$2:$U$633,2),"Medium",TRUE,"High")</f>
        <v>High</v>
      </c>
      <c r="R22" t="s">
        <v>754</v>
      </c>
      <c r="S22" s="4">
        <v>1494.4</v>
      </c>
      <c r="T22">
        <v>3661.07</v>
      </c>
      <c r="U22">
        <v>3661.07</v>
      </c>
      <c r="V22" s="7">
        <v>7.1999999999999995E-2</v>
      </c>
      <c r="W22" s="7">
        <v>7.1999999999999995E-2</v>
      </c>
      <c r="X22" s="7" t="str">
        <f t="shared" si="1"/>
        <v>okay</v>
      </c>
      <c r="Y22" s="9">
        <v>7</v>
      </c>
      <c r="Z22">
        <v>23782.310720000001</v>
      </c>
      <c r="AA22">
        <v>10460.800000000001</v>
      </c>
      <c r="AB22">
        <v>13321.51072</v>
      </c>
      <c r="AC22">
        <v>0.56014366630897339</v>
      </c>
    </row>
    <row r="23" spans="1:29" x14ac:dyDescent="0.3">
      <c r="A23" t="s">
        <v>36</v>
      </c>
      <c r="B23" s="3">
        <v>45057</v>
      </c>
      <c r="C23" s="3" t="str">
        <v>May-2023</v>
      </c>
      <c r="D23" s="11" t="str">
        <f t="shared" si="0"/>
        <v>Q2-2023</v>
      </c>
      <c r="E23" s="3">
        <v>45074</v>
      </c>
      <c r="F23" s="3">
        <v>45057</v>
      </c>
      <c r="G23" s="4">
        <f t="shared" si="2"/>
        <v>17</v>
      </c>
      <c r="H23" s="4" t="str">
        <v>delayed</v>
      </c>
      <c r="I23" s="4">
        <f t="shared" si="3"/>
        <v>0</v>
      </c>
      <c r="J23" t="s">
        <v>647</v>
      </c>
      <c r="K23" t="s">
        <v>659</v>
      </c>
      <c r="L23" t="s">
        <v>676</v>
      </c>
      <c r="M23" t="s">
        <v>706</v>
      </c>
      <c r="N23" t="s">
        <v>709</v>
      </c>
      <c r="O23" t="s">
        <v>718</v>
      </c>
      <c r="P23" t="s">
        <v>729</v>
      </c>
      <c r="Q23" t="str" cm="1">
        <f t="array" ref="Q23">_xlfn.IFS(U23&lt;=_xlfn.QUARTILE.INC($U$2:$U654,1),"Low",B23&lt;=_xlfn.QUARTILE.INC($U$2:$U$633,2),"Medium",TRUE,"High")</f>
        <v>High</v>
      </c>
      <c r="R23" t="s">
        <v>755</v>
      </c>
      <c r="S23" s="4">
        <v>1331.19</v>
      </c>
      <c r="T23">
        <v>2903.09</v>
      </c>
      <c r="U23">
        <v>2903.09</v>
      </c>
      <c r="V23" s="7">
        <v>0.14299999999999999</v>
      </c>
      <c r="W23" s="7">
        <v>0.14299999999999999</v>
      </c>
      <c r="X23" s="7" t="str">
        <f t="shared" si="1"/>
        <v>okay</v>
      </c>
      <c r="Y23" s="9">
        <v>8</v>
      </c>
      <c r="Z23">
        <v>19903.585040000002</v>
      </c>
      <c r="AA23">
        <v>10649.52</v>
      </c>
      <c r="AB23">
        <v>9254.0650400000013</v>
      </c>
      <c r="AC23">
        <v>0.46494463290920784</v>
      </c>
    </row>
    <row r="24" spans="1:29" x14ac:dyDescent="0.3">
      <c r="A24" t="s">
        <v>37</v>
      </c>
      <c r="B24" s="3">
        <v>45822</v>
      </c>
      <c r="C24" s="3" t="str">
        <v>Jun-2025</v>
      </c>
      <c r="D24" s="11" t="str">
        <f t="shared" si="0"/>
        <v>Q2-2025</v>
      </c>
      <c r="E24" s="3">
        <v>45837</v>
      </c>
      <c r="F24" s="3">
        <v>45822</v>
      </c>
      <c r="G24" s="4">
        <f t="shared" si="2"/>
        <v>15</v>
      </c>
      <c r="H24" s="4" t="str">
        <v>delayed</v>
      </c>
      <c r="I24" s="4">
        <f t="shared" si="3"/>
        <v>0</v>
      </c>
      <c r="J24" t="s">
        <v>646</v>
      </c>
      <c r="K24" t="s">
        <v>651</v>
      </c>
      <c r="L24" t="s">
        <v>663</v>
      </c>
      <c r="M24" t="s">
        <v>704</v>
      </c>
      <c r="N24" t="s">
        <v>709</v>
      </c>
      <c r="O24" t="s">
        <v>724</v>
      </c>
      <c r="P24" t="s">
        <v>733</v>
      </c>
      <c r="Q24" t="str" cm="1">
        <f t="array" ref="Q24">_xlfn.IFS(U24&lt;=_xlfn.QUARTILE.INC($U$2:$U655,1),"Low",B24&lt;=_xlfn.QUARTILE.INC($U$2:$U$633,2),"Medium",TRUE,"High")</f>
        <v>High</v>
      </c>
      <c r="R24" t="s">
        <v>756</v>
      </c>
      <c r="S24" s="4">
        <v>730.99</v>
      </c>
      <c r="T24">
        <v>1242.8399999999999</v>
      </c>
      <c r="U24">
        <v>1242.8399999999999</v>
      </c>
      <c r="V24" s="7">
        <v>0.12</v>
      </c>
      <c r="W24" s="7">
        <v>0.12</v>
      </c>
      <c r="X24" s="7" t="str">
        <f t="shared" si="1"/>
        <v>okay</v>
      </c>
      <c r="Y24" s="9">
        <v>10</v>
      </c>
      <c r="Z24">
        <v>10936.992</v>
      </c>
      <c r="AA24">
        <v>7309.9</v>
      </c>
      <c r="AB24">
        <v>3627.0920000000006</v>
      </c>
      <c r="AC24">
        <v>0.33163524303574515</v>
      </c>
    </row>
    <row r="25" spans="1:29" x14ac:dyDescent="0.3">
      <c r="A25" t="s">
        <v>38</v>
      </c>
      <c r="B25" s="3">
        <v>45430</v>
      </c>
      <c r="C25" s="3" t="str">
        <v>May-2024</v>
      </c>
      <c r="D25" s="11" t="str">
        <f t="shared" si="0"/>
        <v>Q2-2024</v>
      </c>
      <c r="E25" s="3">
        <v>45435</v>
      </c>
      <c r="F25" s="3">
        <v>45430</v>
      </c>
      <c r="G25" s="4">
        <f t="shared" si="2"/>
        <v>5</v>
      </c>
      <c r="H25" s="4" t="str">
        <v>ontime</v>
      </c>
      <c r="I25" s="4">
        <f t="shared" si="3"/>
        <v>1</v>
      </c>
      <c r="J25" t="s">
        <v>648</v>
      </c>
      <c r="K25" t="s">
        <v>660</v>
      </c>
      <c r="L25" t="s">
        <v>677</v>
      </c>
      <c r="M25" t="s">
        <v>706</v>
      </c>
      <c r="N25" t="s">
        <v>707</v>
      </c>
      <c r="O25" t="s">
        <v>722</v>
      </c>
      <c r="P25" t="s">
        <v>731</v>
      </c>
      <c r="Q25" t="str" cm="1">
        <f t="array" ref="Q25">_xlfn.IFS(U25&lt;=_xlfn.QUARTILE.INC($U$2:$U656,1),"Low",B25&lt;=_xlfn.QUARTILE.INC($U$2:$U$633,2),"Medium",TRUE,"High")</f>
        <v>High</v>
      </c>
      <c r="R25" t="s">
        <v>757</v>
      </c>
      <c r="S25" s="4">
        <v>1274.5899999999999</v>
      </c>
      <c r="T25">
        <v>2553.69</v>
      </c>
      <c r="U25">
        <v>2553.69</v>
      </c>
      <c r="V25" s="7">
        <v>0.01</v>
      </c>
      <c r="W25" s="7">
        <v>0.01</v>
      </c>
      <c r="X25" s="7" t="str">
        <f t="shared" si="1"/>
        <v>okay</v>
      </c>
      <c r="Y25" s="9">
        <v>8</v>
      </c>
      <c r="Z25">
        <v>20225.2248</v>
      </c>
      <c r="AA25">
        <v>10196.719999999999</v>
      </c>
      <c r="AB25">
        <v>10028.504800000001</v>
      </c>
      <c r="AC25">
        <v>0.49584145042481803</v>
      </c>
    </row>
    <row r="26" spans="1:29" x14ac:dyDescent="0.3">
      <c r="A26" t="s">
        <v>39</v>
      </c>
      <c r="B26" s="3">
        <v>44964</v>
      </c>
      <c r="C26" s="3" t="str">
        <v>Feb-2023</v>
      </c>
      <c r="D26" s="11" t="str">
        <f t="shared" si="0"/>
        <v>Q1-2023</v>
      </c>
      <c r="E26" s="3">
        <v>44969</v>
      </c>
      <c r="F26" s="3">
        <v>44964</v>
      </c>
      <c r="G26" s="4">
        <f t="shared" si="2"/>
        <v>5</v>
      </c>
      <c r="H26" s="4" t="str">
        <v>ontime</v>
      </c>
      <c r="I26" s="4">
        <f t="shared" si="3"/>
        <v>1</v>
      </c>
      <c r="J26" t="s">
        <v>648</v>
      </c>
      <c r="K26" t="s">
        <v>655</v>
      </c>
      <c r="L26" t="s">
        <v>670</v>
      </c>
      <c r="M26" t="s">
        <v>702</v>
      </c>
      <c r="N26" t="s">
        <v>708</v>
      </c>
      <c r="O26" t="s">
        <v>725</v>
      </c>
      <c r="P26" t="s">
        <v>727</v>
      </c>
      <c r="Q26" t="str" cm="1">
        <f t="array" ref="Q26">_xlfn.IFS(U26&lt;=_xlfn.QUARTILE.INC($U$2:$U657,1),"Low",B26&lt;=_xlfn.QUARTILE.INC($U$2:$U$633,2),"Medium",TRUE,"High")</f>
        <v>High</v>
      </c>
      <c r="R26" t="s">
        <v>758</v>
      </c>
      <c r="S26" s="4">
        <v>948.55</v>
      </c>
      <c r="T26">
        <v>2089.16</v>
      </c>
      <c r="U26">
        <v>2089.16</v>
      </c>
      <c r="V26" s="7">
        <v>7.0000000000000001E-3</v>
      </c>
      <c r="W26" s="7">
        <v>7.0000000000000001E-3</v>
      </c>
      <c r="X26" s="7" t="str">
        <f t="shared" si="1"/>
        <v>okay</v>
      </c>
      <c r="Y26" s="9">
        <v>12</v>
      </c>
      <c r="Z26">
        <v>24894.430559999997</v>
      </c>
      <c r="AA26">
        <v>11382.599999999999</v>
      </c>
      <c r="AB26">
        <v>13511.830559999999</v>
      </c>
      <c r="AC26">
        <v>0.54276519912492427</v>
      </c>
    </row>
    <row r="27" spans="1:29" x14ac:dyDescent="0.3">
      <c r="A27" t="s">
        <v>40</v>
      </c>
      <c r="B27" s="3">
        <v>45473</v>
      </c>
      <c r="C27" s="3" t="str">
        <v>Jun-2024</v>
      </c>
      <c r="D27" s="11" t="str">
        <f t="shared" si="0"/>
        <v>Q2-2024</v>
      </c>
      <c r="E27" s="3">
        <v>45487</v>
      </c>
      <c r="F27" s="3">
        <v>45473</v>
      </c>
      <c r="G27" s="4">
        <f t="shared" si="2"/>
        <v>14</v>
      </c>
      <c r="H27" s="4" t="str">
        <v>delayed</v>
      </c>
      <c r="I27" s="4">
        <f t="shared" si="3"/>
        <v>0</v>
      </c>
      <c r="J27" t="s">
        <v>648</v>
      </c>
      <c r="K27" t="s">
        <v>655</v>
      </c>
      <c r="L27" t="s">
        <v>672</v>
      </c>
      <c r="M27" t="s">
        <v>702</v>
      </c>
      <c r="N27" t="s">
        <v>707</v>
      </c>
      <c r="O27" t="s">
        <v>712</v>
      </c>
      <c r="P27" t="s">
        <v>733</v>
      </c>
      <c r="Q27" t="str" cm="1">
        <f t="array" ref="Q27">_xlfn.IFS(U27&lt;=_xlfn.QUARTILE.INC($U$2:$U658,1),"Low",B27&lt;=_xlfn.QUARTILE.INC($U$2:$U$633,2),"Medium",TRUE,"High")</f>
        <v>High</v>
      </c>
      <c r="R27" t="s">
        <v>759</v>
      </c>
      <c r="S27" s="4">
        <v>1491.85</v>
      </c>
      <c r="T27">
        <v>2583.02</v>
      </c>
      <c r="U27">
        <v>2583.02</v>
      </c>
      <c r="V27" s="7">
        <v>0.16800000000000001</v>
      </c>
      <c r="W27" s="7">
        <v>0.16800000000000001</v>
      </c>
      <c r="X27" s="7" t="str">
        <f t="shared" si="1"/>
        <v>okay</v>
      </c>
      <c r="Y27" s="9">
        <v>4</v>
      </c>
      <c r="Z27">
        <v>8596.2905599999995</v>
      </c>
      <c r="AA27">
        <v>5967.4</v>
      </c>
      <c r="AB27">
        <v>2628.8905599999998</v>
      </c>
      <c r="AC27">
        <v>0.30581685689321325</v>
      </c>
    </row>
    <row r="28" spans="1:29" x14ac:dyDescent="0.3">
      <c r="A28" t="s">
        <v>41</v>
      </c>
      <c r="B28" s="3">
        <v>45626</v>
      </c>
      <c r="C28" s="3" t="str">
        <v>Nov-2024</v>
      </c>
      <c r="D28" s="11" t="str">
        <f t="shared" si="0"/>
        <v>Q4-2024</v>
      </c>
      <c r="E28" s="3">
        <v>45656</v>
      </c>
      <c r="F28" s="3">
        <v>45626</v>
      </c>
      <c r="G28" s="4">
        <f t="shared" si="2"/>
        <v>30</v>
      </c>
      <c r="H28" s="4" t="str">
        <v>delayed</v>
      </c>
      <c r="I28" s="4">
        <f t="shared" si="3"/>
        <v>0</v>
      </c>
      <c r="J28" t="s">
        <v>649</v>
      </c>
      <c r="K28" t="s">
        <v>657</v>
      </c>
      <c r="L28" t="s">
        <v>673</v>
      </c>
      <c r="M28" t="s">
        <v>704</v>
      </c>
      <c r="N28" t="s">
        <v>709</v>
      </c>
      <c r="O28" t="s">
        <v>721</v>
      </c>
      <c r="P28" t="s">
        <v>728</v>
      </c>
      <c r="Q28" t="str" cm="1">
        <f t="array" ref="Q28">_xlfn.IFS(U28&lt;=_xlfn.QUARTILE.INC($U$2:$U659,1),"Low",B28&lt;=_xlfn.QUARTILE.INC($U$2:$U$633,2),"Medium",TRUE,"High")</f>
        <v>Low</v>
      </c>
      <c r="R28" t="s">
        <v>760</v>
      </c>
      <c r="S28" s="4">
        <v>117.64</v>
      </c>
      <c r="T28">
        <v>175.67</v>
      </c>
      <c r="U28">
        <v>175.67</v>
      </c>
      <c r="V28" s="7">
        <v>0</v>
      </c>
      <c r="W28" s="7">
        <v>0</v>
      </c>
      <c r="X28" s="7" t="str">
        <f t="shared" si="1"/>
        <v>okay</v>
      </c>
      <c r="Y28" s="9">
        <v>10</v>
      </c>
      <c r="Z28">
        <v>1756.6999999999998</v>
      </c>
      <c r="AA28">
        <v>1176.4000000000001</v>
      </c>
      <c r="AB28">
        <v>580.29999999999973</v>
      </c>
      <c r="AC28">
        <v>0.33033528775545046</v>
      </c>
    </row>
    <row r="29" spans="1:29" x14ac:dyDescent="0.3">
      <c r="A29" t="s">
        <v>42</v>
      </c>
      <c r="B29" s="3">
        <v>45492</v>
      </c>
      <c r="C29" s="3" t="str">
        <v>Jul-2024</v>
      </c>
      <c r="D29" s="11" t="str">
        <f t="shared" si="0"/>
        <v>Q3-2024</v>
      </c>
      <c r="E29" s="3">
        <v>45492</v>
      </c>
      <c r="F29" s="3">
        <v>45492</v>
      </c>
      <c r="G29" s="4">
        <f t="shared" si="2"/>
        <v>0</v>
      </c>
      <c r="H29" s="4" t="str">
        <v>ontime</v>
      </c>
      <c r="I29" s="4">
        <f t="shared" si="3"/>
        <v>1</v>
      </c>
      <c r="J29" t="s">
        <v>646</v>
      </c>
      <c r="K29" t="s">
        <v>650</v>
      </c>
      <c r="L29" t="s">
        <v>662</v>
      </c>
      <c r="M29" t="s">
        <v>705</v>
      </c>
      <c r="N29" t="s">
        <v>707</v>
      </c>
      <c r="O29" t="s">
        <v>720</v>
      </c>
      <c r="P29" t="s">
        <v>730</v>
      </c>
      <c r="Q29" t="str" cm="1">
        <f t="array" ref="Q29">_xlfn.IFS(U29&lt;=_xlfn.QUARTILE.INC($U$2:$U660,1),"Low",B29&lt;=_xlfn.QUARTILE.INC($U$2:$U$633,2),"Medium",TRUE,"High")</f>
        <v>High</v>
      </c>
      <c r="R29" t="s">
        <v>761</v>
      </c>
      <c r="S29" s="4">
        <v>857.24</v>
      </c>
      <c r="T29">
        <v>758.23</v>
      </c>
      <c r="U29">
        <v>758.23</v>
      </c>
      <c r="V29" s="7">
        <v>0.125</v>
      </c>
      <c r="W29" s="7">
        <v>0.125</v>
      </c>
      <c r="X29" s="7" t="str">
        <f t="shared" si="1"/>
        <v>okay</v>
      </c>
      <c r="Y29" s="9">
        <v>6</v>
      </c>
      <c r="Z29">
        <v>3980.7075</v>
      </c>
      <c r="AA29">
        <v>5143.4400000000005</v>
      </c>
      <c r="AB29">
        <v>-1162.7325000000005</v>
      </c>
      <c r="AC29">
        <v>-0.29209192084572921</v>
      </c>
    </row>
    <row r="30" spans="1:29" x14ac:dyDescent="0.3">
      <c r="A30" t="s">
        <v>43</v>
      </c>
      <c r="B30" s="3">
        <v>45030</v>
      </c>
      <c r="C30" s="3" t="str">
        <v>Apr-2023</v>
      </c>
      <c r="D30" s="11" t="str">
        <f t="shared" si="0"/>
        <v>Q2-2023</v>
      </c>
      <c r="E30" s="3">
        <v>45060</v>
      </c>
      <c r="F30" s="3">
        <v>45030</v>
      </c>
      <c r="G30" s="4">
        <f t="shared" si="2"/>
        <v>30</v>
      </c>
      <c r="H30" s="4" t="str">
        <v>delayed</v>
      </c>
      <c r="I30" s="4">
        <f t="shared" si="3"/>
        <v>0</v>
      </c>
      <c r="J30" t="s">
        <v>646</v>
      </c>
      <c r="K30" t="s">
        <v>650</v>
      </c>
      <c r="L30" t="s">
        <v>678</v>
      </c>
      <c r="M30" t="s">
        <v>704</v>
      </c>
      <c r="N30" t="s">
        <v>709</v>
      </c>
      <c r="O30" t="s">
        <v>724</v>
      </c>
      <c r="P30" t="s">
        <v>730</v>
      </c>
      <c r="Q30" t="str" cm="1">
        <f t="array" ref="Q30">_xlfn.IFS(U30&lt;=_xlfn.QUARTILE.INC($U$2:$U661,1),"Low",B30&lt;=_xlfn.QUARTILE.INC($U$2:$U$633,2),"Medium",TRUE,"High")</f>
        <v>Low</v>
      </c>
      <c r="R30" t="s">
        <v>762</v>
      </c>
      <c r="S30" s="4">
        <v>209.25</v>
      </c>
      <c r="T30">
        <v>434.8</v>
      </c>
      <c r="U30">
        <v>434.8</v>
      </c>
      <c r="V30" s="7">
        <v>0</v>
      </c>
      <c r="W30" s="7">
        <v>0</v>
      </c>
      <c r="X30" s="7" t="str">
        <f t="shared" si="1"/>
        <v>okay</v>
      </c>
      <c r="Y30" s="9">
        <v>9</v>
      </c>
      <c r="Z30">
        <v>3913.2000000000003</v>
      </c>
      <c r="AA30">
        <v>1883.25</v>
      </c>
      <c r="AB30">
        <v>2029.9500000000003</v>
      </c>
      <c r="AC30">
        <v>0.51874425022999082</v>
      </c>
    </row>
    <row r="31" spans="1:29" x14ac:dyDescent="0.3">
      <c r="A31" t="s">
        <v>44</v>
      </c>
      <c r="B31" s="3">
        <v>45754</v>
      </c>
      <c r="C31" s="3" t="str">
        <v>Apr-2025</v>
      </c>
      <c r="D31" s="11" t="str">
        <f t="shared" si="0"/>
        <v>Q2-2025</v>
      </c>
      <c r="E31" s="3">
        <v>45758</v>
      </c>
      <c r="F31" s="3">
        <v>45754</v>
      </c>
      <c r="G31" s="4">
        <f t="shared" si="2"/>
        <v>4</v>
      </c>
      <c r="H31" s="4" t="str">
        <v>ontime</v>
      </c>
      <c r="I31" s="4">
        <f t="shared" si="3"/>
        <v>1</v>
      </c>
      <c r="J31" t="s">
        <v>649</v>
      </c>
      <c r="K31" t="s">
        <v>657</v>
      </c>
      <c r="L31" t="s">
        <v>679</v>
      </c>
      <c r="M31" t="s">
        <v>702</v>
      </c>
      <c r="N31" t="s">
        <v>707</v>
      </c>
      <c r="O31" t="s">
        <v>718</v>
      </c>
      <c r="P31" t="s">
        <v>729</v>
      </c>
      <c r="Q31" t="str" cm="1">
        <f t="array" ref="Q31">_xlfn.IFS(U31&lt;=_xlfn.QUARTILE.INC($U$2:$U662,1),"Low",B31&lt;=_xlfn.QUARTILE.INC($U$2:$U$633,2),"Medium",TRUE,"High")</f>
        <v>High</v>
      </c>
      <c r="R31" t="s">
        <v>763</v>
      </c>
      <c r="S31" s="4">
        <v>754.77</v>
      </c>
      <c r="T31">
        <v>1666.18</v>
      </c>
      <c r="U31">
        <v>1666.18</v>
      </c>
      <c r="V31" s="7">
        <v>0.13900000000000001</v>
      </c>
      <c r="W31" s="7">
        <v>0.13900000000000001</v>
      </c>
      <c r="X31" s="7" t="str">
        <f t="shared" si="1"/>
        <v>okay</v>
      </c>
      <c r="Y31" s="9">
        <v>14</v>
      </c>
      <c r="Z31">
        <v>20084.133720000002</v>
      </c>
      <c r="AA31">
        <v>10566.779999999999</v>
      </c>
      <c r="AB31">
        <v>9517.3537200000028</v>
      </c>
      <c r="AC31">
        <v>0.47387424584424653</v>
      </c>
    </row>
    <row r="32" spans="1:29" x14ac:dyDescent="0.3">
      <c r="A32" t="s">
        <v>45</v>
      </c>
      <c r="B32" s="3">
        <v>45653</v>
      </c>
      <c r="C32" s="3" t="str">
        <v>Dec-2024</v>
      </c>
      <c r="D32" s="11" t="str">
        <f t="shared" si="0"/>
        <v>Q4-2024</v>
      </c>
      <c r="E32" s="3">
        <v>45672</v>
      </c>
      <c r="F32" s="3">
        <v>45653</v>
      </c>
      <c r="G32" s="4">
        <f t="shared" si="2"/>
        <v>19</v>
      </c>
      <c r="H32" s="4" t="str">
        <v>delayed</v>
      </c>
      <c r="I32" s="4">
        <f t="shared" si="3"/>
        <v>0</v>
      </c>
      <c r="J32" t="s">
        <v>647</v>
      </c>
      <c r="K32" t="s">
        <v>654</v>
      </c>
      <c r="L32" t="s">
        <v>680</v>
      </c>
      <c r="M32" t="s">
        <v>703</v>
      </c>
      <c r="N32" t="s">
        <v>710</v>
      </c>
      <c r="O32" t="s">
        <v>715</v>
      </c>
      <c r="P32" t="s">
        <v>727</v>
      </c>
      <c r="Q32" t="str" cm="1">
        <f t="array" ref="Q32">_xlfn.IFS(U32&lt;=_xlfn.QUARTILE.INC($U$2:$U663,1),"Low",B32&lt;=_xlfn.QUARTILE.INC($U$2:$U$633,2),"Medium",TRUE,"High")</f>
        <v>High</v>
      </c>
      <c r="R32" t="s">
        <v>764</v>
      </c>
      <c r="S32" s="4">
        <v>495.59</v>
      </c>
      <c r="T32">
        <v>631.78</v>
      </c>
      <c r="U32">
        <v>631.78</v>
      </c>
      <c r="V32" s="7">
        <v>8.6999999999999994E-2</v>
      </c>
      <c r="W32" s="7">
        <v>8.6999999999999994E-2</v>
      </c>
      <c r="X32" s="7" t="str">
        <f t="shared" si="1"/>
        <v>okay</v>
      </c>
      <c r="Y32" s="9">
        <v>17</v>
      </c>
      <c r="Z32">
        <v>9805.8573800000013</v>
      </c>
      <c r="AA32">
        <v>8425.0299999999988</v>
      </c>
      <c r="AB32">
        <v>1380.8273800000024</v>
      </c>
      <c r="AC32">
        <v>0.14081658813601899</v>
      </c>
    </row>
    <row r="33" spans="1:29" x14ac:dyDescent="0.3">
      <c r="A33" t="s">
        <v>46</v>
      </c>
      <c r="B33" s="3">
        <v>44980</v>
      </c>
      <c r="C33" s="3" t="str">
        <v>Feb-2023</v>
      </c>
      <c r="D33" s="11" t="str">
        <f t="shared" si="0"/>
        <v>Q1-2023</v>
      </c>
      <c r="E33" s="3">
        <v>45010</v>
      </c>
      <c r="F33" s="3">
        <v>44980</v>
      </c>
      <c r="G33" s="4">
        <f t="shared" si="2"/>
        <v>30</v>
      </c>
      <c r="H33" s="4" t="str">
        <v>delayed</v>
      </c>
      <c r="I33" s="4">
        <f t="shared" si="3"/>
        <v>0</v>
      </c>
      <c r="J33" t="s">
        <v>648</v>
      </c>
      <c r="K33" t="s">
        <v>653</v>
      </c>
      <c r="L33" t="s">
        <v>681</v>
      </c>
      <c r="M33" t="s">
        <v>706</v>
      </c>
      <c r="N33" t="s">
        <v>708</v>
      </c>
      <c r="O33" t="s">
        <v>726</v>
      </c>
      <c r="P33" t="s">
        <v>730</v>
      </c>
      <c r="Q33" t="str" cm="1">
        <f t="array" ref="Q33">_xlfn.IFS(U33&lt;=_xlfn.QUARTILE.INC($U$2:$U664,1),"Low",B33&lt;=_xlfn.QUARTILE.INC($U$2:$U$633,2),"Medium",TRUE,"High")</f>
        <v>High</v>
      </c>
      <c r="R33" t="s">
        <v>765</v>
      </c>
      <c r="S33" s="4">
        <v>1242.6600000000001</v>
      </c>
      <c r="T33">
        <v>1794.07</v>
      </c>
      <c r="U33">
        <v>1794.07</v>
      </c>
      <c r="V33" s="7">
        <v>8.8999999999999996E-2</v>
      </c>
      <c r="W33" s="7">
        <v>8.8999999999999996E-2</v>
      </c>
      <c r="X33" s="7" t="str">
        <f t="shared" si="1"/>
        <v>okay</v>
      </c>
      <c r="Y33" s="9">
        <v>16</v>
      </c>
      <c r="Z33">
        <v>26150.364320000001</v>
      </c>
      <c r="AA33">
        <v>19882.560000000001</v>
      </c>
      <c r="AB33">
        <v>6267.8043199999993</v>
      </c>
      <c r="AC33">
        <v>0.23968325042440553</v>
      </c>
    </row>
    <row r="34" spans="1:29" x14ac:dyDescent="0.3">
      <c r="A34" t="s">
        <v>47</v>
      </c>
      <c r="B34" s="3">
        <v>45862</v>
      </c>
      <c r="C34" s="3" t="str">
        <v>Jul-2025</v>
      </c>
      <c r="D34" s="11" t="str">
        <f t="shared" si="0"/>
        <v>Q3-2025</v>
      </c>
      <c r="E34" s="3">
        <v>45875</v>
      </c>
      <c r="F34" s="3">
        <v>45862</v>
      </c>
      <c r="G34" s="4">
        <f t="shared" si="2"/>
        <v>13</v>
      </c>
      <c r="H34" s="4" t="str">
        <v>delayed</v>
      </c>
      <c r="I34" s="4">
        <f t="shared" si="3"/>
        <v>0</v>
      </c>
      <c r="J34" t="s">
        <v>646</v>
      </c>
      <c r="K34" t="s">
        <v>661</v>
      </c>
      <c r="L34" t="s">
        <v>682</v>
      </c>
      <c r="M34" t="s">
        <v>702</v>
      </c>
      <c r="N34" t="s">
        <v>709</v>
      </c>
      <c r="O34" t="s">
        <v>726</v>
      </c>
      <c r="P34" t="s">
        <v>729</v>
      </c>
      <c r="Q34" t="str" cm="1">
        <f t="array" ref="Q34">_xlfn.IFS(U34&lt;=_xlfn.QUARTILE.INC($U$2:$U665,1),"Low",B34&lt;=_xlfn.QUARTILE.INC($U$2:$U$633,2),"Medium",TRUE,"High")</f>
        <v>High</v>
      </c>
      <c r="R34" t="s">
        <v>766</v>
      </c>
      <c r="S34" s="4">
        <v>1463.9</v>
      </c>
      <c r="T34">
        <v>2633.02</v>
      </c>
      <c r="U34">
        <v>2633.02</v>
      </c>
      <c r="V34" s="7">
        <v>8.4000000000000005E-2</v>
      </c>
      <c r="W34" s="7">
        <v>8.4000000000000005E-2</v>
      </c>
      <c r="X34" s="7" t="str">
        <f t="shared" si="1"/>
        <v>okay</v>
      </c>
      <c r="Y34" s="9">
        <v>4</v>
      </c>
      <c r="Z34">
        <v>9647.3852800000004</v>
      </c>
      <c r="AA34">
        <v>5855.6</v>
      </c>
      <c r="AB34">
        <v>3791.7852800000001</v>
      </c>
      <c r="AC34">
        <v>0.39303761277791527</v>
      </c>
    </row>
    <row r="35" spans="1:29" x14ac:dyDescent="0.3">
      <c r="A35" t="s">
        <v>48</v>
      </c>
      <c r="B35" s="3">
        <v>45400</v>
      </c>
      <c r="C35" s="3" t="str">
        <v>Apr-2024</v>
      </c>
      <c r="D35" s="11" t="str">
        <f t="shared" si="0"/>
        <v>Q2-2024</v>
      </c>
      <c r="E35" s="3">
        <v>45420</v>
      </c>
      <c r="F35" s="3">
        <v>45400</v>
      </c>
      <c r="G35" s="4">
        <f t="shared" si="2"/>
        <v>20</v>
      </c>
      <c r="H35" s="4" t="str">
        <v>delayed</v>
      </c>
      <c r="I35" s="4">
        <f t="shared" si="3"/>
        <v>0</v>
      </c>
      <c r="J35" t="s">
        <v>649</v>
      </c>
      <c r="K35" t="s">
        <v>658</v>
      </c>
      <c r="L35" t="s">
        <v>683</v>
      </c>
      <c r="M35" t="s">
        <v>703</v>
      </c>
      <c r="N35" t="s">
        <v>1421</v>
      </c>
      <c r="O35" t="s">
        <v>726</v>
      </c>
      <c r="P35" t="s">
        <v>731</v>
      </c>
      <c r="Q35" t="str" cm="1">
        <f t="array" ref="Q35">_xlfn.IFS(U35&lt;=_xlfn.QUARTILE.INC($U$2:$U666,1),"Low",B35&lt;=_xlfn.QUARTILE.INC($U$2:$U$633,2),"Medium",TRUE,"High")</f>
        <v>High</v>
      </c>
      <c r="R35" t="s">
        <v>767</v>
      </c>
      <c r="S35" s="4">
        <v>645.33000000000004</v>
      </c>
      <c r="T35">
        <v>1321.85</v>
      </c>
      <c r="U35">
        <v>1321.85</v>
      </c>
      <c r="V35" s="7">
        <v>0</v>
      </c>
      <c r="W35" s="7">
        <v>0</v>
      </c>
      <c r="X35" s="7" t="str">
        <f t="shared" si="1"/>
        <v>okay</v>
      </c>
      <c r="Y35" s="9">
        <v>10</v>
      </c>
      <c r="Z35">
        <v>13218.5</v>
      </c>
      <c r="AA35">
        <v>6453.3</v>
      </c>
      <c r="AB35">
        <v>6765.2</v>
      </c>
      <c r="AC35">
        <v>0.51179785906116426</v>
      </c>
    </row>
    <row r="36" spans="1:29" x14ac:dyDescent="0.3">
      <c r="A36" t="s">
        <v>49</v>
      </c>
      <c r="B36" s="3">
        <v>45527</v>
      </c>
      <c r="C36" s="3" t="str">
        <v>Aug-2024</v>
      </c>
      <c r="D36" s="11" t="str">
        <f t="shared" si="0"/>
        <v>Q3-2024</v>
      </c>
      <c r="E36" s="3">
        <v>45525</v>
      </c>
      <c r="F36" s="3">
        <v>45534</v>
      </c>
      <c r="G36" s="4">
        <f t="shared" si="2"/>
        <v>-9</v>
      </c>
      <c r="H36" s="4" t="str">
        <v>ontime</v>
      </c>
      <c r="I36" s="4">
        <f t="shared" si="3"/>
        <v>1</v>
      </c>
      <c r="J36" t="s">
        <v>646</v>
      </c>
      <c r="K36" t="s">
        <v>661</v>
      </c>
      <c r="L36" t="s">
        <v>682</v>
      </c>
      <c r="M36" t="s">
        <v>702</v>
      </c>
      <c r="N36" t="s">
        <v>707</v>
      </c>
      <c r="O36" t="s">
        <v>718</v>
      </c>
      <c r="P36" t="s">
        <v>727</v>
      </c>
      <c r="Q36" t="str" cm="1">
        <f t="array" ref="Q36">_xlfn.IFS(U36&lt;=_xlfn.QUARTILE.INC($U$2:$U667,1),"Low",B36&lt;=_xlfn.QUARTILE.INC($U$2:$U$633,2),"Medium",TRUE,"High")</f>
        <v>High</v>
      </c>
      <c r="R36" t="s">
        <v>768</v>
      </c>
      <c r="S36" s="4">
        <v>1432.52</v>
      </c>
      <c r="T36">
        <v>3036.87</v>
      </c>
      <c r="U36">
        <v>3036.87</v>
      </c>
      <c r="V36" s="7">
        <v>0</v>
      </c>
      <c r="W36" s="7">
        <v>0</v>
      </c>
      <c r="X36" s="7" t="str">
        <f t="shared" si="1"/>
        <v>okay</v>
      </c>
      <c r="Y36" s="9">
        <v>9</v>
      </c>
      <c r="Z36">
        <v>27331.829999999998</v>
      </c>
      <c r="AA36">
        <v>12892.68</v>
      </c>
      <c r="AB36">
        <v>14439.149999999998</v>
      </c>
      <c r="AC36">
        <v>0.52829064135112791</v>
      </c>
    </row>
    <row r="37" spans="1:29" x14ac:dyDescent="0.3">
      <c r="A37" t="s">
        <v>50</v>
      </c>
      <c r="B37" s="3">
        <v>45012</v>
      </c>
      <c r="C37" s="3" t="str">
        <v>Mar-2023</v>
      </c>
      <c r="D37" s="11" t="str">
        <f t="shared" si="0"/>
        <v>Q1-2023</v>
      </c>
      <c r="E37" s="3">
        <v>45038</v>
      </c>
      <c r="F37" s="3">
        <v>45012</v>
      </c>
      <c r="G37" s="4">
        <f t="shared" si="2"/>
        <v>26</v>
      </c>
      <c r="H37" s="4" t="str">
        <v>delayed</v>
      </c>
      <c r="I37" s="4">
        <f t="shared" si="3"/>
        <v>0</v>
      </c>
      <c r="J37" t="s">
        <v>647</v>
      </c>
      <c r="K37" t="s">
        <v>654</v>
      </c>
      <c r="L37" t="s">
        <v>680</v>
      </c>
      <c r="M37" t="s">
        <v>703</v>
      </c>
      <c r="N37" t="s">
        <v>709</v>
      </c>
      <c r="O37" t="s">
        <v>713</v>
      </c>
      <c r="P37" t="s">
        <v>728</v>
      </c>
      <c r="Q37" t="str" cm="1">
        <f t="array" ref="Q37">_xlfn.IFS(U37&lt;=_xlfn.QUARTILE.INC($U$2:$U668,1),"Low",B37&lt;=_xlfn.QUARTILE.INC($U$2:$U$633,2),"Medium",TRUE,"High")</f>
        <v>Low</v>
      </c>
      <c r="R37" t="s">
        <v>769</v>
      </c>
      <c r="S37" s="4">
        <v>178.53</v>
      </c>
      <c r="T37">
        <v>199.37</v>
      </c>
      <c r="U37">
        <v>199.37</v>
      </c>
      <c r="V37" s="7">
        <v>0.10100000000000001</v>
      </c>
      <c r="W37" s="7">
        <v>0.10100000000000001</v>
      </c>
      <c r="X37" s="7" t="str">
        <f t="shared" si="1"/>
        <v>okay</v>
      </c>
      <c r="Y37" s="9">
        <v>37</v>
      </c>
      <c r="Z37">
        <v>6631.6443100000006</v>
      </c>
      <c r="AA37">
        <v>6605.61</v>
      </c>
      <c r="AB37">
        <v>26.034310000000914</v>
      </c>
      <c r="AC37">
        <v>3.9257699573457538E-3</v>
      </c>
    </row>
    <row r="38" spans="1:29" x14ac:dyDescent="0.3">
      <c r="A38" t="s">
        <v>51</v>
      </c>
      <c r="B38" s="3">
        <v>45358</v>
      </c>
      <c r="C38" s="3" t="str">
        <v>Mar-2024</v>
      </c>
      <c r="D38" s="11" t="str">
        <f t="shared" si="0"/>
        <v>Q1-2024</v>
      </c>
      <c r="E38" s="3">
        <v>45376</v>
      </c>
      <c r="F38" s="3">
        <v>45358</v>
      </c>
      <c r="G38" s="4">
        <f t="shared" si="2"/>
        <v>18</v>
      </c>
      <c r="H38" s="4" t="str">
        <v>delayed</v>
      </c>
      <c r="I38" s="4">
        <f t="shared" si="3"/>
        <v>0</v>
      </c>
      <c r="J38" t="s">
        <v>649</v>
      </c>
      <c r="K38" t="s">
        <v>656</v>
      </c>
      <c r="L38" t="s">
        <v>684</v>
      </c>
      <c r="M38" t="s">
        <v>701</v>
      </c>
      <c r="N38" t="s">
        <v>708</v>
      </c>
      <c r="O38" t="s">
        <v>717</v>
      </c>
      <c r="P38" t="s">
        <v>727</v>
      </c>
      <c r="Q38" t="str" cm="1">
        <f t="array" ref="Q38">_xlfn.IFS(U38&lt;=_xlfn.QUARTILE.INC($U$2:$U669,1),"Low",B38&lt;=_xlfn.QUARTILE.INC($U$2:$U$633,2),"Medium",TRUE,"High")</f>
        <v>High</v>
      </c>
      <c r="R38" t="s">
        <v>770</v>
      </c>
      <c r="S38" s="4">
        <v>712.84</v>
      </c>
      <c r="T38">
        <v>927.51</v>
      </c>
      <c r="U38">
        <v>927.51</v>
      </c>
      <c r="V38" s="7">
        <v>0.24299999999999999</v>
      </c>
      <c r="W38" s="7">
        <v>0.24299999999999999</v>
      </c>
      <c r="X38" s="7" t="str">
        <f t="shared" si="1"/>
        <v>High discount</v>
      </c>
      <c r="Y38" s="9">
        <v>27</v>
      </c>
      <c r="Z38">
        <v>18957.37689</v>
      </c>
      <c r="AA38">
        <v>19246.68</v>
      </c>
      <c r="AB38">
        <v>-289.30311000000074</v>
      </c>
      <c r="AC38">
        <v>-1.5260714163076427E-2</v>
      </c>
    </row>
    <row r="39" spans="1:29" x14ac:dyDescent="0.3">
      <c r="A39" t="s">
        <v>52</v>
      </c>
      <c r="B39" s="3">
        <v>45832</v>
      </c>
      <c r="C39" s="3" t="str">
        <v>Jun-2025</v>
      </c>
      <c r="D39" s="11" t="str">
        <f t="shared" si="0"/>
        <v>Q2-2025</v>
      </c>
      <c r="E39" s="3">
        <v>45848</v>
      </c>
      <c r="F39" s="3">
        <v>45832</v>
      </c>
      <c r="G39" s="4">
        <f t="shared" si="2"/>
        <v>16</v>
      </c>
      <c r="H39" s="4" t="str">
        <v>delayed</v>
      </c>
      <c r="I39" s="4">
        <f t="shared" si="3"/>
        <v>0</v>
      </c>
      <c r="J39" t="s">
        <v>647</v>
      </c>
      <c r="K39" t="s">
        <v>659</v>
      </c>
      <c r="L39" t="s">
        <v>685</v>
      </c>
      <c r="M39" t="s">
        <v>706</v>
      </c>
      <c r="N39" t="s">
        <v>711</v>
      </c>
      <c r="O39" t="s">
        <v>725</v>
      </c>
      <c r="P39" t="s">
        <v>727</v>
      </c>
      <c r="Q39" t="str" cm="1">
        <f t="array" ref="Q39">_xlfn.IFS(U39&lt;=_xlfn.QUARTILE.INC($U$2:$U670,1),"Low",B39&lt;=_xlfn.QUARTILE.INC($U$2:$U$633,2),"Medium",TRUE,"High")</f>
        <v>High</v>
      </c>
      <c r="R39" t="s">
        <v>771</v>
      </c>
      <c r="S39" s="4">
        <v>757.19</v>
      </c>
      <c r="T39">
        <v>1735.41</v>
      </c>
      <c r="U39">
        <v>1735.41</v>
      </c>
      <c r="V39" s="7">
        <v>0.13600000000000001</v>
      </c>
      <c r="W39" s="7">
        <v>0.13600000000000001</v>
      </c>
      <c r="X39" s="7" t="str">
        <f t="shared" si="1"/>
        <v>okay</v>
      </c>
      <c r="Y39" s="9">
        <v>8</v>
      </c>
      <c r="Z39">
        <v>11995.153920000001</v>
      </c>
      <c r="AA39">
        <v>6057.52</v>
      </c>
      <c r="AB39">
        <v>5937.6339200000002</v>
      </c>
      <c r="AC39">
        <v>0.4950027285685718</v>
      </c>
    </row>
    <row r="40" spans="1:29" x14ac:dyDescent="0.3">
      <c r="A40" t="s">
        <v>53</v>
      </c>
      <c r="B40" s="3">
        <v>45401</v>
      </c>
      <c r="C40" s="3" t="str">
        <v>Apr-2024</v>
      </c>
      <c r="D40" s="11" t="str">
        <f t="shared" si="0"/>
        <v>Q2-2024</v>
      </c>
      <c r="E40" s="3">
        <v>45418</v>
      </c>
      <c r="F40" s="3">
        <v>45401</v>
      </c>
      <c r="G40" s="4">
        <f t="shared" si="2"/>
        <v>17</v>
      </c>
      <c r="H40" s="4" t="str">
        <v>delayed</v>
      </c>
      <c r="I40" s="4">
        <f t="shared" si="3"/>
        <v>0</v>
      </c>
      <c r="J40" t="s">
        <v>646</v>
      </c>
      <c r="K40" t="s">
        <v>651</v>
      </c>
      <c r="L40" t="s">
        <v>663</v>
      </c>
      <c r="M40" t="s">
        <v>703</v>
      </c>
      <c r="N40" t="s">
        <v>708</v>
      </c>
      <c r="O40" t="s">
        <v>720</v>
      </c>
      <c r="P40" t="s">
        <v>728</v>
      </c>
      <c r="Q40" t="str" cm="1">
        <f t="array" ref="Q40">_xlfn.IFS(U40&lt;=_xlfn.QUARTILE.INC($U$2:$U671,1),"Low",B40&lt;=_xlfn.QUARTILE.INC($U$2:$U$633,2),"Medium",TRUE,"High")</f>
        <v>High</v>
      </c>
      <c r="R40" t="s">
        <v>772</v>
      </c>
      <c r="S40" s="4">
        <v>865.33</v>
      </c>
      <c r="T40">
        <v>1395.64</v>
      </c>
      <c r="U40">
        <v>1395.64</v>
      </c>
      <c r="V40" s="7">
        <v>0.17499999999999999</v>
      </c>
      <c r="W40" s="7">
        <v>0.17499999999999999</v>
      </c>
      <c r="X40" s="7" t="str">
        <f t="shared" si="1"/>
        <v>okay</v>
      </c>
      <c r="Y40" s="9">
        <v>13</v>
      </c>
      <c r="Z40">
        <v>14968.239</v>
      </c>
      <c r="AA40">
        <v>11249.29</v>
      </c>
      <c r="AB40">
        <v>3718.9489999999987</v>
      </c>
      <c r="AC40">
        <v>0.24845601409758347</v>
      </c>
    </row>
    <row r="41" spans="1:29" x14ac:dyDescent="0.3">
      <c r="A41" t="s">
        <v>54</v>
      </c>
      <c r="B41" s="3">
        <v>45094</v>
      </c>
      <c r="C41" s="3" t="str">
        <v>Jun-2023</v>
      </c>
      <c r="D41" s="11" t="str">
        <f t="shared" si="0"/>
        <v>Q2-2023</v>
      </c>
      <c r="E41" s="3">
        <v>45101</v>
      </c>
      <c r="F41" s="3">
        <v>45094</v>
      </c>
      <c r="G41" s="4">
        <f t="shared" si="2"/>
        <v>7</v>
      </c>
      <c r="H41" s="4" t="str">
        <v>ontime</v>
      </c>
      <c r="I41" s="4">
        <f t="shared" si="3"/>
        <v>1</v>
      </c>
      <c r="J41" t="s">
        <v>648</v>
      </c>
      <c r="K41" t="s">
        <v>660</v>
      </c>
      <c r="L41" t="s">
        <v>686</v>
      </c>
      <c r="M41" t="s">
        <v>701</v>
      </c>
      <c r="N41" t="s">
        <v>707</v>
      </c>
      <c r="O41" t="s">
        <v>714</v>
      </c>
      <c r="P41" t="s">
        <v>728</v>
      </c>
      <c r="Q41" t="str" cm="1">
        <f t="array" ref="Q41">_xlfn.IFS(U41&lt;=_xlfn.QUARTILE.INC($U$2:$U672,1),"Low",B41&lt;=_xlfn.QUARTILE.INC($U$2:$U$633,2),"Medium",TRUE,"High")</f>
        <v>Low</v>
      </c>
      <c r="R41" t="s">
        <v>773</v>
      </c>
      <c r="S41" s="4">
        <v>313.99</v>
      </c>
      <c r="T41">
        <v>454.42</v>
      </c>
      <c r="U41">
        <v>454.42</v>
      </c>
      <c r="V41" s="7">
        <v>0.129</v>
      </c>
      <c r="W41" s="7">
        <v>0.129</v>
      </c>
      <c r="X41" s="7" t="str">
        <f t="shared" si="1"/>
        <v>okay</v>
      </c>
      <c r="Y41" s="9">
        <v>9</v>
      </c>
      <c r="Z41">
        <v>3562.1983800000003</v>
      </c>
      <c r="AA41">
        <v>2825.91</v>
      </c>
      <c r="AB41">
        <v>736.28838000000042</v>
      </c>
      <c r="AC41">
        <v>0.20669493988147858</v>
      </c>
    </row>
    <row r="42" spans="1:29" x14ac:dyDescent="0.3">
      <c r="A42" t="s">
        <v>55</v>
      </c>
      <c r="B42" s="3">
        <v>45531</v>
      </c>
      <c r="C42" s="3" t="str">
        <v>Aug-2024</v>
      </c>
      <c r="D42" s="11" t="str">
        <f t="shared" si="0"/>
        <v>Q3-2024</v>
      </c>
      <c r="E42" s="3">
        <v>45554</v>
      </c>
      <c r="F42" s="3">
        <v>45531</v>
      </c>
      <c r="G42" s="4">
        <f t="shared" si="2"/>
        <v>23</v>
      </c>
      <c r="H42" s="4" t="str">
        <v>delayed</v>
      </c>
      <c r="I42" s="4">
        <f t="shared" si="3"/>
        <v>0</v>
      </c>
      <c r="J42" t="s">
        <v>649</v>
      </c>
      <c r="K42" t="s">
        <v>656</v>
      </c>
      <c r="L42" t="s">
        <v>671</v>
      </c>
      <c r="M42" t="s">
        <v>705</v>
      </c>
      <c r="N42" t="s">
        <v>711</v>
      </c>
      <c r="O42" t="s">
        <v>726</v>
      </c>
      <c r="P42" t="s">
        <v>732</v>
      </c>
      <c r="Q42" t="str" cm="1">
        <f t="array" ref="Q42">_xlfn.IFS(U42&lt;=_xlfn.QUARTILE.INC($U$2:$U673,1),"Low",B42&lt;=_xlfn.QUARTILE.INC($U$2:$U$633,2),"Medium",TRUE,"High")</f>
        <v>High</v>
      </c>
      <c r="R42" t="s">
        <v>774</v>
      </c>
      <c r="S42" s="4">
        <v>1024.01</v>
      </c>
      <c r="T42">
        <v>1580.97</v>
      </c>
      <c r="U42">
        <v>1580.97</v>
      </c>
      <c r="V42" s="7">
        <v>3.6999999999999998E-2</v>
      </c>
      <c r="W42" s="7">
        <v>3.6999999999999998E-2</v>
      </c>
      <c r="X42" s="7" t="str">
        <f t="shared" si="1"/>
        <v>okay</v>
      </c>
      <c r="Y42" s="9">
        <v>27</v>
      </c>
      <c r="Z42">
        <v>41106.800970000004</v>
      </c>
      <c r="AA42">
        <v>27648.27</v>
      </c>
      <c r="AB42">
        <v>13458.530970000003</v>
      </c>
      <c r="AC42">
        <v>0.3274039976942531</v>
      </c>
    </row>
    <row r="43" spans="1:29" x14ac:dyDescent="0.3">
      <c r="A43" t="s">
        <v>56</v>
      </c>
      <c r="B43" s="3">
        <v>45302</v>
      </c>
      <c r="C43" s="3" t="str">
        <v>Jan-2024</v>
      </c>
      <c r="D43" s="11" t="str">
        <f t="shared" si="0"/>
        <v>Q1-2024</v>
      </c>
      <c r="E43" s="3">
        <v>45324</v>
      </c>
      <c r="F43" s="3">
        <v>45302</v>
      </c>
      <c r="G43" s="4">
        <f t="shared" si="2"/>
        <v>22</v>
      </c>
      <c r="H43" s="4" t="str">
        <v>delayed</v>
      </c>
      <c r="I43" s="4">
        <f t="shared" si="3"/>
        <v>0</v>
      </c>
      <c r="J43" t="s">
        <v>646</v>
      </c>
      <c r="K43" t="s">
        <v>661</v>
      </c>
      <c r="L43" t="s">
        <v>687</v>
      </c>
      <c r="M43" t="s">
        <v>704</v>
      </c>
      <c r="N43" t="s">
        <v>708</v>
      </c>
      <c r="O43" t="s">
        <v>723</v>
      </c>
      <c r="P43" t="s">
        <v>729</v>
      </c>
      <c r="Q43" t="str" cm="1">
        <f t="array" ref="Q43">_xlfn.IFS(U43&lt;=_xlfn.QUARTILE.INC($U$2:$U674,1),"Low",B43&lt;=_xlfn.QUARTILE.INC($U$2:$U$633,2),"Medium",TRUE,"High")</f>
        <v>High</v>
      </c>
      <c r="R43" t="s">
        <v>775</v>
      </c>
      <c r="S43" s="4">
        <v>1206.2</v>
      </c>
      <c r="T43">
        <v>1759.79</v>
      </c>
      <c r="U43">
        <v>1759.79</v>
      </c>
      <c r="V43" s="7">
        <v>0</v>
      </c>
      <c r="W43" s="7">
        <v>0</v>
      </c>
      <c r="X43" s="7" t="str">
        <f t="shared" si="1"/>
        <v>okay</v>
      </c>
      <c r="Y43" s="9">
        <v>6</v>
      </c>
      <c r="Z43">
        <v>10558.74</v>
      </c>
      <c r="AA43">
        <v>7237.2000000000007</v>
      </c>
      <c r="AB43">
        <v>3321.5399999999991</v>
      </c>
      <c r="AC43">
        <v>0.31457730751964713</v>
      </c>
    </row>
    <row r="44" spans="1:29" x14ac:dyDescent="0.3">
      <c r="A44" t="s">
        <v>57</v>
      </c>
      <c r="B44" s="3">
        <v>45590</v>
      </c>
      <c r="C44" s="3" t="str">
        <v>Oct-2024</v>
      </c>
      <c r="D44" s="11" t="str">
        <f t="shared" si="0"/>
        <v>Q4-2024</v>
      </c>
      <c r="E44" s="3">
        <v>45610</v>
      </c>
      <c r="F44" s="3">
        <v>45590</v>
      </c>
      <c r="G44" s="4">
        <f t="shared" si="2"/>
        <v>20</v>
      </c>
      <c r="H44" s="4" t="str">
        <v>delayed</v>
      </c>
      <c r="I44" s="4">
        <f t="shared" si="3"/>
        <v>0</v>
      </c>
      <c r="J44" t="s">
        <v>646</v>
      </c>
      <c r="K44" t="s">
        <v>650</v>
      </c>
      <c r="L44" t="s">
        <v>675</v>
      </c>
      <c r="M44" t="s">
        <v>701</v>
      </c>
      <c r="N44" t="s">
        <v>711</v>
      </c>
      <c r="O44" t="s">
        <v>722</v>
      </c>
      <c r="P44" t="s">
        <v>728</v>
      </c>
      <c r="Q44" t="str" cm="1">
        <f t="array" ref="Q44">_xlfn.IFS(U44&lt;=_xlfn.QUARTILE.INC($U$2:$U675,1),"Low",B44&lt;=_xlfn.QUARTILE.INC($U$2:$U$633,2),"Medium",TRUE,"High")</f>
        <v>High</v>
      </c>
      <c r="R44" t="s">
        <v>776</v>
      </c>
      <c r="S44" s="4">
        <v>1396.48</v>
      </c>
      <c r="T44">
        <v>3204.5</v>
      </c>
      <c r="U44">
        <v>3204.5</v>
      </c>
      <c r="V44" s="7">
        <v>0.318</v>
      </c>
      <c r="W44" s="7">
        <v>0.318</v>
      </c>
      <c r="X44" s="7" t="str">
        <f t="shared" si="1"/>
        <v>High discount</v>
      </c>
      <c r="Y44" s="9">
        <v>14</v>
      </c>
      <c r="Z44">
        <v>30596.565999999999</v>
      </c>
      <c r="AA44">
        <v>19550.72</v>
      </c>
      <c r="AB44">
        <v>11045.845999999998</v>
      </c>
      <c r="AC44">
        <v>0.36101587348070363</v>
      </c>
    </row>
    <row r="45" spans="1:29" x14ac:dyDescent="0.3">
      <c r="A45" t="s">
        <v>58</v>
      </c>
      <c r="B45" s="3">
        <v>45806</v>
      </c>
      <c r="C45" s="3" t="str">
        <v>May-2025</v>
      </c>
      <c r="D45" s="11" t="str">
        <f t="shared" si="0"/>
        <v>Q2-2025</v>
      </c>
      <c r="E45" s="3">
        <v>45828</v>
      </c>
      <c r="F45" s="3">
        <v>45806</v>
      </c>
      <c r="G45" s="4">
        <f t="shared" si="2"/>
        <v>22</v>
      </c>
      <c r="H45" s="4" t="str">
        <v>delayed</v>
      </c>
      <c r="I45" s="4">
        <f t="shared" si="3"/>
        <v>0</v>
      </c>
      <c r="J45" t="s">
        <v>649</v>
      </c>
      <c r="K45" t="s">
        <v>656</v>
      </c>
      <c r="L45" t="s">
        <v>671</v>
      </c>
      <c r="M45" t="s">
        <v>701</v>
      </c>
      <c r="N45" t="s">
        <v>711</v>
      </c>
      <c r="O45" t="s">
        <v>720</v>
      </c>
      <c r="P45" t="s">
        <v>728</v>
      </c>
      <c r="Q45" t="str" cm="1">
        <f t="array" ref="Q45">_xlfn.IFS(U45&lt;=_xlfn.QUARTILE.INC($U$2:$U676,1),"Low",B45&lt;=_xlfn.QUARTILE.INC($U$2:$U$633,2),"Medium",TRUE,"High")</f>
        <v>High</v>
      </c>
      <c r="R45" t="s">
        <v>777</v>
      </c>
      <c r="S45" s="4">
        <v>483.47</v>
      </c>
      <c r="T45">
        <v>1135.43</v>
      </c>
      <c r="U45">
        <v>1135.43</v>
      </c>
      <c r="V45" s="7">
        <v>0.14599999999999999</v>
      </c>
      <c r="W45" s="7">
        <v>0.14599999999999999</v>
      </c>
      <c r="X45" s="7" t="str">
        <f t="shared" si="1"/>
        <v>okay</v>
      </c>
      <c r="Y45" s="9">
        <v>11</v>
      </c>
      <c r="Z45">
        <v>10666.229420000001</v>
      </c>
      <c r="AA45">
        <v>5318.17</v>
      </c>
      <c r="AB45">
        <v>5348.0594200000014</v>
      </c>
      <c r="AC45">
        <v>0.50140112399719983</v>
      </c>
    </row>
    <row r="46" spans="1:29" x14ac:dyDescent="0.3">
      <c r="A46" t="s">
        <v>59</v>
      </c>
      <c r="B46" s="3">
        <v>45432</v>
      </c>
      <c r="C46" s="3" t="str">
        <v>May-2024</v>
      </c>
      <c r="D46" s="11" t="str">
        <f t="shared" si="0"/>
        <v>Q2-2024</v>
      </c>
      <c r="E46" s="3">
        <v>45445</v>
      </c>
      <c r="F46" s="3">
        <v>45432</v>
      </c>
      <c r="G46" s="4">
        <f t="shared" si="2"/>
        <v>13</v>
      </c>
      <c r="H46" s="4" t="str">
        <v>delayed</v>
      </c>
      <c r="I46" s="4">
        <f t="shared" si="3"/>
        <v>0</v>
      </c>
      <c r="J46" t="s">
        <v>648</v>
      </c>
      <c r="K46" t="s">
        <v>653</v>
      </c>
      <c r="L46" t="s">
        <v>688</v>
      </c>
      <c r="M46" t="s">
        <v>706</v>
      </c>
      <c r="N46" t="s">
        <v>709</v>
      </c>
      <c r="O46" t="s">
        <v>723</v>
      </c>
      <c r="P46" t="s">
        <v>727</v>
      </c>
      <c r="Q46" t="str" cm="1">
        <f t="array" ref="Q46">_xlfn.IFS(U46&lt;=_xlfn.QUARTILE.INC($U$2:$U677,1),"Low",B46&lt;=_xlfn.QUARTILE.INC($U$2:$U$633,2),"Medium",TRUE,"High")</f>
        <v>High</v>
      </c>
      <c r="R46" t="s">
        <v>778</v>
      </c>
      <c r="S46" s="4">
        <v>675.43</v>
      </c>
      <c r="T46">
        <v>996.36</v>
      </c>
      <c r="U46">
        <v>996.36</v>
      </c>
      <c r="V46" s="7">
        <v>0.182</v>
      </c>
      <c r="W46" s="7">
        <v>0.182</v>
      </c>
      <c r="X46" s="7" t="str">
        <f t="shared" si="1"/>
        <v>okay</v>
      </c>
      <c r="Y46" s="9">
        <v>22</v>
      </c>
      <c r="Z46">
        <v>17930.494560000003</v>
      </c>
      <c r="AA46">
        <v>14859.46</v>
      </c>
      <c r="AB46">
        <v>3071.0345600000037</v>
      </c>
      <c r="AC46">
        <v>0.17127439233332575</v>
      </c>
    </row>
    <row r="47" spans="1:29" x14ac:dyDescent="0.3">
      <c r="A47" t="s">
        <v>60</v>
      </c>
      <c r="B47" s="3">
        <v>45035</v>
      </c>
      <c r="C47" s="3" t="str">
        <v>Apr-2023</v>
      </c>
      <c r="D47" s="11" t="str">
        <f t="shared" si="0"/>
        <v>Q2-2023</v>
      </c>
      <c r="E47" s="3">
        <v>45046</v>
      </c>
      <c r="F47" s="3">
        <v>45035</v>
      </c>
      <c r="G47" s="4">
        <f t="shared" si="2"/>
        <v>11</v>
      </c>
      <c r="H47" s="4" t="str">
        <v>delayed</v>
      </c>
      <c r="I47" s="4">
        <f t="shared" si="3"/>
        <v>0</v>
      </c>
      <c r="J47" t="s">
        <v>647</v>
      </c>
      <c r="K47" t="s">
        <v>654</v>
      </c>
      <c r="L47" t="s">
        <v>680</v>
      </c>
      <c r="M47" t="s">
        <v>705</v>
      </c>
      <c r="N47" t="s">
        <v>707</v>
      </c>
      <c r="O47" t="s">
        <v>720</v>
      </c>
      <c r="P47" t="s">
        <v>729</v>
      </c>
      <c r="Q47" t="str" cm="1">
        <f t="array" ref="Q47">_xlfn.IFS(U47&lt;=_xlfn.QUARTILE.INC($U$2:$U678,1),"Low",B47&lt;=_xlfn.QUARTILE.INC($U$2:$U$633,2),"Medium",TRUE,"High")</f>
        <v>High</v>
      </c>
      <c r="R47" t="s">
        <v>779</v>
      </c>
      <c r="S47" s="4">
        <v>826.55</v>
      </c>
      <c r="T47">
        <v>1397.05</v>
      </c>
      <c r="U47">
        <v>1397.05</v>
      </c>
      <c r="V47" s="7">
        <v>0.16900000000000001</v>
      </c>
      <c r="W47" s="7">
        <v>0.16900000000000001</v>
      </c>
      <c r="X47" s="7" t="str">
        <f t="shared" si="1"/>
        <v>okay</v>
      </c>
      <c r="Y47" s="9">
        <v>28</v>
      </c>
      <c r="Z47">
        <v>32506.559399999998</v>
      </c>
      <c r="AA47">
        <v>23143.399999999998</v>
      </c>
      <c r="AB47">
        <v>9363.1594000000005</v>
      </c>
      <c r="AC47">
        <v>0.28803907804527601</v>
      </c>
    </row>
    <row r="48" spans="1:29" x14ac:dyDescent="0.3">
      <c r="A48" t="s">
        <v>61</v>
      </c>
      <c r="B48" s="3">
        <v>45100</v>
      </c>
      <c r="C48" s="3" t="str">
        <v>Jun-2023</v>
      </c>
      <c r="D48" s="11" t="str">
        <f t="shared" si="0"/>
        <v>Q2-2023</v>
      </c>
      <c r="E48" s="3">
        <v>45110</v>
      </c>
      <c r="F48" s="3">
        <v>45100</v>
      </c>
      <c r="G48" s="4">
        <f t="shared" si="2"/>
        <v>10</v>
      </c>
      <c r="H48" s="4" t="str">
        <v>delayed</v>
      </c>
      <c r="I48" s="4">
        <f t="shared" si="3"/>
        <v>0</v>
      </c>
      <c r="J48" t="s">
        <v>646</v>
      </c>
      <c r="K48" t="s">
        <v>651</v>
      </c>
      <c r="L48" t="s">
        <v>669</v>
      </c>
      <c r="M48" t="s">
        <v>704</v>
      </c>
      <c r="N48" t="s">
        <v>708</v>
      </c>
      <c r="O48" t="s">
        <v>713</v>
      </c>
      <c r="P48" t="s">
        <v>728</v>
      </c>
      <c r="Q48" t="str" cm="1">
        <f t="array" ref="Q48">_xlfn.IFS(U48&lt;=_xlfn.QUARTILE.INC($U$2:$U679,1),"Low",B48&lt;=_xlfn.QUARTILE.INC($U$2:$U$633,2),"Medium",TRUE,"High")</f>
        <v>Low</v>
      </c>
      <c r="R48" t="s">
        <v>780</v>
      </c>
      <c r="S48" s="4">
        <v>337.75</v>
      </c>
      <c r="T48">
        <v>548.89</v>
      </c>
      <c r="U48">
        <v>548.89</v>
      </c>
      <c r="V48" s="7">
        <v>0</v>
      </c>
      <c r="W48" s="7">
        <v>0</v>
      </c>
      <c r="X48" s="7" t="str">
        <f t="shared" si="1"/>
        <v>okay</v>
      </c>
      <c r="Y48" s="9">
        <v>13</v>
      </c>
      <c r="Z48">
        <v>7135.57</v>
      </c>
      <c r="AA48">
        <v>4390.75</v>
      </c>
      <c r="AB48">
        <v>2744.8199999999997</v>
      </c>
      <c r="AC48">
        <v>0.38466723751571352</v>
      </c>
    </row>
    <row r="49" spans="1:29" x14ac:dyDescent="0.3">
      <c r="A49" t="s">
        <v>62</v>
      </c>
      <c r="B49" s="3">
        <v>45426</v>
      </c>
      <c r="C49" s="3" t="str">
        <v>May-2024</v>
      </c>
      <c r="D49" s="11" t="str">
        <f t="shared" si="0"/>
        <v>Q2-2024</v>
      </c>
      <c r="E49" s="3">
        <v>45440</v>
      </c>
      <c r="F49" s="3">
        <v>45426</v>
      </c>
      <c r="G49" s="4">
        <f t="shared" si="2"/>
        <v>14</v>
      </c>
      <c r="H49" s="4" t="str">
        <v>delayed</v>
      </c>
      <c r="I49" s="4">
        <f t="shared" si="3"/>
        <v>0</v>
      </c>
      <c r="J49" t="s">
        <v>649</v>
      </c>
      <c r="K49" t="s">
        <v>658</v>
      </c>
      <c r="L49" t="s">
        <v>674</v>
      </c>
      <c r="M49" t="s">
        <v>704</v>
      </c>
      <c r="N49" t="s">
        <v>707</v>
      </c>
      <c r="O49" t="s">
        <v>717</v>
      </c>
      <c r="P49" t="s">
        <v>729</v>
      </c>
      <c r="Q49" t="str" cm="1">
        <f t="array" ref="Q49">_xlfn.IFS(U49&lt;=_xlfn.QUARTILE.INC($U$2:$U680,1),"Low",B49&lt;=_xlfn.QUARTILE.INC($U$2:$U$633,2),"Medium",TRUE,"High")</f>
        <v>High</v>
      </c>
      <c r="R49" t="s">
        <v>781</v>
      </c>
      <c r="S49" s="4">
        <v>1421.14</v>
      </c>
      <c r="T49">
        <v>3524</v>
      </c>
      <c r="U49">
        <v>3524</v>
      </c>
      <c r="V49" s="7">
        <v>0</v>
      </c>
      <c r="W49" s="7">
        <v>0</v>
      </c>
      <c r="X49" s="7" t="str">
        <f t="shared" si="1"/>
        <v>okay</v>
      </c>
      <c r="Y49" s="9">
        <v>31</v>
      </c>
      <c r="Z49">
        <v>109244</v>
      </c>
      <c r="AA49">
        <v>44055.340000000004</v>
      </c>
      <c r="AB49">
        <v>65188.659999999996</v>
      </c>
      <c r="AC49">
        <v>0.59672531214528945</v>
      </c>
    </row>
    <row r="50" spans="1:29" x14ac:dyDescent="0.3">
      <c r="A50" t="s">
        <v>63</v>
      </c>
      <c r="B50" s="3">
        <v>45579</v>
      </c>
      <c r="C50" s="3" t="str">
        <v>Oct-2024</v>
      </c>
      <c r="D50" s="11" t="str">
        <f t="shared" si="0"/>
        <v>Q4-2024</v>
      </c>
      <c r="E50" s="3">
        <v>45604</v>
      </c>
      <c r="F50" s="3">
        <v>45579</v>
      </c>
      <c r="G50" s="4">
        <f t="shared" si="2"/>
        <v>25</v>
      </c>
      <c r="H50" s="4" t="str">
        <v>delayed</v>
      </c>
      <c r="I50" s="4">
        <f t="shared" si="3"/>
        <v>0</v>
      </c>
      <c r="J50" t="s">
        <v>646</v>
      </c>
      <c r="K50" t="s">
        <v>651</v>
      </c>
      <c r="L50" t="s">
        <v>665</v>
      </c>
      <c r="M50" t="s">
        <v>706</v>
      </c>
      <c r="N50" t="s">
        <v>708</v>
      </c>
      <c r="O50" t="s">
        <v>719</v>
      </c>
      <c r="P50" t="s">
        <v>729</v>
      </c>
      <c r="Q50" t="str" cm="1">
        <f t="array" ref="Q50">_xlfn.IFS(U50&lt;=_xlfn.QUARTILE.INC($U$2:$U681,1),"Low",B50&lt;=_xlfn.QUARTILE.INC($U$2:$U$633,2),"Medium",TRUE,"High")</f>
        <v>High</v>
      </c>
      <c r="R50" t="s">
        <v>782</v>
      </c>
      <c r="S50" s="4">
        <v>859.35</v>
      </c>
      <c r="T50">
        <v>1825.61</v>
      </c>
      <c r="U50">
        <v>1825.61</v>
      </c>
      <c r="V50" s="7">
        <v>0.187</v>
      </c>
      <c r="W50" s="7">
        <v>0.187</v>
      </c>
      <c r="X50" s="7" t="str">
        <f t="shared" si="1"/>
        <v>okay</v>
      </c>
      <c r="Y50" s="9">
        <v>24</v>
      </c>
      <c r="Z50">
        <v>35621.302319999995</v>
      </c>
      <c r="AA50">
        <v>20624.400000000001</v>
      </c>
      <c r="AB50">
        <v>14996.902319999994</v>
      </c>
      <c r="AC50">
        <v>0.42100937762681989</v>
      </c>
    </row>
    <row r="51" spans="1:29" x14ac:dyDescent="0.3">
      <c r="A51" t="s">
        <v>64</v>
      </c>
      <c r="B51" s="3">
        <v>45117</v>
      </c>
      <c r="C51" s="3" t="str">
        <v>Jul-2023</v>
      </c>
      <c r="D51" s="11" t="str">
        <f t="shared" si="0"/>
        <v>Q3-2023</v>
      </c>
      <c r="E51" s="3">
        <v>45139</v>
      </c>
      <c r="F51" s="3">
        <v>45117</v>
      </c>
      <c r="G51" s="4">
        <f t="shared" si="2"/>
        <v>22</v>
      </c>
      <c r="H51" s="4" t="str">
        <v>delayed</v>
      </c>
      <c r="I51" s="4">
        <f t="shared" si="3"/>
        <v>0</v>
      </c>
      <c r="J51" t="s">
        <v>649</v>
      </c>
      <c r="K51" t="s">
        <v>657</v>
      </c>
      <c r="L51" t="s">
        <v>673</v>
      </c>
      <c r="M51" t="s">
        <v>704</v>
      </c>
      <c r="N51" t="s">
        <v>709</v>
      </c>
      <c r="O51" t="s">
        <v>717</v>
      </c>
      <c r="P51" t="s">
        <v>728</v>
      </c>
      <c r="Q51" t="str" cm="1">
        <f t="array" ref="Q51">_xlfn.IFS(U51&lt;=_xlfn.QUARTILE.INC($U$2:$U682,1),"Low",B51&lt;=_xlfn.QUARTILE.INC($U$2:$U$633,2),"Medium",TRUE,"High")</f>
        <v>High</v>
      </c>
      <c r="R51" t="s">
        <v>783</v>
      </c>
      <c r="S51" s="4">
        <v>1303.56</v>
      </c>
      <c r="T51">
        <v>1791.37</v>
      </c>
      <c r="U51">
        <v>1791.37</v>
      </c>
      <c r="V51" s="7">
        <v>0.126</v>
      </c>
      <c r="W51" s="7">
        <v>0.126</v>
      </c>
      <c r="X51" s="7" t="str">
        <f t="shared" si="1"/>
        <v>okay</v>
      </c>
      <c r="Y51" s="9">
        <v>22</v>
      </c>
      <c r="Z51">
        <v>34444.462359999998</v>
      </c>
      <c r="AA51">
        <v>28678.32</v>
      </c>
      <c r="AB51">
        <v>5766.142359999998</v>
      </c>
      <c r="AC51">
        <v>0.16740404596055358</v>
      </c>
    </row>
    <row r="52" spans="1:29" x14ac:dyDescent="0.3">
      <c r="A52" t="s">
        <v>65</v>
      </c>
      <c r="B52" s="3">
        <v>45602</v>
      </c>
      <c r="C52" s="3" t="str">
        <v>Nov-2024</v>
      </c>
      <c r="D52" s="11" t="str">
        <f t="shared" si="0"/>
        <v>Q4-2024</v>
      </c>
      <c r="E52" s="3">
        <v>45618</v>
      </c>
      <c r="F52" s="3">
        <v>45602</v>
      </c>
      <c r="G52" s="4">
        <f t="shared" si="2"/>
        <v>16</v>
      </c>
      <c r="H52" s="4" t="str">
        <v>delayed</v>
      </c>
      <c r="I52" s="4">
        <f t="shared" si="3"/>
        <v>0</v>
      </c>
      <c r="J52" t="s">
        <v>648</v>
      </c>
      <c r="K52" t="s">
        <v>653</v>
      </c>
      <c r="L52" t="s">
        <v>667</v>
      </c>
      <c r="M52" t="s">
        <v>703</v>
      </c>
      <c r="N52" t="s">
        <v>710</v>
      </c>
      <c r="O52" t="s">
        <v>726</v>
      </c>
      <c r="P52" t="s">
        <v>733</v>
      </c>
      <c r="Q52" t="str" cm="1">
        <f t="array" ref="Q52">_xlfn.IFS(U52&lt;=_xlfn.QUARTILE.INC($U$2:$U683,1),"Low",B52&lt;=_xlfn.QUARTILE.INC($U$2:$U$633,2),"Medium",TRUE,"High")</f>
        <v>High</v>
      </c>
      <c r="R52" t="s">
        <v>784</v>
      </c>
      <c r="S52" s="4">
        <v>1454.11</v>
      </c>
      <c r="T52">
        <v>2629.75</v>
      </c>
      <c r="U52">
        <v>2629.75</v>
      </c>
      <c r="V52" s="7">
        <v>0.29199999999999998</v>
      </c>
      <c r="W52" s="7">
        <v>0.29199999999999998</v>
      </c>
      <c r="X52" s="7" t="str">
        <f t="shared" si="1"/>
        <v>High discount</v>
      </c>
      <c r="Y52" s="9">
        <v>8</v>
      </c>
      <c r="Z52">
        <v>14894.903999999999</v>
      </c>
      <c r="AA52">
        <v>11632.88</v>
      </c>
      <c r="AB52">
        <v>3262.0239999999994</v>
      </c>
      <c r="AC52">
        <v>0.21900268709351867</v>
      </c>
    </row>
    <row r="53" spans="1:29" x14ac:dyDescent="0.3">
      <c r="A53" t="s">
        <v>66</v>
      </c>
      <c r="B53" s="3">
        <v>45582</v>
      </c>
      <c r="C53" s="3" t="str">
        <v>Oct-2024</v>
      </c>
      <c r="D53" s="11" t="str">
        <f t="shared" si="0"/>
        <v>Q4-2024</v>
      </c>
      <c r="E53" s="3">
        <v>45602</v>
      </c>
      <c r="F53" s="3">
        <v>45582</v>
      </c>
      <c r="G53" s="4">
        <f t="shared" si="2"/>
        <v>20</v>
      </c>
      <c r="H53" s="4" t="str">
        <v>delayed</v>
      </c>
      <c r="I53" s="4">
        <f t="shared" si="3"/>
        <v>0</v>
      </c>
      <c r="J53" t="s">
        <v>647</v>
      </c>
      <c r="K53" t="s">
        <v>654</v>
      </c>
      <c r="L53" t="s">
        <v>668</v>
      </c>
      <c r="M53" t="s">
        <v>706</v>
      </c>
      <c r="N53" t="s">
        <v>710</v>
      </c>
      <c r="O53" t="s">
        <v>719</v>
      </c>
      <c r="P53" t="s">
        <v>732</v>
      </c>
      <c r="Q53" t="str" cm="1">
        <f t="array" ref="Q53">_xlfn.IFS(U53&lt;=_xlfn.QUARTILE.INC($U$2:$U684,1),"Low",B53&lt;=_xlfn.QUARTILE.INC($U$2:$U$633,2),"Medium",TRUE,"High")</f>
        <v>Low</v>
      </c>
      <c r="R53" t="s">
        <v>785</v>
      </c>
      <c r="S53" s="4">
        <v>72.94</v>
      </c>
      <c r="T53">
        <v>106.3</v>
      </c>
      <c r="U53">
        <v>106.3</v>
      </c>
      <c r="V53" s="7">
        <v>0.29499999999999998</v>
      </c>
      <c r="W53" s="7">
        <v>0.29499999999999998</v>
      </c>
      <c r="X53" s="7" t="str">
        <f t="shared" si="1"/>
        <v>High discount</v>
      </c>
      <c r="Y53" s="9">
        <v>8</v>
      </c>
      <c r="Z53">
        <v>599.53200000000004</v>
      </c>
      <c r="AA53">
        <v>583.52</v>
      </c>
      <c r="AB53">
        <v>16.012000000000057</v>
      </c>
      <c r="AC53">
        <v>2.6707498515508857E-2</v>
      </c>
    </row>
    <row r="54" spans="1:29" x14ac:dyDescent="0.3">
      <c r="A54" t="s">
        <v>67</v>
      </c>
      <c r="B54" s="3">
        <v>45016</v>
      </c>
      <c r="C54" s="3" t="str">
        <v>Mar-2023</v>
      </c>
      <c r="D54" s="11" t="str">
        <f t="shared" si="0"/>
        <v>Q1-2023</v>
      </c>
      <c r="E54" s="3">
        <v>45021</v>
      </c>
      <c r="F54" s="3">
        <v>45016</v>
      </c>
      <c r="G54" s="4">
        <f t="shared" si="2"/>
        <v>5</v>
      </c>
      <c r="H54" s="4" t="str">
        <v>ontime</v>
      </c>
      <c r="I54" s="4">
        <f t="shared" si="3"/>
        <v>1</v>
      </c>
      <c r="J54" t="s">
        <v>646</v>
      </c>
      <c r="K54" t="s">
        <v>650</v>
      </c>
      <c r="L54" t="s">
        <v>678</v>
      </c>
      <c r="M54" t="s">
        <v>702</v>
      </c>
      <c r="N54" t="s">
        <v>709</v>
      </c>
      <c r="O54" t="s">
        <v>717</v>
      </c>
      <c r="P54" t="s">
        <v>731</v>
      </c>
      <c r="Q54" t="str" cm="1">
        <f t="array" ref="Q54">_xlfn.IFS(U54&lt;=_xlfn.QUARTILE.INC($U$2:$U685,1),"Low",B54&lt;=_xlfn.QUARTILE.INC($U$2:$U$633,2),"Medium",TRUE,"High")</f>
        <v>Low</v>
      </c>
      <c r="R54" t="s">
        <v>786</v>
      </c>
      <c r="S54" s="4">
        <v>533.26</v>
      </c>
      <c r="T54">
        <v>385.72</v>
      </c>
      <c r="U54">
        <v>385.72</v>
      </c>
      <c r="V54" s="7">
        <v>0</v>
      </c>
      <c r="W54" s="7">
        <v>0</v>
      </c>
      <c r="X54" s="7" t="str">
        <f t="shared" si="1"/>
        <v>okay</v>
      </c>
      <c r="Y54" s="9">
        <v>15</v>
      </c>
      <c r="Z54">
        <v>5785.8</v>
      </c>
      <c r="AA54">
        <v>7998.9</v>
      </c>
      <c r="AB54">
        <v>-2213.0999999999995</v>
      </c>
      <c r="AC54">
        <v>-0.38250544436378708</v>
      </c>
    </row>
    <row r="55" spans="1:29" x14ac:dyDescent="0.3">
      <c r="A55" t="s">
        <v>68</v>
      </c>
      <c r="B55" s="3">
        <v>45678</v>
      </c>
      <c r="C55" s="3" t="str">
        <v>Jan-2025</v>
      </c>
      <c r="D55" s="11" t="str">
        <f t="shared" si="0"/>
        <v>Q1-2025</v>
      </c>
      <c r="E55" s="3">
        <v>45704</v>
      </c>
      <c r="F55" s="3">
        <v>45678</v>
      </c>
      <c r="G55" s="4">
        <f t="shared" si="2"/>
        <v>26</v>
      </c>
      <c r="H55" s="4" t="str">
        <v>delayed</v>
      </c>
      <c r="I55" s="4">
        <f t="shared" si="3"/>
        <v>0</v>
      </c>
      <c r="J55" t="s">
        <v>649</v>
      </c>
      <c r="K55" t="s">
        <v>657</v>
      </c>
      <c r="L55" t="s">
        <v>679</v>
      </c>
      <c r="M55" t="s">
        <v>701</v>
      </c>
      <c r="N55" t="s">
        <v>710</v>
      </c>
      <c r="O55" t="s">
        <v>719</v>
      </c>
      <c r="P55" t="s">
        <v>731</v>
      </c>
      <c r="Q55" t="str" cm="1">
        <f t="array" ref="Q55">_xlfn.IFS(U55&lt;=_xlfn.QUARTILE.INC($U$2:$U686,1),"Low",B55&lt;=_xlfn.QUARTILE.INC($U$2:$U$633,2),"Medium",TRUE,"High")</f>
        <v>Low</v>
      </c>
      <c r="R55" t="s">
        <v>787</v>
      </c>
      <c r="S55" s="4">
        <v>204.11</v>
      </c>
      <c r="T55">
        <v>236.87</v>
      </c>
      <c r="U55">
        <v>236.87</v>
      </c>
      <c r="V55" s="7">
        <v>0.182</v>
      </c>
      <c r="W55" s="7">
        <v>0.182</v>
      </c>
      <c r="X55" s="7" t="str">
        <f t="shared" si="1"/>
        <v>okay</v>
      </c>
      <c r="Y55" s="9">
        <v>13</v>
      </c>
      <c r="Z55">
        <v>2518.8755800000004</v>
      </c>
      <c r="AA55">
        <v>2653.4300000000003</v>
      </c>
      <c r="AB55">
        <v>-134.55441999999994</v>
      </c>
      <c r="AC55">
        <v>-5.3418446337075494E-2</v>
      </c>
    </row>
    <row r="56" spans="1:29" x14ac:dyDescent="0.3">
      <c r="A56" t="s">
        <v>69</v>
      </c>
      <c r="B56" s="3">
        <v>45168</v>
      </c>
      <c r="C56" s="3" t="str">
        <v>Aug-2023</v>
      </c>
      <c r="D56" s="11" t="str">
        <f t="shared" si="0"/>
        <v>Q3-2023</v>
      </c>
      <c r="E56" s="3">
        <v>45170</v>
      </c>
      <c r="F56" s="3">
        <v>45168</v>
      </c>
      <c r="G56" s="4">
        <f t="shared" si="2"/>
        <v>2</v>
      </c>
      <c r="H56" s="4" t="str">
        <v>ontime</v>
      </c>
      <c r="I56" s="4">
        <f t="shared" si="3"/>
        <v>1</v>
      </c>
      <c r="J56" t="s">
        <v>649</v>
      </c>
      <c r="K56" t="s">
        <v>656</v>
      </c>
      <c r="L56" t="s">
        <v>684</v>
      </c>
      <c r="M56" t="s">
        <v>701</v>
      </c>
      <c r="N56" t="s">
        <v>711</v>
      </c>
      <c r="O56" t="s">
        <v>725</v>
      </c>
      <c r="P56" t="s">
        <v>729</v>
      </c>
      <c r="Q56" t="str" cm="1">
        <f t="array" ref="Q56">_xlfn.IFS(U56&lt;=_xlfn.QUARTILE.INC($U$2:$U687,1),"Low",B56&lt;=_xlfn.QUARTILE.INC($U$2:$U$633,2),"Medium",TRUE,"High")</f>
        <v>Low</v>
      </c>
      <c r="R56" t="s">
        <v>788</v>
      </c>
      <c r="S56" s="4">
        <v>44.42</v>
      </c>
      <c r="T56">
        <v>41.9</v>
      </c>
      <c r="U56">
        <v>41.9</v>
      </c>
      <c r="V56" s="7">
        <v>0.14399999999999999</v>
      </c>
      <c r="W56" s="7">
        <v>0.14399999999999999</v>
      </c>
      <c r="X56" s="7" t="str">
        <f t="shared" si="1"/>
        <v>okay</v>
      </c>
      <c r="Y56" s="9">
        <v>6</v>
      </c>
      <c r="Z56">
        <v>215.19839999999996</v>
      </c>
      <c r="AA56">
        <v>266.52</v>
      </c>
      <c r="AB56">
        <v>-51.321600000000018</v>
      </c>
      <c r="AC56">
        <v>-0.23848504449847224</v>
      </c>
    </row>
    <row r="57" spans="1:29" x14ac:dyDescent="0.3">
      <c r="A57" t="s">
        <v>70</v>
      </c>
      <c r="B57" s="3">
        <v>45753</v>
      </c>
      <c r="C57" s="3" t="str">
        <v>Apr-2025</v>
      </c>
      <c r="D57" s="11" t="str">
        <f t="shared" si="0"/>
        <v>Q2-2025</v>
      </c>
      <c r="E57" s="3">
        <v>45777</v>
      </c>
      <c r="F57" s="3">
        <v>45753</v>
      </c>
      <c r="G57" s="4">
        <f t="shared" si="2"/>
        <v>24</v>
      </c>
      <c r="H57" s="4" t="str">
        <v>delayed</v>
      </c>
      <c r="I57" s="4">
        <f t="shared" si="3"/>
        <v>0</v>
      </c>
      <c r="J57" t="s">
        <v>648</v>
      </c>
      <c r="K57" t="s">
        <v>655</v>
      </c>
      <c r="L57" t="s">
        <v>672</v>
      </c>
      <c r="M57" t="s">
        <v>702</v>
      </c>
      <c r="N57" t="s">
        <v>708</v>
      </c>
      <c r="O57" t="s">
        <v>723</v>
      </c>
      <c r="P57" t="s">
        <v>732</v>
      </c>
      <c r="Q57" t="str" cm="1">
        <f t="array" ref="Q57">_xlfn.IFS(U57&lt;=_xlfn.QUARTILE.INC($U$2:$U688,1),"Low",B57&lt;=_xlfn.QUARTILE.INC($U$2:$U$633,2),"Medium",TRUE,"High")</f>
        <v>High</v>
      </c>
      <c r="R57" t="s">
        <v>789</v>
      </c>
      <c r="S57" s="4">
        <v>855.78</v>
      </c>
      <c r="T57">
        <v>977.38</v>
      </c>
      <c r="U57">
        <v>977.38</v>
      </c>
      <c r="V57" s="7">
        <v>0.14699999999999999</v>
      </c>
      <c r="W57" s="7">
        <v>0.14699999999999999</v>
      </c>
      <c r="X57" s="7" t="str">
        <f t="shared" si="1"/>
        <v>okay</v>
      </c>
      <c r="Y57" s="9">
        <v>38</v>
      </c>
      <c r="Z57">
        <v>31680.795320000001</v>
      </c>
      <c r="AA57">
        <v>32519.64</v>
      </c>
      <c r="AB57">
        <v>-838.84467999999833</v>
      </c>
      <c r="AC57">
        <v>-2.6478018355506307E-2</v>
      </c>
    </row>
    <row r="58" spans="1:29" x14ac:dyDescent="0.3">
      <c r="A58" t="s">
        <v>71</v>
      </c>
      <c r="B58" s="3">
        <v>45697</v>
      </c>
      <c r="C58" s="3" t="str">
        <v>Feb-2025</v>
      </c>
      <c r="D58" s="11" t="str">
        <f t="shared" si="0"/>
        <v>Q1-2025</v>
      </c>
      <c r="E58" s="3">
        <v>45717</v>
      </c>
      <c r="F58" s="3">
        <v>45697</v>
      </c>
      <c r="G58" s="4">
        <f t="shared" si="2"/>
        <v>20</v>
      </c>
      <c r="H58" s="4" t="str">
        <v>delayed</v>
      </c>
      <c r="I58" s="4">
        <f t="shared" si="3"/>
        <v>0</v>
      </c>
      <c r="J58" t="s">
        <v>648</v>
      </c>
      <c r="K58" t="s">
        <v>655</v>
      </c>
      <c r="L58" t="s">
        <v>670</v>
      </c>
      <c r="M58" t="s">
        <v>701</v>
      </c>
      <c r="N58" t="s">
        <v>710</v>
      </c>
      <c r="O58" t="s">
        <v>717</v>
      </c>
      <c r="P58" t="s">
        <v>731</v>
      </c>
      <c r="Q58" t="str" cm="1">
        <f t="array" ref="Q58">_xlfn.IFS(U58&lt;=_xlfn.QUARTILE.INC($U$2:$U689,1),"Low",B58&lt;=_xlfn.QUARTILE.INC($U$2:$U$633,2),"Medium",TRUE,"High")</f>
        <v>High</v>
      </c>
      <c r="R58" t="s">
        <v>790</v>
      </c>
      <c r="S58" s="4">
        <v>1154.6400000000001</v>
      </c>
      <c r="T58">
        <v>2794.13</v>
      </c>
      <c r="U58">
        <v>2794.13</v>
      </c>
      <c r="V58" s="7">
        <v>3.5000000000000003E-2</v>
      </c>
      <c r="W58" s="7">
        <v>3.5000000000000003E-2</v>
      </c>
      <c r="X58" s="7" t="str">
        <f t="shared" si="1"/>
        <v>okay</v>
      </c>
      <c r="Y58" s="9">
        <v>11</v>
      </c>
      <c r="Z58">
        <v>29659.68995</v>
      </c>
      <c r="AA58">
        <v>12701.04</v>
      </c>
      <c r="AB58">
        <v>16958.649949999999</v>
      </c>
      <c r="AC58">
        <v>0.57177435025749479</v>
      </c>
    </row>
    <row r="59" spans="1:29" x14ac:dyDescent="0.3">
      <c r="A59" t="s">
        <v>72</v>
      </c>
      <c r="B59" s="3">
        <v>45643</v>
      </c>
      <c r="C59" s="3" t="str">
        <v>Dec-2024</v>
      </c>
      <c r="D59" s="11" t="str">
        <f t="shared" si="0"/>
        <v>Q4-2024</v>
      </c>
      <c r="E59" s="3">
        <v>45644</v>
      </c>
      <c r="F59" s="3">
        <v>45643</v>
      </c>
      <c r="G59" s="4">
        <f t="shared" si="2"/>
        <v>1</v>
      </c>
      <c r="H59" s="4" t="str">
        <v>ontime</v>
      </c>
      <c r="I59" s="4">
        <f t="shared" si="3"/>
        <v>1</v>
      </c>
      <c r="J59" t="s">
        <v>649</v>
      </c>
      <c r="K59" t="s">
        <v>656</v>
      </c>
      <c r="L59" t="s">
        <v>684</v>
      </c>
      <c r="M59" t="s">
        <v>702</v>
      </c>
      <c r="N59" t="s">
        <v>707</v>
      </c>
      <c r="O59" t="s">
        <v>716</v>
      </c>
      <c r="P59" t="s">
        <v>733</v>
      </c>
      <c r="Q59" t="str" cm="1">
        <f t="array" ref="Q59">_xlfn.IFS(U59&lt;=_xlfn.QUARTILE.INC($U$2:$U690,1),"Low",B59&lt;=_xlfn.QUARTILE.INC($U$2:$U$633,2),"Medium",TRUE,"High")</f>
        <v>High</v>
      </c>
      <c r="R59" t="s">
        <v>791</v>
      </c>
      <c r="S59" s="4">
        <v>346.82</v>
      </c>
      <c r="T59">
        <v>701.95</v>
      </c>
      <c r="U59">
        <v>701.95</v>
      </c>
      <c r="V59" s="7">
        <v>0.14699999999999999</v>
      </c>
      <c r="W59" s="7">
        <v>0.14699999999999999</v>
      </c>
      <c r="X59" s="7" t="str">
        <f t="shared" si="1"/>
        <v>okay</v>
      </c>
      <c r="Y59" s="9">
        <v>8</v>
      </c>
      <c r="Z59">
        <v>4790.1068000000005</v>
      </c>
      <c r="AA59">
        <v>2774.56</v>
      </c>
      <c r="AB59">
        <v>2015.5468000000005</v>
      </c>
      <c r="AC59">
        <v>0.42077283120284509</v>
      </c>
    </row>
    <row r="60" spans="1:29" x14ac:dyDescent="0.3">
      <c r="A60" t="s">
        <v>73</v>
      </c>
      <c r="B60" s="3">
        <v>45817</v>
      </c>
      <c r="C60" s="3" t="str">
        <v>Jun-2025</v>
      </c>
      <c r="D60" s="11" t="str">
        <f t="shared" si="0"/>
        <v>Q2-2025</v>
      </c>
      <c r="E60" s="3">
        <v>45826</v>
      </c>
      <c r="F60" s="3">
        <v>45817</v>
      </c>
      <c r="G60" s="4">
        <f t="shared" si="2"/>
        <v>9</v>
      </c>
      <c r="H60" s="4" t="str">
        <v>delayed</v>
      </c>
      <c r="I60" s="4">
        <f t="shared" si="3"/>
        <v>0</v>
      </c>
      <c r="J60" t="s">
        <v>649</v>
      </c>
      <c r="K60" t="s">
        <v>657</v>
      </c>
      <c r="L60" t="s">
        <v>673</v>
      </c>
      <c r="M60" t="s">
        <v>705</v>
      </c>
      <c r="N60" t="s">
        <v>709</v>
      </c>
      <c r="O60" t="s">
        <v>722</v>
      </c>
      <c r="P60" t="s">
        <v>733</v>
      </c>
      <c r="Q60" t="str" cm="1">
        <f t="array" ref="Q60">_xlfn.IFS(U60&lt;=_xlfn.QUARTILE.INC($U$2:$U691,1),"Low",B60&lt;=_xlfn.QUARTILE.INC($U$2:$U$633,2),"Medium",TRUE,"High")</f>
        <v>High</v>
      </c>
      <c r="R60" t="s">
        <v>792</v>
      </c>
      <c r="S60" s="4">
        <v>1225.5</v>
      </c>
      <c r="T60">
        <v>-5.27</v>
      </c>
      <c r="U60" t="str">
        <v>1193.87</v>
      </c>
      <c r="V60" s="7">
        <v>7.4999999999999997E-2</v>
      </c>
      <c r="W60" s="7">
        <v>7.4999999999999997E-2</v>
      </c>
      <c r="X60" s="7" t="str">
        <f t="shared" si="1"/>
        <v>okay</v>
      </c>
      <c r="Y60" s="9">
        <v>56</v>
      </c>
      <c r="Z60">
        <v>61842.466000000008</v>
      </c>
      <c r="AA60">
        <v>68628</v>
      </c>
      <c r="AB60">
        <v>-6785.5339999999924</v>
      </c>
      <c r="AC60">
        <v>-0.10972288847601891</v>
      </c>
    </row>
    <row r="61" spans="1:29" x14ac:dyDescent="0.3">
      <c r="A61" t="s">
        <v>74</v>
      </c>
      <c r="B61" s="3">
        <v>45779</v>
      </c>
      <c r="C61" s="3" t="str">
        <v>May-2025</v>
      </c>
      <c r="D61" s="11" t="str">
        <f t="shared" si="0"/>
        <v>Q2-2025</v>
      </c>
      <c r="E61" s="3">
        <v>45790</v>
      </c>
      <c r="F61" s="3">
        <v>45779</v>
      </c>
      <c r="G61" s="4">
        <f t="shared" si="2"/>
        <v>11</v>
      </c>
      <c r="H61" s="4" t="str">
        <v>delayed</v>
      </c>
      <c r="I61" s="4">
        <f t="shared" si="3"/>
        <v>0</v>
      </c>
      <c r="J61" t="s">
        <v>646</v>
      </c>
      <c r="K61" t="s">
        <v>650</v>
      </c>
      <c r="L61" t="s">
        <v>678</v>
      </c>
      <c r="M61" t="s">
        <v>705</v>
      </c>
      <c r="N61" t="s">
        <v>708</v>
      </c>
      <c r="O61" t="s">
        <v>720</v>
      </c>
      <c r="P61" t="s">
        <v>733</v>
      </c>
      <c r="Q61" t="str" cm="1">
        <f t="array" ref="Q61">_xlfn.IFS(U61&lt;=_xlfn.QUARTILE.INC($U$2:$U692,1),"Low",B61&lt;=_xlfn.QUARTILE.INC($U$2:$U$633,2),"Medium",TRUE,"High")</f>
        <v>High</v>
      </c>
      <c r="R61" t="s">
        <v>793</v>
      </c>
      <c r="S61" s="4">
        <v>1057.5999999999999</v>
      </c>
      <c r="T61">
        <v>1437.06</v>
      </c>
      <c r="U61">
        <v>1437.06</v>
      </c>
      <c r="V61" s="7">
        <v>0.20499999999999999</v>
      </c>
      <c r="W61" s="7">
        <v>0.20499999999999999</v>
      </c>
      <c r="X61" s="7" t="str">
        <f t="shared" si="1"/>
        <v>High discount</v>
      </c>
      <c r="Y61" s="9">
        <v>4</v>
      </c>
      <c r="Z61">
        <v>4569.8508000000002</v>
      </c>
      <c r="AA61">
        <v>4230.3999999999996</v>
      </c>
      <c r="AB61">
        <v>339.45080000000053</v>
      </c>
      <c r="AC61">
        <v>7.4280499485891424E-2</v>
      </c>
    </row>
    <row r="62" spans="1:29" x14ac:dyDescent="0.3">
      <c r="A62" t="s">
        <v>75</v>
      </c>
      <c r="B62" s="3">
        <v>45361</v>
      </c>
      <c r="C62" s="3" t="str">
        <v>Mar-2024</v>
      </c>
      <c r="D62" s="11" t="str">
        <f t="shared" si="0"/>
        <v>Q1-2024</v>
      </c>
      <c r="E62" s="3">
        <v>45391</v>
      </c>
      <c r="F62" s="3">
        <v>45361</v>
      </c>
      <c r="G62" s="4">
        <f t="shared" si="2"/>
        <v>30</v>
      </c>
      <c r="H62" s="4" t="str">
        <v>delayed</v>
      </c>
      <c r="I62" s="4">
        <f t="shared" si="3"/>
        <v>0</v>
      </c>
      <c r="J62" t="s">
        <v>649</v>
      </c>
      <c r="K62" t="s">
        <v>657</v>
      </c>
      <c r="L62" t="s">
        <v>679</v>
      </c>
      <c r="M62" t="s">
        <v>701</v>
      </c>
      <c r="N62" t="s">
        <v>711</v>
      </c>
      <c r="O62" t="s">
        <v>714</v>
      </c>
      <c r="P62" t="s">
        <v>727</v>
      </c>
      <c r="Q62" t="str" cm="1">
        <f t="array" ref="Q62">_xlfn.IFS(U62&lt;=_xlfn.QUARTILE.INC($U$2:$U693,1),"Low",B62&lt;=_xlfn.QUARTILE.INC($U$2:$U$633,2),"Medium",TRUE,"High")</f>
        <v>High</v>
      </c>
      <c r="R62" t="s">
        <v>794</v>
      </c>
      <c r="S62" s="4">
        <v>1176.56</v>
      </c>
      <c r="T62">
        <v>1911.89</v>
      </c>
      <c r="U62">
        <v>1911.89</v>
      </c>
      <c r="V62" s="7">
        <v>0.11899999999999999</v>
      </c>
      <c r="W62" s="7">
        <v>0.11899999999999999</v>
      </c>
      <c r="X62" s="7" t="str">
        <f t="shared" si="1"/>
        <v>okay</v>
      </c>
      <c r="Y62" s="9">
        <v>20</v>
      </c>
      <c r="Z62">
        <v>33687.501800000005</v>
      </c>
      <c r="AA62">
        <v>23531.199999999997</v>
      </c>
      <c r="AB62">
        <v>10156.301800000008</v>
      </c>
      <c r="AC62">
        <v>0.30148575160892477</v>
      </c>
    </row>
    <row r="63" spans="1:29" x14ac:dyDescent="0.3">
      <c r="A63" t="s">
        <v>76</v>
      </c>
      <c r="B63" s="3">
        <v>45910</v>
      </c>
      <c r="C63" s="3" t="str">
        <v>Sep-2025</v>
      </c>
      <c r="D63" s="11" t="str">
        <f t="shared" si="0"/>
        <v>Q3-2025</v>
      </c>
      <c r="E63" s="3">
        <v>45912</v>
      </c>
      <c r="F63" s="3">
        <v>45910</v>
      </c>
      <c r="G63" s="4">
        <f t="shared" si="2"/>
        <v>2</v>
      </c>
      <c r="H63" s="4" t="str">
        <v>ontime</v>
      </c>
      <c r="I63" s="4">
        <f t="shared" si="3"/>
        <v>1</v>
      </c>
      <c r="J63" t="s">
        <v>647</v>
      </c>
      <c r="K63" t="s">
        <v>652</v>
      </c>
      <c r="L63" t="s">
        <v>689</v>
      </c>
      <c r="M63" t="s">
        <v>704</v>
      </c>
      <c r="N63" t="s">
        <v>708</v>
      </c>
      <c r="O63" t="s">
        <v>719</v>
      </c>
      <c r="P63" t="s">
        <v>727</v>
      </c>
      <c r="Q63" t="str" cm="1">
        <f t="array" ref="Q63">_xlfn.IFS(U63&lt;=_xlfn.QUARTILE.INC($U$2:$U694,1),"Low",B63&lt;=_xlfn.QUARTILE.INC($U$2:$U$633,2),"Medium",TRUE,"High")</f>
        <v>High</v>
      </c>
      <c r="R63" t="s">
        <v>795</v>
      </c>
      <c r="S63" s="4">
        <v>1470.15</v>
      </c>
      <c r="T63">
        <v>2593.7800000000002</v>
      </c>
      <c r="U63">
        <v>2593.7800000000002</v>
      </c>
      <c r="V63" s="7">
        <v>0.11</v>
      </c>
      <c r="W63" s="7">
        <v>0.11</v>
      </c>
      <c r="X63" s="7" t="str">
        <f t="shared" si="1"/>
        <v>okay</v>
      </c>
      <c r="Y63" s="9">
        <v>12</v>
      </c>
      <c r="Z63">
        <v>27701.570400000001</v>
      </c>
      <c r="AA63">
        <v>17641.800000000003</v>
      </c>
      <c r="AB63">
        <v>10059.770399999998</v>
      </c>
      <c r="AC63">
        <v>0.36314801849645306</v>
      </c>
    </row>
    <row r="64" spans="1:29" x14ac:dyDescent="0.3">
      <c r="A64" t="s">
        <v>77</v>
      </c>
      <c r="B64" s="3">
        <v>45774</v>
      </c>
      <c r="C64" s="3" t="str">
        <v>Apr-2025</v>
      </c>
      <c r="D64" s="11" t="str">
        <f t="shared" si="0"/>
        <v>Q2-2025</v>
      </c>
      <c r="E64" s="3">
        <v>45802</v>
      </c>
      <c r="F64" s="3">
        <v>45774</v>
      </c>
      <c r="G64" s="4">
        <f t="shared" si="2"/>
        <v>28</v>
      </c>
      <c r="H64" s="4" t="str">
        <v>delayed</v>
      </c>
      <c r="I64" s="4">
        <f t="shared" si="3"/>
        <v>0</v>
      </c>
      <c r="J64" t="s">
        <v>649</v>
      </c>
      <c r="K64" t="s">
        <v>657</v>
      </c>
      <c r="L64" t="s">
        <v>690</v>
      </c>
      <c r="M64" t="s">
        <v>705</v>
      </c>
      <c r="N64" t="s">
        <v>709</v>
      </c>
      <c r="O64" t="s">
        <v>714</v>
      </c>
      <c r="P64" t="s">
        <v>730</v>
      </c>
      <c r="Q64" t="str" cm="1">
        <f t="array" ref="Q64">_xlfn.IFS(U64&lt;=_xlfn.QUARTILE.INC($U$2:$U695,1),"Low",B64&lt;=_xlfn.QUARTILE.INC($U$2:$U$633,2),"Medium",TRUE,"High")</f>
        <v>High</v>
      </c>
      <c r="R64" t="s">
        <v>796</v>
      </c>
      <c r="S64" s="4">
        <v>603.45000000000005</v>
      </c>
      <c r="T64">
        <v>1244.08</v>
      </c>
      <c r="U64">
        <v>1244.08</v>
      </c>
      <c r="V64" s="7">
        <v>0.2</v>
      </c>
      <c r="W64" s="7">
        <v>0.2</v>
      </c>
      <c r="X64" s="7" t="str">
        <f t="shared" si="1"/>
        <v>okay</v>
      </c>
      <c r="Y64" s="9">
        <v>11</v>
      </c>
      <c r="Z64">
        <v>10947.904</v>
      </c>
      <c r="AA64">
        <v>6637.9500000000007</v>
      </c>
      <c r="AB64">
        <v>4309.9539999999997</v>
      </c>
      <c r="AC64">
        <v>0.39367846119220623</v>
      </c>
    </row>
    <row r="65" spans="1:29" x14ac:dyDescent="0.3">
      <c r="A65" t="s">
        <v>78</v>
      </c>
      <c r="B65" s="3">
        <v>45598</v>
      </c>
      <c r="C65" s="3" t="str">
        <v>Nov-2024</v>
      </c>
      <c r="D65" s="11" t="str">
        <f t="shared" si="0"/>
        <v>Q4-2024</v>
      </c>
      <c r="E65" s="3">
        <v>45614</v>
      </c>
      <c r="F65" s="3">
        <v>45598</v>
      </c>
      <c r="G65" s="4">
        <f t="shared" si="2"/>
        <v>16</v>
      </c>
      <c r="H65" s="4" t="str">
        <v>delayed</v>
      </c>
      <c r="I65" s="4">
        <f t="shared" si="3"/>
        <v>0</v>
      </c>
      <c r="J65" t="s">
        <v>647</v>
      </c>
      <c r="K65" t="s">
        <v>654</v>
      </c>
      <c r="L65" t="s">
        <v>691</v>
      </c>
      <c r="M65" t="s">
        <v>705</v>
      </c>
      <c r="N65" t="s">
        <v>710</v>
      </c>
      <c r="O65" t="s">
        <v>719</v>
      </c>
      <c r="P65" t="s">
        <v>732</v>
      </c>
      <c r="Q65" t="str" cm="1">
        <f t="array" ref="Q65">_xlfn.IFS(U65&lt;=_xlfn.QUARTILE.INC($U$2:$U696,1),"Low",B65&lt;=_xlfn.QUARTILE.INC($U$2:$U$633,2),"Medium",TRUE,"High")</f>
        <v>High</v>
      </c>
      <c r="R65" t="s">
        <v>797</v>
      </c>
      <c r="S65" s="4">
        <v>1233.58</v>
      </c>
      <c r="T65">
        <v>1912.51</v>
      </c>
      <c r="U65">
        <v>1912.51</v>
      </c>
      <c r="V65" s="7">
        <v>0.255</v>
      </c>
      <c r="W65" s="7">
        <v>0.255</v>
      </c>
      <c r="X65" s="7" t="str">
        <f t="shared" si="1"/>
        <v>High discount</v>
      </c>
      <c r="Y65" s="9">
        <v>51</v>
      </c>
      <c r="Z65">
        <v>72665.817450000002</v>
      </c>
      <c r="AA65">
        <v>62912.579999999994</v>
      </c>
      <c r="AB65">
        <v>9753.2374500000078</v>
      </c>
      <c r="AC65">
        <v>0.134220432553601</v>
      </c>
    </row>
    <row r="66" spans="1:29" x14ac:dyDescent="0.3">
      <c r="A66" t="s">
        <v>79</v>
      </c>
      <c r="B66" s="3">
        <v>44972</v>
      </c>
      <c r="C66" s="3" t="str">
        <v>Feb-2023</v>
      </c>
      <c r="D66" s="11" t="str">
        <f t="shared" si="0"/>
        <v>Q1-2023</v>
      </c>
      <c r="E66" s="3">
        <v>44983</v>
      </c>
      <c r="F66" s="3">
        <v>44972</v>
      </c>
      <c r="G66" s="4">
        <f t="shared" si="2"/>
        <v>11</v>
      </c>
      <c r="H66" s="4" t="str">
        <v>delayed</v>
      </c>
      <c r="I66" s="4">
        <f t="shared" si="3"/>
        <v>0</v>
      </c>
      <c r="J66" t="s">
        <v>646</v>
      </c>
      <c r="K66" t="s">
        <v>661</v>
      </c>
      <c r="L66" t="s">
        <v>682</v>
      </c>
      <c r="M66" t="s">
        <v>703</v>
      </c>
      <c r="N66" t="s">
        <v>707</v>
      </c>
      <c r="O66" t="s">
        <v>723</v>
      </c>
      <c r="P66" t="s">
        <v>731</v>
      </c>
      <c r="Q66" t="str" cm="1">
        <f t="array" ref="Q66">_xlfn.IFS(U66&lt;=_xlfn.QUARTILE.INC($U$2:$U697,1),"Low",B66&lt;=_xlfn.QUARTILE.INC($U$2:$U$633,2),"Medium",TRUE,"High")</f>
        <v>High</v>
      </c>
      <c r="R66" t="s">
        <v>798</v>
      </c>
      <c r="S66" s="4">
        <v>498.5</v>
      </c>
      <c r="T66">
        <v>755.87</v>
      </c>
      <c r="U66">
        <v>755.87</v>
      </c>
      <c r="V66" s="7">
        <v>0.13</v>
      </c>
      <c r="W66" s="7">
        <v>0.13</v>
      </c>
      <c r="X66" s="7" t="str">
        <f t="shared" si="1"/>
        <v>okay</v>
      </c>
      <c r="Y66" s="9">
        <v>40</v>
      </c>
      <c r="Z66">
        <v>26304.275999999998</v>
      </c>
      <c r="AA66">
        <v>19940</v>
      </c>
      <c r="AB66">
        <v>6364.275999999998</v>
      </c>
      <c r="AC66">
        <v>0.24194834330357537</v>
      </c>
    </row>
    <row r="67" spans="1:29" x14ac:dyDescent="0.3">
      <c r="A67" t="s">
        <v>80</v>
      </c>
      <c r="B67" s="3">
        <v>45263</v>
      </c>
      <c r="C67" s="3" t="str">
        <v>Dec-2023</v>
      </c>
      <c r="D67" s="11" t="str">
        <f t="shared" ref="D67:D130" si="4">"Q" &amp; ROUNDUP(MONTH(C67)/3,0) &amp; "-" &amp; YEAR(C67)</f>
        <v>Q4-2023</v>
      </c>
      <c r="E67" s="3">
        <v>45286</v>
      </c>
      <c r="F67" s="3">
        <v>45263</v>
      </c>
      <c r="G67" s="4">
        <f t="shared" ref="G67:G130" si="5">(E67-F67)</f>
        <v>23</v>
      </c>
      <c r="H67" s="4" t="str">
        <v>delayed</v>
      </c>
      <c r="I67" s="4">
        <f t="shared" si="3"/>
        <v>0</v>
      </c>
      <c r="J67" t="s">
        <v>648</v>
      </c>
      <c r="K67" t="s">
        <v>655</v>
      </c>
      <c r="L67" t="s">
        <v>692</v>
      </c>
      <c r="M67" t="s">
        <v>702</v>
      </c>
      <c r="N67" t="s">
        <v>707</v>
      </c>
      <c r="O67" t="s">
        <v>719</v>
      </c>
      <c r="P67" t="s">
        <v>730</v>
      </c>
      <c r="Q67" t="str" cm="1">
        <f t="array" ref="Q67">_xlfn.IFS(U67&lt;=_xlfn.QUARTILE.INC($U$2:$U698,1),"Low",B67&lt;=_xlfn.QUARTILE.INC($U$2:$U$633,2),"Medium",TRUE,"High")</f>
        <v>High</v>
      </c>
      <c r="R67" t="s">
        <v>799</v>
      </c>
      <c r="S67" s="4">
        <v>1303.1099999999999</v>
      </c>
      <c r="T67">
        <v>1145.67</v>
      </c>
      <c r="U67">
        <v>1145.67</v>
      </c>
      <c r="V67" s="7">
        <v>0.184</v>
      </c>
      <c r="W67" s="7">
        <v>0.184</v>
      </c>
      <c r="X67" s="7" t="str">
        <f t="shared" ref="X67:X130" si="6">IF(V67&gt;0.2, "High discount","okay")</f>
        <v>okay</v>
      </c>
      <c r="Y67" s="9">
        <v>13</v>
      </c>
      <c r="Z67">
        <v>12153.267360000002</v>
      </c>
      <c r="AA67">
        <v>16940.43</v>
      </c>
      <c r="AB67">
        <v>-4787.1626399999986</v>
      </c>
      <c r="AC67">
        <v>-0.39389922875851208</v>
      </c>
    </row>
    <row r="68" spans="1:29" x14ac:dyDescent="0.3">
      <c r="A68" t="s">
        <v>81</v>
      </c>
      <c r="B68" s="3">
        <v>45004</v>
      </c>
      <c r="C68" s="3" t="str">
        <v>Mar-2023</v>
      </c>
      <c r="D68" s="11" t="str">
        <f t="shared" si="4"/>
        <v>Q1-2023</v>
      </c>
      <c r="E68" s="3">
        <v>45025</v>
      </c>
      <c r="F68" s="3">
        <v>45004</v>
      </c>
      <c r="G68" s="4">
        <f t="shared" si="5"/>
        <v>21</v>
      </c>
      <c r="H68" s="4" t="str">
        <v>delayed</v>
      </c>
      <c r="I68" s="4">
        <f t="shared" si="3"/>
        <v>0</v>
      </c>
      <c r="J68" t="s">
        <v>649</v>
      </c>
      <c r="K68" t="s">
        <v>658</v>
      </c>
      <c r="L68" t="s">
        <v>693</v>
      </c>
      <c r="M68" t="s">
        <v>704</v>
      </c>
      <c r="N68" t="s">
        <v>707</v>
      </c>
      <c r="O68" t="s">
        <v>716</v>
      </c>
      <c r="P68" t="s">
        <v>733</v>
      </c>
      <c r="Q68" t="str" cm="1">
        <f t="array" ref="Q68">_xlfn.IFS(U68&lt;=_xlfn.QUARTILE.INC($U$2:$U699,1),"Low",B68&lt;=_xlfn.QUARTILE.INC($U$2:$U$633,2),"Medium",TRUE,"High")</f>
        <v>High</v>
      </c>
      <c r="R68" t="s">
        <v>800</v>
      </c>
      <c r="S68" s="4">
        <v>1082.17</v>
      </c>
      <c r="T68">
        <v>1234.0999999999999</v>
      </c>
      <c r="U68">
        <v>1234.0999999999999</v>
      </c>
      <c r="V68" s="7">
        <v>0.189</v>
      </c>
      <c r="W68" s="7">
        <v>0.189</v>
      </c>
      <c r="X68" s="7" t="str">
        <f t="shared" si="6"/>
        <v>okay</v>
      </c>
      <c r="Y68" s="9">
        <v>16</v>
      </c>
      <c r="Z68">
        <v>16013.681599999998</v>
      </c>
      <c r="AA68">
        <v>17314.72</v>
      </c>
      <c r="AB68">
        <v>-1301.0384000000031</v>
      </c>
      <c r="AC68">
        <v>-8.124542703534228E-2</v>
      </c>
    </row>
    <row r="69" spans="1:29" x14ac:dyDescent="0.3">
      <c r="A69" t="s">
        <v>82</v>
      </c>
      <c r="B69" s="3">
        <v>45434</v>
      </c>
      <c r="C69" s="3" t="str">
        <v>May-2024</v>
      </c>
      <c r="D69" s="11" t="str">
        <f t="shared" si="4"/>
        <v>Q2-2024</v>
      </c>
      <c r="E69" s="3">
        <v>45449</v>
      </c>
      <c r="F69" s="3">
        <v>45434</v>
      </c>
      <c r="G69" s="4">
        <f t="shared" si="5"/>
        <v>15</v>
      </c>
      <c r="H69" s="4" t="str">
        <v>delayed</v>
      </c>
      <c r="I69" s="4">
        <f t="shared" si="3"/>
        <v>0</v>
      </c>
      <c r="J69" t="s">
        <v>647</v>
      </c>
      <c r="K69" t="s">
        <v>652</v>
      </c>
      <c r="L69" t="s">
        <v>694</v>
      </c>
      <c r="M69" t="s">
        <v>701</v>
      </c>
      <c r="N69" t="s">
        <v>710</v>
      </c>
      <c r="O69" t="s">
        <v>712</v>
      </c>
      <c r="P69" t="s">
        <v>732</v>
      </c>
      <c r="Q69" t="str" cm="1">
        <f t="array" ref="Q69">_xlfn.IFS(U69&lt;=_xlfn.QUARTILE.INC($U$2:$U700,1),"Low",B69&lt;=_xlfn.QUARTILE.INC($U$2:$U$633,2),"Medium",TRUE,"High")</f>
        <v>High</v>
      </c>
      <c r="R69" t="s">
        <v>801</v>
      </c>
      <c r="S69" s="4">
        <v>673.88</v>
      </c>
      <c r="T69">
        <v>1228.01</v>
      </c>
      <c r="U69">
        <v>1228.01</v>
      </c>
      <c r="V69" s="7">
        <v>0.105</v>
      </c>
      <c r="W69" s="7">
        <v>0.105</v>
      </c>
      <c r="X69" s="7" t="str">
        <f t="shared" si="6"/>
        <v>okay</v>
      </c>
      <c r="Y69" s="9">
        <v>13</v>
      </c>
      <c r="Z69">
        <v>14287.896349999999</v>
      </c>
      <c r="AA69">
        <v>8760.44</v>
      </c>
      <c r="AB69">
        <v>5527.4563499999986</v>
      </c>
      <c r="AC69">
        <v>0.38686285332689996</v>
      </c>
    </row>
    <row r="70" spans="1:29" x14ac:dyDescent="0.3">
      <c r="A70" t="s">
        <v>83</v>
      </c>
      <c r="B70" s="3">
        <v>45157</v>
      </c>
      <c r="C70" s="3" t="str">
        <v>Aug-2023</v>
      </c>
      <c r="D70" s="11" t="str">
        <f t="shared" si="4"/>
        <v>Q3-2023</v>
      </c>
      <c r="E70" s="3">
        <v>45176</v>
      </c>
      <c r="F70" s="3">
        <v>45157</v>
      </c>
      <c r="G70" s="4">
        <f t="shared" si="5"/>
        <v>19</v>
      </c>
      <c r="H70" s="4" t="str">
        <v>delayed</v>
      </c>
      <c r="I70" s="4">
        <f t="shared" si="3"/>
        <v>0</v>
      </c>
      <c r="J70" t="s">
        <v>646</v>
      </c>
      <c r="K70" t="s">
        <v>661</v>
      </c>
      <c r="L70" t="s">
        <v>682</v>
      </c>
      <c r="M70" t="s">
        <v>706</v>
      </c>
      <c r="N70" t="s">
        <v>707</v>
      </c>
      <c r="O70" t="s">
        <v>726</v>
      </c>
      <c r="P70" t="s">
        <v>732</v>
      </c>
      <c r="Q70" t="str" cm="1">
        <f t="array" ref="Q70">_xlfn.IFS(U70&lt;=_xlfn.QUARTILE.INC($U$2:$U701,1),"Low",B70&lt;=_xlfn.QUARTILE.INC($U$2:$U$633,2),"Medium",TRUE,"High")</f>
        <v>Low</v>
      </c>
      <c r="R70" t="s">
        <v>802</v>
      </c>
      <c r="S70" s="4">
        <v>494.61</v>
      </c>
      <c r="T70">
        <v>605.23</v>
      </c>
      <c r="U70">
        <v>605.23</v>
      </c>
      <c r="V70" s="7">
        <v>0.20399999999999999</v>
      </c>
      <c r="W70" s="7">
        <v>0.20399999999999999</v>
      </c>
      <c r="X70" s="7" t="str">
        <f t="shared" si="6"/>
        <v>High discount</v>
      </c>
      <c r="Y70" s="9">
        <v>18</v>
      </c>
      <c r="Z70">
        <v>8671.7354400000004</v>
      </c>
      <c r="AA70">
        <v>8902.98</v>
      </c>
      <c r="AB70">
        <v>-231.24455999999918</v>
      </c>
      <c r="AC70">
        <v>-2.6666468505639647E-2</v>
      </c>
    </row>
    <row r="71" spans="1:29" x14ac:dyDescent="0.3">
      <c r="A71" t="s">
        <v>84</v>
      </c>
      <c r="B71" s="3">
        <v>45037</v>
      </c>
      <c r="C71" s="3" t="str">
        <v>Apr-2023</v>
      </c>
      <c r="D71" s="11" t="str">
        <f t="shared" si="4"/>
        <v>Q2-2023</v>
      </c>
      <c r="E71" s="3">
        <v>45056</v>
      </c>
      <c r="F71" s="3">
        <v>45037</v>
      </c>
      <c r="G71" s="4">
        <f t="shared" si="5"/>
        <v>19</v>
      </c>
      <c r="H71" s="4" t="str">
        <v>delayed</v>
      </c>
      <c r="I71" s="4">
        <f t="shared" si="3"/>
        <v>0</v>
      </c>
      <c r="J71" t="s">
        <v>647</v>
      </c>
      <c r="K71" t="s">
        <v>659</v>
      </c>
      <c r="L71" t="s">
        <v>685</v>
      </c>
      <c r="M71" t="s">
        <v>701</v>
      </c>
      <c r="N71" t="s">
        <v>707</v>
      </c>
      <c r="O71" t="s">
        <v>720</v>
      </c>
      <c r="P71" t="s">
        <v>727</v>
      </c>
      <c r="Q71" t="str" cm="1">
        <f t="array" ref="Q71">_xlfn.IFS(U71&lt;=_xlfn.QUARTILE.INC($U$2:$U702,1),"Low",B71&lt;=_xlfn.QUARTILE.INC($U$2:$U$633,2),"Medium",TRUE,"High")</f>
        <v>High</v>
      </c>
      <c r="R71" t="s">
        <v>803</v>
      </c>
      <c r="S71" s="4">
        <v>882.33</v>
      </c>
      <c r="T71">
        <v>1880.15</v>
      </c>
      <c r="U71">
        <v>1880.15</v>
      </c>
      <c r="V71" s="7">
        <v>0.05</v>
      </c>
      <c r="W71" s="7">
        <v>0.05</v>
      </c>
      <c r="X71" s="7" t="str">
        <f t="shared" si="6"/>
        <v>okay</v>
      </c>
      <c r="Y71" s="9">
        <v>5</v>
      </c>
      <c r="Z71">
        <v>8930.7124999999996</v>
      </c>
      <c r="AA71">
        <v>4411.6500000000005</v>
      </c>
      <c r="AB71">
        <v>4519.0624999999991</v>
      </c>
      <c r="AC71">
        <v>0.50601365792482955</v>
      </c>
    </row>
    <row r="72" spans="1:29" x14ac:dyDescent="0.3">
      <c r="A72" t="s">
        <v>85</v>
      </c>
      <c r="B72" s="3">
        <v>45369</v>
      </c>
      <c r="C72" s="3" t="str">
        <v>Mar-2024</v>
      </c>
      <c r="D72" s="11" t="str">
        <f t="shared" si="4"/>
        <v>Q1-2024</v>
      </c>
      <c r="E72" s="3">
        <v>45372</v>
      </c>
      <c r="F72" s="3">
        <v>45369</v>
      </c>
      <c r="G72" s="4">
        <f t="shared" si="5"/>
        <v>3</v>
      </c>
      <c r="H72" s="4" t="str">
        <v>ontime</v>
      </c>
      <c r="I72" s="4">
        <f t="shared" ref="I72:I135" si="7">IF(G72&lt;=7,1,0)</f>
        <v>1</v>
      </c>
      <c r="J72" t="s">
        <v>649</v>
      </c>
      <c r="K72" t="s">
        <v>656</v>
      </c>
      <c r="L72" t="s">
        <v>684</v>
      </c>
      <c r="M72" t="s">
        <v>705</v>
      </c>
      <c r="N72" t="s">
        <v>708</v>
      </c>
      <c r="O72" t="s">
        <v>724</v>
      </c>
      <c r="P72" t="s">
        <v>733</v>
      </c>
      <c r="Q72" t="str" cm="1">
        <f t="array" ref="Q72">_xlfn.IFS(U72&lt;=_xlfn.QUARTILE.INC($U$2:$U703,1),"Low",B72&lt;=_xlfn.QUARTILE.INC($U$2:$U$633,2),"Medium",TRUE,"High")</f>
        <v>High</v>
      </c>
      <c r="R72" t="s">
        <v>804</v>
      </c>
      <c r="S72" s="4">
        <v>910.63</v>
      </c>
      <c r="T72">
        <v>1269.4000000000001</v>
      </c>
      <c r="U72">
        <v>1269.4000000000001</v>
      </c>
      <c r="V72" s="7">
        <v>6.8000000000000005E-2</v>
      </c>
      <c r="W72" s="7">
        <v>6.8000000000000005E-2</v>
      </c>
      <c r="X72" s="7" t="str">
        <f t="shared" si="6"/>
        <v>okay</v>
      </c>
      <c r="Y72" s="9">
        <v>9</v>
      </c>
      <c r="Z72">
        <v>10647.727199999999</v>
      </c>
      <c r="AA72">
        <v>8195.67</v>
      </c>
      <c r="AB72">
        <v>2452.0571999999993</v>
      </c>
      <c r="AC72">
        <v>0.23028925834989455</v>
      </c>
    </row>
    <row r="73" spans="1:29" x14ac:dyDescent="0.3">
      <c r="A73" t="s">
        <v>86</v>
      </c>
      <c r="B73" s="3">
        <v>45756</v>
      </c>
      <c r="C73" s="3" t="str">
        <v>Apr-2025</v>
      </c>
      <c r="D73" s="11" t="str">
        <f t="shared" si="4"/>
        <v>Q2-2025</v>
      </c>
      <c r="E73" s="3">
        <v>45783</v>
      </c>
      <c r="F73" s="3">
        <v>45756</v>
      </c>
      <c r="G73" s="4">
        <f t="shared" si="5"/>
        <v>27</v>
      </c>
      <c r="H73" s="4" t="str">
        <v>delayed</v>
      </c>
      <c r="I73" s="4">
        <f t="shared" si="7"/>
        <v>0</v>
      </c>
      <c r="J73" t="s">
        <v>648</v>
      </c>
      <c r="K73" t="s">
        <v>655</v>
      </c>
      <c r="L73" t="s">
        <v>672</v>
      </c>
      <c r="M73" t="s">
        <v>706</v>
      </c>
      <c r="N73" t="s">
        <v>709</v>
      </c>
      <c r="O73" t="s">
        <v>721</v>
      </c>
      <c r="P73" t="s">
        <v>731</v>
      </c>
      <c r="Q73" t="str" cm="1">
        <f t="array" ref="Q73">_xlfn.IFS(U73&lt;=_xlfn.QUARTILE.INC($U$2:$U704,1),"Low",B73&lt;=_xlfn.QUARTILE.INC($U$2:$U$633,2),"Medium",TRUE,"High")</f>
        <v>High</v>
      </c>
      <c r="R73" t="s">
        <v>805</v>
      </c>
      <c r="S73" s="4">
        <v>264.19</v>
      </c>
      <c r="T73">
        <v>620.92999999999995</v>
      </c>
      <c r="U73">
        <v>620.92999999999995</v>
      </c>
      <c r="V73" s="7">
        <v>0.14199999999999999</v>
      </c>
      <c r="W73" s="7">
        <v>0.14199999999999999</v>
      </c>
      <c r="X73" s="7" t="str">
        <f t="shared" si="6"/>
        <v>okay</v>
      </c>
      <c r="Y73" s="9">
        <v>12</v>
      </c>
      <c r="Z73">
        <v>6393.0952799999995</v>
      </c>
      <c r="AA73">
        <v>3170.2799999999997</v>
      </c>
      <c r="AB73">
        <v>3222.8152799999998</v>
      </c>
      <c r="AC73">
        <v>0.50410875152794532</v>
      </c>
    </row>
    <row r="74" spans="1:29" x14ac:dyDescent="0.3">
      <c r="A74" t="s">
        <v>87</v>
      </c>
      <c r="B74" s="3">
        <v>45394</v>
      </c>
      <c r="C74" s="3" t="str">
        <v>Apr-2024</v>
      </c>
      <c r="D74" s="11" t="str">
        <f t="shared" si="4"/>
        <v>Q2-2024</v>
      </c>
      <c r="E74" s="3">
        <v>45419</v>
      </c>
      <c r="F74" s="3">
        <v>45394</v>
      </c>
      <c r="G74" s="4">
        <f t="shared" si="5"/>
        <v>25</v>
      </c>
      <c r="H74" s="4" t="str">
        <v>delayed</v>
      </c>
      <c r="I74" s="4">
        <f t="shared" si="7"/>
        <v>0</v>
      </c>
      <c r="J74" t="s">
        <v>646</v>
      </c>
      <c r="K74" t="s">
        <v>661</v>
      </c>
      <c r="L74" t="s">
        <v>682</v>
      </c>
      <c r="M74" t="s">
        <v>702</v>
      </c>
      <c r="N74" t="s">
        <v>710</v>
      </c>
      <c r="O74" t="s">
        <v>720</v>
      </c>
      <c r="P74" t="s">
        <v>731</v>
      </c>
      <c r="Q74" t="str" cm="1">
        <f t="array" ref="Q74">_xlfn.IFS(U74&lt;=_xlfn.QUARTILE.INC($U$2:$U705,1),"Low",B74&lt;=_xlfn.QUARTILE.INC($U$2:$U$633,2),"Medium",TRUE,"High")</f>
        <v>High</v>
      </c>
      <c r="R74" t="s">
        <v>806</v>
      </c>
      <c r="S74" s="4">
        <v>1376.51</v>
      </c>
      <c r="T74">
        <v>1455.91</v>
      </c>
      <c r="U74">
        <v>1455.91</v>
      </c>
      <c r="V74" s="7">
        <v>0.185</v>
      </c>
      <c r="W74" s="7">
        <v>0.185</v>
      </c>
      <c r="X74" s="7" t="str">
        <f t="shared" si="6"/>
        <v>okay</v>
      </c>
      <c r="Y74" s="9">
        <v>17</v>
      </c>
      <c r="Z74">
        <v>20171.63305</v>
      </c>
      <c r="AA74">
        <v>23400.67</v>
      </c>
      <c r="AB74">
        <v>-3229.0369499999979</v>
      </c>
      <c r="AC74">
        <v>-0.1600781127634085</v>
      </c>
    </row>
    <row r="75" spans="1:29" x14ac:dyDescent="0.3">
      <c r="A75" t="s">
        <v>88</v>
      </c>
      <c r="B75" s="3">
        <v>45641</v>
      </c>
      <c r="C75" s="3" t="str">
        <v>Dec-2024</v>
      </c>
      <c r="D75" s="11" t="str">
        <f t="shared" si="4"/>
        <v>Q4-2024</v>
      </c>
      <c r="E75" s="3">
        <v>45646</v>
      </c>
      <c r="F75" s="3">
        <v>45641</v>
      </c>
      <c r="G75" s="4">
        <f t="shared" si="5"/>
        <v>5</v>
      </c>
      <c r="H75" s="4" t="str">
        <v>ontime</v>
      </c>
      <c r="I75" s="4">
        <f t="shared" si="7"/>
        <v>1</v>
      </c>
      <c r="J75" t="s">
        <v>647</v>
      </c>
      <c r="K75" t="s">
        <v>659</v>
      </c>
      <c r="L75" t="s">
        <v>676</v>
      </c>
      <c r="M75" t="s">
        <v>705</v>
      </c>
      <c r="N75" t="s">
        <v>711</v>
      </c>
      <c r="O75" t="s">
        <v>713</v>
      </c>
      <c r="P75" t="s">
        <v>729</v>
      </c>
      <c r="Q75" t="str" cm="1">
        <f t="array" ref="Q75">_xlfn.IFS(U75&lt;=_xlfn.QUARTILE.INC($U$2:$U706,1),"Low",B75&lt;=_xlfn.QUARTILE.INC($U$2:$U$633,2),"Medium",TRUE,"High")</f>
        <v>Low</v>
      </c>
      <c r="R75" t="s">
        <v>807</v>
      </c>
      <c r="S75" s="4">
        <v>717.55</v>
      </c>
      <c r="T75">
        <v>546.42999999999995</v>
      </c>
      <c r="U75">
        <v>546.42999999999995</v>
      </c>
      <c r="V75" s="7">
        <v>4.7E-2</v>
      </c>
      <c r="W75" s="7">
        <v>4.7E-2</v>
      </c>
      <c r="X75" s="7" t="str">
        <f t="shared" si="6"/>
        <v>okay</v>
      </c>
      <c r="Y75" s="9">
        <v>18</v>
      </c>
      <c r="Z75">
        <v>9373.460219999999</v>
      </c>
      <c r="AA75">
        <v>12915.9</v>
      </c>
      <c r="AB75">
        <v>-3542.4397800000006</v>
      </c>
      <c r="AC75">
        <v>-0.37792231437026369</v>
      </c>
    </row>
    <row r="76" spans="1:29" x14ac:dyDescent="0.3">
      <c r="A76" t="s">
        <v>89</v>
      </c>
      <c r="B76" s="3">
        <v>45066</v>
      </c>
      <c r="C76" s="3" t="str">
        <v>May-2023</v>
      </c>
      <c r="D76" s="11" t="str">
        <f t="shared" si="4"/>
        <v>Q2-2023</v>
      </c>
      <c r="E76" s="3">
        <v>45064</v>
      </c>
      <c r="F76" s="3">
        <v>45073</v>
      </c>
      <c r="G76" s="4">
        <f t="shared" si="5"/>
        <v>-9</v>
      </c>
      <c r="H76" s="4" t="str">
        <v>ontime</v>
      </c>
      <c r="I76" s="4">
        <f t="shared" si="7"/>
        <v>1</v>
      </c>
      <c r="J76" t="s">
        <v>646</v>
      </c>
      <c r="K76" t="s">
        <v>661</v>
      </c>
      <c r="L76" t="s">
        <v>687</v>
      </c>
      <c r="M76" t="s">
        <v>701</v>
      </c>
      <c r="N76" t="s">
        <v>710</v>
      </c>
      <c r="O76" t="s">
        <v>720</v>
      </c>
      <c r="P76" t="s">
        <v>727</v>
      </c>
      <c r="Q76" t="str" cm="1">
        <f t="array" ref="Q76">_xlfn.IFS(U76&lt;=_xlfn.QUARTILE.INC($U$2:$U707,1),"Low",B76&lt;=_xlfn.QUARTILE.INC($U$2:$U$633,2),"Medium",TRUE,"High")</f>
        <v>High</v>
      </c>
      <c r="R76" t="s">
        <v>808</v>
      </c>
      <c r="S76" s="4">
        <v>917.88</v>
      </c>
      <c r="T76">
        <v>1347.92</v>
      </c>
      <c r="U76">
        <v>1347.92</v>
      </c>
      <c r="V76" s="7">
        <v>0.34300000000000003</v>
      </c>
      <c r="W76" s="7">
        <v>0.34300000000000003</v>
      </c>
      <c r="X76" s="7" t="str">
        <f t="shared" si="6"/>
        <v>High discount</v>
      </c>
      <c r="Y76" s="9">
        <v>5</v>
      </c>
      <c r="Z76">
        <v>4427.9172000000008</v>
      </c>
      <c r="AA76">
        <v>4589.3999999999996</v>
      </c>
      <c r="AB76">
        <v>-161.48279999999886</v>
      </c>
      <c r="AC76">
        <v>-3.6469245630880096E-2</v>
      </c>
    </row>
    <row r="77" spans="1:29" x14ac:dyDescent="0.3">
      <c r="A77" t="s">
        <v>90</v>
      </c>
      <c r="B77" s="3">
        <v>45187</v>
      </c>
      <c r="C77" s="3" t="str">
        <v>Sep-2023</v>
      </c>
      <c r="D77" s="11" t="str">
        <f t="shared" si="4"/>
        <v>Q3-2023</v>
      </c>
      <c r="E77" s="3">
        <v>45207</v>
      </c>
      <c r="F77" s="3">
        <v>45187</v>
      </c>
      <c r="G77" s="4">
        <f t="shared" si="5"/>
        <v>20</v>
      </c>
      <c r="H77" s="4" t="str">
        <v>delayed</v>
      </c>
      <c r="I77" s="4">
        <f t="shared" si="7"/>
        <v>0</v>
      </c>
      <c r="J77" t="s">
        <v>647</v>
      </c>
      <c r="K77" t="s">
        <v>654</v>
      </c>
      <c r="L77" t="s">
        <v>680</v>
      </c>
      <c r="M77" t="s">
        <v>705</v>
      </c>
      <c r="N77" t="s">
        <v>711</v>
      </c>
      <c r="O77" t="s">
        <v>717</v>
      </c>
      <c r="P77" t="s">
        <v>727</v>
      </c>
      <c r="Q77" t="str" cm="1">
        <f t="array" ref="Q77">_xlfn.IFS(U77&lt;=_xlfn.QUARTILE.INC($U$2:$U708,1),"Low",B77&lt;=_xlfn.QUARTILE.INC($U$2:$U$633,2),"Medium",TRUE,"High")</f>
        <v>High</v>
      </c>
      <c r="R77" t="s">
        <v>809</v>
      </c>
      <c r="S77" s="4">
        <v>825.64</v>
      </c>
      <c r="T77">
        <v>1108.43</v>
      </c>
      <c r="U77">
        <v>1108.43</v>
      </c>
      <c r="V77" s="7">
        <v>0.114</v>
      </c>
      <c r="W77" s="7">
        <v>0.114</v>
      </c>
      <c r="X77" s="7" t="str">
        <f t="shared" si="6"/>
        <v>okay</v>
      </c>
      <c r="Y77" s="9">
        <v>7</v>
      </c>
      <c r="Z77">
        <v>6874.4828600000001</v>
      </c>
      <c r="AA77">
        <v>5779.48</v>
      </c>
      <c r="AB77">
        <v>1095.0028600000005</v>
      </c>
      <c r="AC77">
        <v>0.15928512475773349</v>
      </c>
    </row>
    <row r="78" spans="1:29" x14ac:dyDescent="0.3">
      <c r="A78" t="s">
        <v>91</v>
      </c>
      <c r="B78" s="3">
        <v>45532</v>
      </c>
      <c r="C78" s="3" t="str">
        <v>Aug-2024</v>
      </c>
      <c r="D78" s="11" t="str">
        <f t="shared" si="4"/>
        <v>Q3-2024</v>
      </c>
      <c r="E78" s="3">
        <v>45560</v>
      </c>
      <c r="F78" s="3">
        <v>45532</v>
      </c>
      <c r="G78" s="4">
        <f t="shared" si="5"/>
        <v>28</v>
      </c>
      <c r="H78" s="4" t="str">
        <v>delayed</v>
      </c>
      <c r="I78" s="4">
        <f t="shared" si="7"/>
        <v>0</v>
      </c>
      <c r="J78" t="s">
        <v>648</v>
      </c>
      <c r="K78" t="s">
        <v>655</v>
      </c>
      <c r="L78" t="s">
        <v>692</v>
      </c>
      <c r="M78" t="s">
        <v>703</v>
      </c>
      <c r="N78" t="s">
        <v>708</v>
      </c>
      <c r="O78" t="s">
        <v>1421</v>
      </c>
      <c r="P78" t="s">
        <v>733</v>
      </c>
      <c r="Q78" t="str" cm="1">
        <f t="array" ref="Q78">_xlfn.IFS(U78&lt;=_xlfn.QUARTILE.INC($U$2:$U709,1),"Low",B78&lt;=_xlfn.QUARTILE.INC($U$2:$U$633,2),"Medium",TRUE,"High")</f>
        <v>High</v>
      </c>
      <c r="R78" t="s">
        <v>810</v>
      </c>
      <c r="S78" s="4">
        <v>1394.65</v>
      </c>
      <c r="T78">
        <v>3144.1</v>
      </c>
      <c r="U78">
        <v>3144.1</v>
      </c>
      <c r="V78" s="7">
        <v>0.13400000000000001</v>
      </c>
      <c r="W78" s="7">
        <v>0.13400000000000001</v>
      </c>
      <c r="X78" s="7" t="str">
        <f t="shared" si="6"/>
        <v>okay</v>
      </c>
      <c r="Y78" s="9">
        <v>13</v>
      </c>
      <c r="Z78">
        <v>35396.277799999996</v>
      </c>
      <c r="AA78">
        <v>18130.45</v>
      </c>
      <c r="AB78">
        <v>17265.827799999995</v>
      </c>
      <c r="AC78">
        <v>0.4877865378263021</v>
      </c>
    </row>
    <row r="79" spans="1:29" x14ac:dyDescent="0.3">
      <c r="A79" t="s">
        <v>92</v>
      </c>
      <c r="B79" s="3">
        <v>45473</v>
      </c>
      <c r="C79" s="3" t="str">
        <v>Jun-2024</v>
      </c>
      <c r="D79" s="11" t="str">
        <f t="shared" si="4"/>
        <v>Q2-2024</v>
      </c>
      <c r="E79" s="3">
        <v>45471</v>
      </c>
      <c r="F79" s="3">
        <v>45480</v>
      </c>
      <c r="G79" s="4">
        <f t="shared" si="5"/>
        <v>-9</v>
      </c>
      <c r="H79" s="4" t="str">
        <v>ontime</v>
      </c>
      <c r="I79" s="4">
        <f t="shared" si="7"/>
        <v>1</v>
      </c>
      <c r="J79" t="s">
        <v>648</v>
      </c>
      <c r="K79" t="s">
        <v>655</v>
      </c>
      <c r="L79" t="s">
        <v>692</v>
      </c>
      <c r="M79" t="s">
        <v>705</v>
      </c>
      <c r="N79" t="s">
        <v>711</v>
      </c>
      <c r="O79" t="s">
        <v>716</v>
      </c>
      <c r="P79" t="s">
        <v>733</v>
      </c>
      <c r="Q79" t="str" cm="1">
        <f t="array" ref="Q79">_xlfn.IFS(U79&lt;=_xlfn.QUARTILE.INC($U$2:$U710,1),"Low",B79&lt;=_xlfn.QUARTILE.INC($U$2:$U$633,2),"Medium",TRUE,"High")</f>
        <v>High</v>
      </c>
      <c r="R79" t="s">
        <v>811</v>
      </c>
      <c r="S79" s="4">
        <v>1112.98</v>
      </c>
      <c r="T79">
        <v>2095.73</v>
      </c>
      <c r="U79">
        <v>2095.73</v>
      </c>
      <c r="V79" s="7">
        <v>7.1999999999999995E-2</v>
      </c>
      <c r="W79" s="7">
        <v>7.1999999999999995E-2</v>
      </c>
      <c r="X79" s="7" t="str">
        <f t="shared" si="6"/>
        <v>okay</v>
      </c>
      <c r="Y79" s="9">
        <v>17</v>
      </c>
      <c r="Z79">
        <v>33062.236480000007</v>
      </c>
      <c r="AA79">
        <v>18920.66</v>
      </c>
      <c r="AB79">
        <v>14141.576480000007</v>
      </c>
      <c r="AC79">
        <v>0.42772594916724777</v>
      </c>
    </row>
    <row r="80" spans="1:29" x14ac:dyDescent="0.3">
      <c r="A80" t="s">
        <v>93</v>
      </c>
      <c r="B80" s="3">
        <v>45091</v>
      </c>
      <c r="C80" s="3" t="str">
        <v>Jun-2023</v>
      </c>
      <c r="D80" s="11" t="str">
        <f t="shared" si="4"/>
        <v>Q2-2023</v>
      </c>
      <c r="E80" s="3">
        <v>45093</v>
      </c>
      <c r="F80" s="3">
        <v>45091</v>
      </c>
      <c r="G80" s="4">
        <f t="shared" si="5"/>
        <v>2</v>
      </c>
      <c r="H80" s="4" t="str">
        <v>ontime</v>
      </c>
      <c r="I80" s="4">
        <f t="shared" si="7"/>
        <v>1</v>
      </c>
      <c r="J80" t="s">
        <v>649</v>
      </c>
      <c r="K80" t="s">
        <v>658</v>
      </c>
      <c r="L80" t="s">
        <v>693</v>
      </c>
      <c r="M80" t="s">
        <v>703</v>
      </c>
      <c r="N80" t="s">
        <v>711</v>
      </c>
      <c r="O80" t="s">
        <v>723</v>
      </c>
      <c r="P80" t="s">
        <v>727</v>
      </c>
      <c r="Q80" t="str" cm="1">
        <f t="array" ref="Q80">_xlfn.IFS(U80&lt;=_xlfn.QUARTILE.INC($U$2:$U711,1),"Low",B80&lt;=_xlfn.QUARTILE.INC($U$2:$U$633,2),"Medium",TRUE,"High")</f>
        <v>High</v>
      </c>
      <c r="R80" t="s">
        <v>812</v>
      </c>
      <c r="S80" s="4">
        <v>357.36</v>
      </c>
      <c r="T80">
        <v>703.62</v>
      </c>
      <c r="U80">
        <v>703.62</v>
      </c>
      <c r="V80" s="7">
        <v>0.25700000000000001</v>
      </c>
      <c r="W80" s="7">
        <v>0.25700000000000001</v>
      </c>
      <c r="X80" s="7" t="str">
        <f t="shared" si="6"/>
        <v>High discount</v>
      </c>
      <c r="Y80" s="9">
        <v>20</v>
      </c>
      <c r="Z80">
        <v>10455.7932</v>
      </c>
      <c r="AA80">
        <v>7147.2000000000007</v>
      </c>
      <c r="AB80">
        <v>3308.5931999999993</v>
      </c>
      <c r="AC80">
        <v>0.31643636563125593</v>
      </c>
    </row>
    <row r="81" spans="1:29" x14ac:dyDescent="0.3">
      <c r="A81" t="s">
        <v>94</v>
      </c>
      <c r="B81" s="3">
        <v>45617</v>
      </c>
      <c r="C81" s="3" t="str">
        <v>Nov-2024</v>
      </c>
      <c r="D81" s="11" t="str">
        <f t="shared" si="4"/>
        <v>Q4-2024</v>
      </c>
      <c r="E81" s="3">
        <v>45647</v>
      </c>
      <c r="F81" s="3">
        <v>45617</v>
      </c>
      <c r="G81" s="4">
        <f t="shared" si="5"/>
        <v>30</v>
      </c>
      <c r="H81" s="4" t="str">
        <v>delayed</v>
      </c>
      <c r="I81" s="4">
        <f t="shared" si="7"/>
        <v>0</v>
      </c>
      <c r="J81" t="s">
        <v>649</v>
      </c>
      <c r="K81" t="s">
        <v>657</v>
      </c>
      <c r="L81" t="s">
        <v>673</v>
      </c>
      <c r="M81" t="s">
        <v>705</v>
      </c>
      <c r="N81" t="s">
        <v>711</v>
      </c>
      <c r="O81" t="s">
        <v>714</v>
      </c>
      <c r="P81" t="s">
        <v>732</v>
      </c>
      <c r="Q81" t="str" cm="1">
        <f t="array" ref="Q81">_xlfn.IFS(U81&lt;=_xlfn.QUARTILE.INC($U$2:$U712,1),"Low",B81&lt;=_xlfn.QUARTILE.INC($U$2:$U$633,2),"Medium",TRUE,"High")</f>
        <v>High</v>
      </c>
      <c r="R81" t="s">
        <v>813</v>
      </c>
      <c r="S81" s="4">
        <v>1122.68</v>
      </c>
      <c r="T81">
        <v>1997.19</v>
      </c>
      <c r="U81">
        <v>1997.19</v>
      </c>
      <c r="V81" s="7">
        <v>0.186</v>
      </c>
      <c r="W81" s="7">
        <v>0.186</v>
      </c>
      <c r="X81" s="7" t="str">
        <f t="shared" si="6"/>
        <v>okay</v>
      </c>
      <c r="Y81" s="9">
        <v>3</v>
      </c>
      <c r="Z81">
        <v>4877.1379800000004</v>
      </c>
      <c r="AA81">
        <v>3368.04</v>
      </c>
      <c r="AB81">
        <v>1509.0979800000005</v>
      </c>
      <c r="AC81">
        <v>0.30942285951073306</v>
      </c>
    </row>
    <row r="82" spans="1:29" x14ac:dyDescent="0.3">
      <c r="A82" t="s">
        <v>95</v>
      </c>
      <c r="B82" s="3">
        <v>44965</v>
      </c>
      <c r="C82" s="3" t="str">
        <v>Feb-2023</v>
      </c>
      <c r="D82" s="11" t="str">
        <f t="shared" si="4"/>
        <v>Q1-2023</v>
      </c>
      <c r="E82" s="3">
        <v>44968</v>
      </c>
      <c r="F82" s="3">
        <v>44965</v>
      </c>
      <c r="G82" s="4">
        <f t="shared" si="5"/>
        <v>3</v>
      </c>
      <c r="H82" s="4" t="str">
        <v>ontime</v>
      </c>
      <c r="I82" s="4">
        <f t="shared" si="7"/>
        <v>1</v>
      </c>
      <c r="J82" t="s">
        <v>646</v>
      </c>
      <c r="K82" t="s">
        <v>661</v>
      </c>
      <c r="L82" t="s">
        <v>695</v>
      </c>
      <c r="M82" t="s">
        <v>701</v>
      </c>
      <c r="N82" t="s">
        <v>711</v>
      </c>
      <c r="O82" t="s">
        <v>724</v>
      </c>
      <c r="P82" t="s">
        <v>729</v>
      </c>
      <c r="Q82" t="str" cm="1">
        <f t="array" ref="Q82">_xlfn.IFS(U82&lt;=_xlfn.QUARTILE.INC($U$2:$U713,1),"Low",B82&lt;=_xlfn.QUARTILE.INC($U$2:$U$633,2),"Medium",TRUE,"High")</f>
        <v>High</v>
      </c>
      <c r="R82" t="s">
        <v>814</v>
      </c>
      <c r="S82" s="4">
        <v>1410.05</v>
      </c>
      <c r="T82">
        <v>2763.95</v>
      </c>
      <c r="U82">
        <v>2763.95</v>
      </c>
      <c r="V82" s="7">
        <v>0.161</v>
      </c>
      <c r="W82" s="7">
        <v>0.161</v>
      </c>
      <c r="X82" s="7" t="str">
        <f t="shared" si="6"/>
        <v>okay</v>
      </c>
      <c r="Y82" s="9">
        <v>26</v>
      </c>
      <c r="Z82">
        <v>60292.805299999993</v>
      </c>
      <c r="AA82">
        <v>36661.299999999996</v>
      </c>
      <c r="AB82">
        <v>23631.505299999997</v>
      </c>
      <c r="AC82">
        <v>0.39194569206750779</v>
      </c>
    </row>
    <row r="83" spans="1:29" x14ac:dyDescent="0.3">
      <c r="A83" t="s">
        <v>96</v>
      </c>
      <c r="B83" s="3">
        <v>45157</v>
      </c>
      <c r="C83" s="3" t="str">
        <v>Aug-2023</v>
      </c>
      <c r="D83" s="11" t="str">
        <f t="shared" si="4"/>
        <v>Q3-2023</v>
      </c>
      <c r="E83" s="3">
        <v>45181</v>
      </c>
      <c r="F83" s="3">
        <v>45157</v>
      </c>
      <c r="G83" s="4">
        <f t="shared" si="5"/>
        <v>24</v>
      </c>
      <c r="H83" s="4" t="str">
        <v>delayed</v>
      </c>
      <c r="I83" s="4">
        <f t="shared" si="7"/>
        <v>0</v>
      </c>
      <c r="J83" t="s">
        <v>648</v>
      </c>
      <c r="K83" t="s">
        <v>653</v>
      </c>
      <c r="L83" t="s">
        <v>688</v>
      </c>
      <c r="M83" t="s">
        <v>706</v>
      </c>
      <c r="N83" t="s">
        <v>707</v>
      </c>
      <c r="O83" t="s">
        <v>714</v>
      </c>
      <c r="P83" t="s">
        <v>728</v>
      </c>
      <c r="Q83" t="str" cm="1">
        <f t="array" ref="Q83">_xlfn.IFS(U83&lt;=_xlfn.QUARTILE.INC($U$2:$U714,1),"Low",B83&lt;=_xlfn.QUARTILE.INC($U$2:$U$633,2),"Medium",TRUE,"High")</f>
        <v>High</v>
      </c>
      <c r="R83" t="s">
        <v>815</v>
      </c>
      <c r="S83" s="4">
        <v>1183.95</v>
      </c>
      <c r="T83">
        <v>1503.53</v>
      </c>
      <c r="U83">
        <v>1503.53</v>
      </c>
      <c r="V83" s="7">
        <v>0.24099999999999999</v>
      </c>
      <c r="W83" s="7">
        <v>0.24099999999999999</v>
      </c>
      <c r="X83" s="7" t="str">
        <f t="shared" si="6"/>
        <v>High discount</v>
      </c>
      <c r="Y83" s="9">
        <v>16</v>
      </c>
      <c r="Z83">
        <v>18258.868320000001</v>
      </c>
      <c r="AA83">
        <v>18943.2</v>
      </c>
      <c r="AB83">
        <v>-684.33167999999932</v>
      </c>
      <c r="AC83">
        <v>-3.7479413729623705E-2</v>
      </c>
    </row>
    <row r="84" spans="1:29" x14ac:dyDescent="0.3">
      <c r="A84" t="s">
        <v>97</v>
      </c>
      <c r="B84" s="3">
        <v>45791</v>
      </c>
      <c r="C84" s="3" t="str">
        <v>May-2025</v>
      </c>
      <c r="D84" s="11" t="str">
        <f t="shared" si="4"/>
        <v>Q2-2025</v>
      </c>
      <c r="E84" s="3">
        <v>45801</v>
      </c>
      <c r="F84" s="3">
        <v>45791</v>
      </c>
      <c r="G84" s="4">
        <f t="shared" si="5"/>
        <v>10</v>
      </c>
      <c r="H84" s="4" t="str">
        <v>delayed</v>
      </c>
      <c r="I84" s="4">
        <f t="shared" si="7"/>
        <v>0</v>
      </c>
      <c r="J84" t="s">
        <v>649</v>
      </c>
      <c r="K84" t="s">
        <v>657</v>
      </c>
      <c r="L84" t="s">
        <v>690</v>
      </c>
      <c r="M84" t="s">
        <v>705</v>
      </c>
      <c r="N84" t="s">
        <v>709</v>
      </c>
      <c r="O84" t="s">
        <v>723</v>
      </c>
      <c r="P84" t="s">
        <v>727</v>
      </c>
      <c r="Q84" t="str" cm="1">
        <f t="array" ref="Q84">_xlfn.IFS(U84&lt;=_xlfn.QUARTILE.INC($U$2:$U715,1),"Low",B84&lt;=_xlfn.QUARTILE.INC($U$2:$U$633,2),"Medium",TRUE,"High")</f>
        <v>Low</v>
      </c>
      <c r="R84" t="s">
        <v>816</v>
      </c>
      <c r="S84" s="4">
        <v>170.39</v>
      </c>
      <c r="T84">
        <v>388.04</v>
      </c>
      <c r="U84">
        <v>388.04</v>
      </c>
      <c r="V84" s="7">
        <v>8.4000000000000005E-2</v>
      </c>
      <c r="W84" s="7">
        <v>8.4000000000000005E-2</v>
      </c>
      <c r="X84" s="7" t="str">
        <f t="shared" si="6"/>
        <v>okay</v>
      </c>
      <c r="Y84" s="9">
        <v>15</v>
      </c>
      <c r="Z84">
        <v>5331.6696000000002</v>
      </c>
      <c r="AA84">
        <v>2555.85</v>
      </c>
      <c r="AB84">
        <v>2775.8196000000003</v>
      </c>
      <c r="AC84">
        <v>0.52062858508711796</v>
      </c>
    </row>
    <row r="85" spans="1:29" x14ac:dyDescent="0.3">
      <c r="A85" t="s">
        <v>98</v>
      </c>
      <c r="B85" s="3">
        <v>45770</v>
      </c>
      <c r="C85" s="3" t="str">
        <v>Apr-2025</v>
      </c>
      <c r="D85" s="11" t="str">
        <f t="shared" si="4"/>
        <v>Q2-2025</v>
      </c>
      <c r="E85" s="3">
        <v>45769</v>
      </c>
      <c r="F85" s="3">
        <v>45777</v>
      </c>
      <c r="G85" s="4">
        <f t="shared" si="5"/>
        <v>-8</v>
      </c>
      <c r="H85" s="4" t="str">
        <v>ontime</v>
      </c>
      <c r="I85" s="4">
        <f t="shared" si="7"/>
        <v>1</v>
      </c>
      <c r="J85" t="s">
        <v>648</v>
      </c>
      <c r="K85" t="s">
        <v>660</v>
      </c>
      <c r="L85" t="s">
        <v>686</v>
      </c>
      <c r="M85" t="s">
        <v>703</v>
      </c>
      <c r="N85" t="s">
        <v>710</v>
      </c>
      <c r="O85" t="s">
        <v>726</v>
      </c>
      <c r="P85" t="s">
        <v>732</v>
      </c>
      <c r="Q85" t="str" cm="1">
        <f t="array" ref="Q85">_xlfn.IFS(U85&lt;=_xlfn.QUARTILE.INC($U$2:$U716,1),"Low",B85&lt;=_xlfn.QUARTILE.INC($U$2:$U$633,2),"Medium",TRUE,"High")</f>
        <v>Low</v>
      </c>
      <c r="R85" t="s">
        <v>817</v>
      </c>
      <c r="S85" s="4">
        <v>23.24</v>
      </c>
      <c r="T85">
        <v>44.57</v>
      </c>
      <c r="U85">
        <v>44.57</v>
      </c>
      <c r="V85" s="7">
        <v>0.215</v>
      </c>
      <c r="W85" s="7">
        <v>0.215</v>
      </c>
      <c r="X85" s="7" t="str">
        <f t="shared" si="6"/>
        <v>High discount</v>
      </c>
      <c r="Y85" s="9">
        <v>15</v>
      </c>
      <c r="Z85">
        <v>524.81174999999996</v>
      </c>
      <c r="AA85">
        <v>348.59999999999997</v>
      </c>
      <c r="AB85">
        <v>176.21174999999999</v>
      </c>
      <c r="AC85">
        <v>0.33576182316802167</v>
      </c>
    </row>
    <row r="86" spans="1:29" x14ac:dyDescent="0.3">
      <c r="A86" t="s">
        <v>99</v>
      </c>
      <c r="B86" s="3">
        <v>45741</v>
      </c>
      <c r="C86" s="3" t="str">
        <v>Mar-2025</v>
      </c>
      <c r="D86" s="11" t="str">
        <f t="shared" si="4"/>
        <v>Q1-2025</v>
      </c>
      <c r="E86" s="3">
        <v>45764</v>
      </c>
      <c r="F86" s="3">
        <v>45741</v>
      </c>
      <c r="G86" s="4">
        <f t="shared" si="5"/>
        <v>23</v>
      </c>
      <c r="H86" s="4" t="str">
        <v>delayed</v>
      </c>
      <c r="I86" s="4">
        <f t="shared" si="7"/>
        <v>0</v>
      </c>
      <c r="J86" t="s">
        <v>649</v>
      </c>
      <c r="K86" t="s">
        <v>658</v>
      </c>
      <c r="L86" t="s">
        <v>683</v>
      </c>
      <c r="M86" t="s">
        <v>704</v>
      </c>
      <c r="N86" t="s">
        <v>707</v>
      </c>
      <c r="O86" t="s">
        <v>722</v>
      </c>
      <c r="P86" t="s">
        <v>729</v>
      </c>
      <c r="Q86" t="str" cm="1">
        <f t="array" ref="Q86">_xlfn.IFS(U86&lt;=_xlfn.QUARTILE.INC($U$2:$U717,1),"Low",B86&lt;=_xlfn.QUARTILE.INC($U$2:$U$633,2),"Medium",TRUE,"High")</f>
        <v>High</v>
      </c>
      <c r="R86" t="s">
        <v>818</v>
      </c>
      <c r="S86" s="4">
        <v>1421.19</v>
      </c>
      <c r="T86">
        <v>1808.26</v>
      </c>
      <c r="U86">
        <v>1808.26</v>
      </c>
      <c r="V86" s="7">
        <v>0.104</v>
      </c>
      <c r="W86" s="7">
        <v>0.104</v>
      </c>
      <c r="X86" s="7" t="str">
        <f t="shared" si="6"/>
        <v>okay</v>
      </c>
      <c r="Y86" s="9">
        <v>13</v>
      </c>
      <c r="Z86">
        <v>21062.61248</v>
      </c>
      <c r="AA86">
        <v>18475.47</v>
      </c>
      <c r="AB86">
        <v>2587.1424799999986</v>
      </c>
      <c r="AC86">
        <v>0.12283103449093123</v>
      </c>
    </row>
    <row r="87" spans="1:29" x14ac:dyDescent="0.3">
      <c r="A87" t="s">
        <v>100</v>
      </c>
      <c r="B87" s="3">
        <v>45282</v>
      </c>
      <c r="C87" s="3" t="str">
        <v>Dec-2023</v>
      </c>
      <c r="D87" s="11" t="str">
        <f t="shared" si="4"/>
        <v>Q4-2023</v>
      </c>
      <c r="E87" s="3">
        <v>45283</v>
      </c>
      <c r="F87" s="3">
        <v>45282</v>
      </c>
      <c r="G87" s="4">
        <f t="shared" si="5"/>
        <v>1</v>
      </c>
      <c r="H87" s="4" t="str">
        <v>ontime</v>
      </c>
      <c r="I87" s="4">
        <f t="shared" si="7"/>
        <v>1</v>
      </c>
      <c r="J87" t="s">
        <v>646</v>
      </c>
      <c r="K87" t="s">
        <v>661</v>
      </c>
      <c r="L87" t="s">
        <v>695</v>
      </c>
      <c r="M87" t="s">
        <v>703</v>
      </c>
      <c r="N87" t="s">
        <v>709</v>
      </c>
      <c r="O87" t="s">
        <v>726</v>
      </c>
      <c r="P87" t="s">
        <v>727</v>
      </c>
      <c r="Q87" t="str" cm="1">
        <f t="array" ref="Q87">_xlfn.IFS(U87&lt;=_xlfn.QUARTILE.INC($U$2:$U718,1),"Low",B87&lt;=_xlfn.QUARTILE.INC($U$2:$U$633,2),"Medium",TRUE,"High")</f>
        <v>High</v>
      </c>
      <c r="R87" t="s">
        <v>819</v>
      </c>
      <c r="S87" s="4">
        <v>1186.18</v>
      </c>
      <c r="T87">
        <v>1285.0899999999999</v>
      </c>
      <c r="U87">
        <v>1285.0899999999999</v>
      </c>
      <c r="V87" s="7">
        <v>7.0000000000000007E-2</v>
      </c>
      <c r="W87" s="7">
        <v>7.0000000000000007E-2</v>
      </c>
      <c r="X87" s="7" t="str">
        <f t="shared" si="6"/>
        <v>okay</v>
      </c>
      <c r="Y87" s="9">
        <v>11</v>
      </c>
      <c r="Z87">
        <v>13146.470699999998</v>
      </c>
      <c r="AA87">
        <v>13047.980000000001</v>
      </c>
      <c r="AB87">
        <v>98.49069999999665</v>
      </c>
      <c r="AC87">
        <v>7.4917977796121861E-3</v>
      </c>
    </row>
    <row r="88" spans="1:29" x14ac:dyDescent="0.3">
      <c r="A88" t="s">
        <v>101</v>
      </c>
      <c r="B88" s="3">
        <v>45388</v>
      </c>
      <c r="C88" s="3" t="str">
        <v>Apr-2024</v>
      </c>
      <c r="D88" s="11" t="str">
        <f t="shared" si="4"/>
        <v>Q2-2024</v>
      </c>
      <c r="E88" s="3">
        <v>45407</v>
      </c>
      <c r="F88" s="3">
        <v>45388</v>
      </c>
      <c r="G88" s="4">
        <f t="shared" si="5"/>
        <v>19</v>
      </c>
      <c r="H88" s="4" t="str">
        <v>delayed</v>
      </c>
      <c r="I88" s="4">
        <f t="shared" si="7"/>
        <v>0</v>
      </c>
      <c r="J88" t="s">
        <v>647</v>
      </c>
      <c r="K88" t="s">
        <v>659</v>
      </c>
      <c r="L88" t="s">
        <v>685</v>
      </c>
      <c r="M88" t="s">
        <v>701</v>
      </c>
      <c r="N88" t="s">
        <v>707</v>
      </c>
      <c r="O88" t="s">
        <v>723</v>
      </c>
      <c r="P88" t="s">
        <v>727</v>
      </c>
      <c r="Q88" t="str" cm="1">
        <f t="array" ref="Q88">_xlfn.IFS(U88&lt;=_xlfn.QUARTILE.INC($U$2:$U719,1),"Low",B88&lt;=_xlfn.QUARTILE.INC($U$2:$U$633,2),"Medium",TRUE,"High")</f>
        <v>High</v>
      </c>
      <c r="R88" t="s">
        <v>820</v>
      </c>
      <c r="S88" s="4">
        <v>1366.48</v>
      </c>
      <c r="T88">
        <v>1678.14</v>
      </c>
      <c r="U88">
        <v>1678.14</v>
      </c>
      <c r="V88" s="7">
        <v>0.154</v>
      </c>
      <c r="W88" s="7">
        <v>0.154</v>
      </c>
      <c r="X88" s="7" t="str">
        <f t="shared" si="6"/>
        <v>okay</v>
      </c>
      <c r="Y88" s="9">
        <v>10</v>
      </c>
      <c r="Z88">
        <v>14197.064400000001</v>
      </c>
      <c r="AA88">
        <v>13664.8</v>
      </c>
      <c r="AB88">
        <v>532.26440000000184</v>
      </c>
      <c r="AC88">
        <v>3.7491159087790132E-2</v>
      </c>
    </row>
    <row r="89" spans="1:29" x14ac:dyDescent="0.3">
      <c r="A89" t="s">
        <v>102</v>
      </c>
      <c r="B89" s="3">
        <v>45876</v>
      </c>
      <c r="C89" s="3" t="str">
        <v>Aug-2025</v>
      </c>
      <c r="D89" s="11" t="str">
        <f t="shared" si="4"/>
        <v>Q3-2025</v>
      </c>
      <c r="E89" s="3">
        <v>45888</v>
      </c>
      <c r="F89" s="3">
        <v>45876</v>
      </c>
      <c r="G89" s="4">
        <f t="shared" si="5"/>
        <v>12</v>
      </c>
      <c r="H89" s="4" t="str">
        <v>delayed</v>
      </c>
      <c r="I89" s="4">
        <f t="shared" si="7"/>
        <v>0</v>
      </c>
      <c r="J89" t="s">
        <v>646</v>
      </c>
      <c r="K89" t="s">
        <v>650</v>
      </c>
      <c r="L89" t="s">
        <v>678</v>
      </c>
      <c r="M89" t="s">
        <v>701</v>
      </c>
      <c r="N89" t="s">
        <v>1421</v>
      </c>
      <c r="O89" t="s">
        <v>724</v>
      </c>
      <c r="P89" t="s">
        <v>727</v>
      </c>
      <c r="Q89" t="str" cm="1">
        <f t="array" ref="Q89">_xlfn.IFS(U89&lt;=_xlfn.QUARTILE.INC($U$2:$U720,1),"Low",B89&lt;=_xlfn.QUARTILE.INC($U$2:$U$633,2),"Medium",TRUE,"High")</f>
        <v>High</v>
      </c>
      <c r="R89" t="s">
        <v>821</v>
      </c>
      <c r="S89" s="4">
        <v>601.51</v>
      </c>
      <c r="T89">
        <v>679.35</v>
      </c>
      <c r="U89">
        <v>679.35</v>
      </c>
      <c r="V89" s="7">
        <v>0.188</v>
      </c>
      <c r="W89" s="7">
        <v>0.188</v>
      </c>
      <c r="X89" s="7" t="str">
        <f t="shared" si="6"/>
        <v>okay</v>
      </c>
      <c r="Y89" s="9">
        <v>3</v>
      </c>
      <c r="Z89">
        <v>1654.8966000000003</v>
      </c>
      <c r="AA89">
        <v>1804.53</v>
      </c>
      <c r="AB89">
        <v>-149.63339999999971</v>
      </c>
      <c r="AC89">
        <v>-9.0418579626062243E-2</v>
      </c>
    </row>
    <row r="90" spans="1:29" x14ac:dyDescent="0.3">
      <c r="A90" t="s">
        <v>103</v>
      </c>
      <c r="B90" s="3">
        <v>45312</v>
      </c>
      <c r="C90" s="3" t="str">
        <v>Jan-2024</v>
      </c>
      <c r="D90" s="11" t="str">
        <f t="shared" si="4"/>
        <v>Q1-2024</v>
      </c>
      <c r="E90" s="3">
        <v>45316</v>
      </c>
      <c r="F90" s="3">
        <v>45312</v>
      </c>
      <c r="G90" s="4">
        <f t="shared" si="5"/>
        <v>4</v>
      </c>
      <c r="H90" s="4" t="str">
        <v>ontime</v>
      </c>
      <c r="I90" s="4">
        <f t="shared" si="7"/>
        <v>1</v>
      </c>
      <c r="J90" t="s">
        <v>647</v>
      </c>
      <c r="K90" t="s">
        <v>654</v>
      </c>
      <c r="L90" t="s">
        <v>680</v>
      </c>
      <c r="M90" t="s">
        <v>704</v>
      </c>
      <c r="N90" t="s">
        <v>711</v>
      </c>
      <c r="O90" t="s">
        <v>712</v>
      </c>
      <c r="P90" t="s">
        <v>732</v>
      </c>
      <c r="Q90" t="str" cm="1">
        <f t="array" ref="Q90">_xlfn.IFS(U90&lt;=_xlfn.QUARTILE.INC($U$2:$U721,1),"Low",B90&lt;=_xlfn.QUARTILE.INC($U$2:$U$633,2),"Medium",TRUE,"High")</f>
        <v>High</v>
      </c>
      <c r="R90" t="s">
        <v>822</v>
      </c>
      <c r="S90" s="4">
        <v>523.70000000000005</v>
      </c>
      <c r="T90">
        <v>1109.92</v>
      </c>
      <c r="U90">
        <v>1109.92</v>
      </c>
      <c r="V90" s="7">
        <v>0.03</v>
      </c>
      <c r="W90" s="7">
        <v>0.03</v>
      </c>
      <c r="X90" s="7" t="str">
        <f t="shared" si="6"/>
        <v>okay</v>
      </c>
      <c r="Y90" s="9">
        <v>11</v>
      </c>
      <c r="Z90">
        <v>11842.8464</v>
      </c>
      <c r="AA90">
        <v>5760.7000000000007</v>
      </c>
      <c r="AB90">
        <v>6082.1463999999996</v>
      </c>
      <c r="AC90">
        <v>0.51357133197302973</v>
      </c>
    </row>
    <row r="91" spans="1:29" x14ac:dyDescent="0.3">
      <c r="A91" t="s">
        <v>104</v>
      </c>
      <c r="B91" s="3">
        <v>45106</v>
      </c>
      <c r="C91" s="3" t="str">
        <v>Jun-2023</v>
      </c>
      <c r="D91" s="11" t="str">
        <f t="shared" si="4"/>
        <v>Q2-2023</v>
      </c>
      <c r="E91" s="3">
        <v>45109</v>
      </c>
      <c r="F91" s="3">
        <v>45106</v>
      </c>
      <c r="G91" s="4">
        <f t="shared" si="5"/>
        <v>3</v>
      </c>
      <c r="H91" s="4" t="str">
        <v>ontime</v>
      </c>
      <c r="I91" s="4">
        <f t="shared" si="7"/>
        <v>1</v>
      </c>
      <c r="J91" t="s">
        <v>647</v>
      </c>
      <c r="K91" t="s">
        <v>652</v>
      </c>
      <c r="L91" t="s">
        <v>694</v>
      </c>
      <c r="M91" t="s">
        <v>702</v>
      </c>
      <c r="N91" t="s">
        <v>709</v>
      </c>
      <c r="O91" t="s">
        <v>721</v>
      </c>
      <c r="P91" t="s">
        <v>732</v>
      </c>
      <c r="Q91" t="str" cm="1">
        <f t="array" ref="Q91">_xlfn.IFS(U91&lt;=_xlfn.QUARTILE.INC($U$2:$U722,1),"Low",B91&lt;=_xlfn.QUARTILE.INC($U$2:$U$633,2),"Medium",TRUE,"High")</f>
        <v>Low</v>
      </c>
      <c r="R91" t="s">
        <v>823</v>
      </c>
      <c r="S91" s="4">
        <v>55.65</v>
      </c>
      <c r="T91">
        <v>83.57</v>
      </c>
      <c r="U91">
        <v>83.57</v>
      </c>
      <c r="V91" s="7">
        <v>6.6000000000000003E-2</v>
      </c>
      <c r="W91" s="7">
        <v>6.6000000000000003E-2</v>
      </c>
      <c r="X91" s="7" t="str">
        <f t="shared" si="6"/>
        <v>okay</v>
      </c>
      <c r="Y91" s="9">
        <v>8</v>
      </c>
      <c r="Z91">
        <v>624.43503999999996</v>
      </c>
      <c r="AA91">
        <v>445.2</v>
      </c>
      <c r="AB91">
        <v>179.23503999999997</v>
      </c>
      <c r="AC91">
        <v>0.2870355257449998</v>
      </c>
    </row>
    <row r="92" spans="1:29" x14ac:dyDescent="0.3">
      <c r="A92" t="s">
        <v>105</v>
      </c>
      <c r="B92" s="3">
        <v>45775</v>
      </c>
      <c r="C92" s="3" t="str">
        <v>Apr-2025</v>
      </c>
      <c r="D92" s="11" t="str">
        <f t="shared" si="4"/>
        <v>Q2-2025</v>
      </c>
      <c r="E92" s="3">
        <v>45792</v>
      </c>
      <c r="F92" s="3">
        <v>45775</v>
      </c>
      <c r="G92" s="4">
        <f t="shared" si="5"/>
        <v>17</v>
      </c>
      <c r="H92" s="4" t="str">
        <v>delayed</v>
      </c>
      <c r="I92" s="4">
        <f t="shared" si="7"/>
        <v>0</v>
      </c>
      <c r="J92" t="s">
        <v>647</v>
      </c>
      <c r="K92" t="s">
        <v>652</v>
      </c>
      <c r="L92" t="s">
        <v>694</v>
      </c>
      <c r="M92" t="s">
        <v>702</v>
      </c>
      <c r="N92" t="s">
        <v>711</v>
      </c>
      <c r="O92" t="s">
        <v>725</v>
      </c>
      <c r="P92" t="s">
        <v>729</v>
      </c>
      <c r="Q92" t="str" cm="1">
        <f t="array" ref="Q92">_xlfn.IFS(U92&lt;=_xlfn.QUARTILE.INC($U$2:$U723,1),"Low",B92&lt;=_xlfn.QUARTILE.INC($U$2:$U$633,2),"Medium",TRUE,"High")</f>
        <v>High</v>
      </c>
      <c r="R92" t="s">
        <v>824</v>
      </c>
      <c r="S92" s="4">
        <v>691.19</v>
      </c>
      <c r="T92">
        <v>1284.3</v>
      </c>
      <c r="U92">
        <v>1284.3</v>
      </c>
      <c r="V92" s="7">
        <v>7.3999999999999996E-2</v>
      </c>
      <c r="W92" s="7">
        <v>7.3999999999999996E-2</v>
      </c>
      <c r="X92" s="7" t="str">
        <f t="shared" si="6"/>
        <v>okay</v>
      </c>
      <c r="Y92" s="9">
        <v>7</v>
      </c>
      <c r="Z92">
        <v>8324.8326000000015</v>
      </c>
      <c r="AA92">
        <v>4838.33</v>
      </c>
      <c r="AB92">
        <v>3486.5026000000016</v>
      </c>
      <c r="AC92">
        <v>0.41880753253825198</v>
      </c>
    </row>
    <row r="93" spans="1:29" x14ac:dyDescent="0.3">
      <c r="A93" t="s">
        <v>106</v>
      </c>
      <c r="B93" s="3">
        <v>45817</v>
      </c>
      <c r="C93" s="3" t="str">
        <v>Jun-2025</v>
      </c>
      <c r="D93" s="11" t="str">
        <f t="shared" si="4"/>
        <v>Q2-2025</v>
      </c>
      <c r="E93" s="3">
        <v>45833</v>
      </c>
      <c r="F93" s="3">
        <v>45817</v>
      </c>
      <c r="G93" s="4">
        <f t="shared" si="5"/>
        <v>16</v>
      </c>
      <c r="H93" s="4" t="str">
        <v>delayed</v>
      </c>
      <c r="I93" s="4">
        <f t="shared" si="7"/>
        <v>0</v>
      </c>
      <c r="J93" t="s">
        <v>647</v>
      </c>
      <c r="K93" t="s">
        <v>654</v>
      </c>
      <c r="L93" t="s">
        <v>696</v>
      </c>
      <c r="M93" t="s">
        <v>706</v>
      </c>
      <c r="N93" t="s">
        <v>710</v>
      </c>
      <c r="O93" t="s">
        <v>724</v>
      </c>
      <c r="P93" t="s">
        <v>730</v>
      </c>
      <c r="Q93" t="str" cm="1">
        <f t="array" ref="Q93">_xlfn.IFS(U93&lt;=_xlfn.QUARTILE.INC($U$2:$U724,1),"Low",B93&lt;=_xlfn.QUARTILE.INC($U$2:$U$633,2),"Medium",TRUE,"High")</f>
        <v>High</v>
      </c>
      <c r="R93" t="s">
        <v>825</v>
      </c>
      <c r="S93" s="4">
        <v>527.33000000000004</v>
      </c>
      <c r="T93">
        <v>911.72</v>
      </c>
      <c r="U93">
        <v>911.72</v>
      </c>
      <c r="V93" s="7">
        <v>0.14399999999999999</v>
      </c>
      <c r="W93" s="7">
        <v>0.14399999999999999</v>
      </c>
      <c r="X93" s="7" t="str">
        <f t="shared" si="6"/>
        <v>okay</v>
      </c>
      <c r="Y93" s="9">
        <v>25</v>
      </c>
      <c r="Z93">
        <v>19510.808000000001</v>
      </c>
      <c r="AA93">
        <v>13183.250000000002</v>
      </c>
      <c r="AB93">
        <v>6327.5579999999991</v>
      </c>
      <c r="AC93">
        <v>0.32431040272652978</v>
      </c>
    </row>
    <row r="94" spans="1:29" x14ac:dyDescent="0.3">
      <c r="A94" t="s">
        <v>107</v>
      </c>
      <c r="B94" s="3">
        <v>45101</v>
      </c>
      <c r="C94" s="3" t="str">
        <v>Jun-2023</v>
      </c>
      <c r="D94" s="11" t="str">
        <f t="shared" si="4"/>
        <v>Q2-2023</v>
      </c>
      <c r="E94" s="3">
        <v>45100</v>
      </c>
      <c r="F94" s="3">
        <v>45108</v>
      </c>
      <c r="G94" s="4">
        <f t="shared" si="5"/>
        <v>-8</v>
      </c>
      <c r="H94" s="4" t="str">
        <v>ontime</v>
      </c>
      <c r="I94" s="4">
        <f t="shared" si="7"/>
        <v>1</v>
      </c>
      <c r="J94" t="s">
        <v>648</v>
      </c>
      <c r="K94" t="s">
        <v>655</v>
      </c>
      <c r="L94" t="s">
        <v>692</v>
      </c>
      <c r="M94" t="s">
        <v>703</v>
      </c>
      <c r="N94" t="s">
        <v>707</v>
      </c>
      <c r="O94" t="s">
        <v>718</v>
      </c>
      <c r="P94" t="s">
        <v>728</v>
      </c>
      <c r="Q94" t="str" cm="1">
        <f t="array" ref="Q94">_xlfn.IFS(U94&lt;=_xlfn.QUARTILE.INC($U$2:$U725,1),"Low",B94&lt;=_xlfn.QUARTILE.INC($U$2:$U$633,2),"Medium",TRUE,"High")</f>
        <v>High</v>
      </c>
      <c r="R94" t="s">
        <v>826</v>
      </c>
      <c r="S94" s="4">
        <v>804.01</v>
      </c>
      <c r="T94">
        <v>1405.07</v>
      </c>
      <c r="U94">
        <v>1405.07</v>
      </c>
      <c r="V94" s="7">
        <v>9.6000000000000002E-2</v>
      </c>
      <c r="W94" s="7">
        <v>9.6000000000000002E-2</v>
      </c>
      <c r="X94" s="7" t="str">
        <f t="shared" si="6"/>
        <v>okay</v>
      </c>
      <c r="Y94" s="9">
        <v>8</v>
      </c>
      <c r="Z94">
        <v>10161.46624</v>
      </c>
      <c r="AA94">
        <v>6432.08</v>
      </c>
      <c r="AB94">
        <v>3729.3862399999998</v>
      </c>
      <c r="AC94">
        <v>0.36701260939287439</v>
      </c>
    </row>
    <row r="95" spans="1:29" x14ac:dyDescent="0.3">
      <c r="A95" t="s">
        <v>108</v>
      </c>
      <c r="B95" s="3">
        <v>45569</v>
      </c>
      <c r="C95" s="3" t="str">
        <v>Oct-2024</v>
      </c>
      <c r="D95" s="11" t="str">
        <f t="shared" si="4"/>
        <v>Q4-2024</v>
      </c>
      <c r="E95" s="3">
        <v>45598</v>
      </c>
      <c r="F95" s="3">
        <v>45569</v>
      </c>
      <c r="G95" s="4">
        <f t="shared" si="5"/>
        <v>29</v>
      </c>
      <c r="H95" s="4" t="str">
        <v>delayed</v>
      </c>
      <c r="I95" s="4">
        <f t="shared" si="7"/>
        <v>0</v>
      </c>
      <c r="J95" t="s">
        <v>646</v>
      </c>
      <c r="K95" t="s">
        <v>651</v>
      </c>
      <c r="L95" t="s">
        <v>669</v>
      </c>
      <c r="M95" t="s">
        <v>701</v>
      </c>
      <c r="N95" t="s">
        <v>710</v>
      </c>
      <c r="O95" t="s">
        <v>721</v>
      </c>
      <c r="P95" t="s">
        <v>733</v>
      </c>
      <c r="Q95" t="str" cm="1">
        <f t="array" ref="Q95">_xlfn.IFS(U95&lt;=_xlfn.QUARTILE.INC($U$2:$U726,1),"Low",B95&lt;=_xlfn.QUARTILE.INC($U$2:$U$633,2),"Medium",TRUE,"High")</f>
        <v>High</v>
      </c>
      <c r="R95" t="s">
        <v>827</v>
      </c>
      <c r="S95" s="4">
        <v>412.09</v>
      </c>
      <c r="T95">
        <v>968.94</v>
      </c>
      <c r="U95">
        <v>968.94</v>
      </c>
      <c r="V95" s="7">
        <v>9.9000000000000005E-2</v>
      </c>
      <c r="W95" s="7">
        <v>9.9000000000000005E-2</v>
      </c>
      <c r="X95" s="7" t="str">
        <f t="shared" si="6"/>
        <v>okay</v>
      </c>
      <c r="Y95" s="9">
        <v>23</v>
      </c>
      <c r="Z95">
        <v>20079.343620000003</v>
      </c>
      <c r="AA95">
        <v>9478.07</v>
      </c>
      <c r="AB95">
        <v>10601.273620000004</v>
      </c>
      <c r="AC95">
        <v>0.52796913189137418</v>
      </c>
    </row>
    <row r="96" spans="1:29" x14ac:dyDescent="0.3">
      <c r="A96" t="s">
        <v>109</v>
      </c>
      <c r="B96" s="3">
        <v>45910</v>
      </c>
      <c r="C96" s="3" t="str">
        <v>Sep-2025</v>
      </c>
      <c r="D96" s="11" t="str">
        <f t="shared" si="4"/>
        <v>Q3-2025</v>
      </c>
      <c r="E96" s="3">
        <v>45930</v>
      </c>
      <c r="F96" s="3">
        <v>45910</v>
      </c>
      <c r="G96" s="4">
        <f t="shared" si="5"/>
        <v>20</v>
      </c>
      <c r="H96" s="4" t="str">
        <v>delayed</v>
      </c>
      <c r="I96" s="4">
        <f t="shared" si="7"/>
        <v>0</v>
      </c>
      <c r="J96" t="s">
        <v>646</v>
      </c>
      <c r="K96" t="s">
        <v>650</v>
      </c>
      <c r="L96" t="s">
        <v>675</v>
      </c>
      <c r="M96" t="s">
        <v>701</v>
      </c>
      <c r="N96" t="s">
        <v>711</v>
      </c>
      <c r="O96" t="s">
        <v>716</v>
      </c>
      <c r="P96" t="s">
        <v>730</v>
      </c>
      <c r="Q96" t="str" cm="1">
        <f t="array" ref="Q96">_xlfn.IFS(U96&lt;=_xlfn.QUARTILE.INC($U$2:$U727,1),"Low",B96&lt;=_xlfn.QUARTILE.INC($U$2:$U$633,2),"Medium",TRUE,"High")</f>
        <v>High</v>
      </c>
      <c r="R96" t="s">
        <v>828</v>
      </c>
      <c r="S96" s="4">
        <v>1009.48</v>
      </c>
      <c r="T96">
        <v>1088.81</v>
      </c>
      <c r="U96">
        <v>1088.81</v>
      </c>
      <c r="V96" s="7">
        <v>0.16</v>
      </c>
      <c r="W96" s="7">
        <v>0.16</v>
      </c>
      <c r="X96" s="7" t="str">
        <f t="shared" si="6"/>
        <v>okay</v>
      </c>
      <c r="Y96" s="9">
        <v>6</v>
      </c>
      <c r="Z96">
        <v>5487.6023999999998</v>
      </c>
      <c r="AA96">
        <v>6056.88</v>
      </c>
      <c r="AB96">
        <v>-569.27760000000035</v>
      </c>
      <c r="AC96">
        <v>-0.10373885688219693</v>
      </c>
    </row>
    <row r="97" spans="1:29" x14ac:dyDescent="0.3">
      <c r="A97" t="s">
        <v>110</v>
      </c>
      <c r="B97" s="3">
        <v>45022</v>
      </c>
      <c r="C97" s="3" t="str">
        <v>Apr-2023</v>
      </c>
      <c r="D97" s="11" t="str">
        <f t="shared" si="4"/>
        <v>Q2-2023</v>
      </c>
      <c r="E97" s="3">
        <v>45043</v>
      </c>
      <c r="F97" s="3">
        <v>45022</v>
      </c>
      <c r="G97" s="4">
        <f t="shared" si="5"/>
        <v>21</v>
      </c>
      <c r="H97" s="4" t="str">
        <v>delayed</v>
      </c>
      <c r="I97" s="4">
        <f t="shared" si="7"/>
        <v>0</v>
      </c>
      <c r="J97" t="s">
        <v>649</v>
      </c>
      <c r="K97" t="s">
        <v>658</v>
      </c>
      <c r="L97" t="s">
        <v>693</v>
      </c>
      <c r="M97" t="s">
        <v>706</v>
      </c>
      <c r="N97" t="s">
        <v>710</v>
      </c>
      <c r="O97" t="s">
        <v>714</v>
      </c>
      <c r="P97" t="s">
        <v>728</v>
      </c>
      <c r="Q97" t="str" cm="1">
        <f t="array" ref="Q97">_xlfn.IFS(U97&lt;=_xlfn.QUARTILE.INC($U$2:$U728,1),"Low",B97&lt;=_xlfn.QUARTILE.INC($U$2:$U$633,2),"Medium",TRUE,"High")</f>
        <v>High</v>
      </c>
      <c r="R97" t="s">
        <v>829</v>
      </c>
      <c r="S97" s="4">
        <v>1084.79</v>
      </c>
      <c r="T97">
        <v>2484.9899999999998</v>
      </c>
      <c r="U97">
        <v>2484.9899999999998</v>
      </c>
      <c r="V97" s="7">
        <v>3.4000000000000002E-2</v>
      </c>
      <c r="W97" s="7">
        <v>3.4000000000000002E-2</v>
      </c>
      <c r="X97" s="7" t="str">
        <f t="shared" si="6"/>
        <v>okay</v>
      </c>
      <c r="Y97" s="9">
        <v>18</v>
      </c>
      <c r="Z97">
        <v>43209.006119999991</v>
      </c>
      <c r="AA97">
        <v>19526.22</v>
      </c>
      <c r="AB97">
        <v>23682.78611999999</v>
      </c>
      <c r="AC97">
        <v>0.54809837685755114</v>
      </c>
    </row>
    <row r="98" spans="1:29" x14ac:dyDescent="0.3">
      <c r="A98" t="s">
        <v>111</v>
      </c>
      <c r="B98" s="3">
        <v>45870</v>
      </c>
      <c r="C98" s="3" t="str">
        <v>Aug-2025</v>
      </c>
      <c r="D98" s="11" t="str">
        <f t="shared" si="4"/>
        <v>Q3-2025</v>
      </c>
      <c r="E98" s="3">
        <v>45885</v>
      </c>
      <c r="F98" s="3">
        <v>45870</v>
      </c>
      <c r="G98" s="4">
        <f t="shared" si="5"/>
        <v>15</v>
      </c>
      <c r="H98" s="4" t="str">
        <v>delayed</v>
      </c>
      <c r="I98" s="4">
        <f t="shared" si="7"/>
        <v>0</v>
      </c>
      <c r="J98" t="s">
        <v>647</v>
      </c>
      <c r="K98" t="s">
        <v>654</v>
      </c>
      <c r="L98" t="s">
        <v>1421</v>
      </c>
      <c r="M98" t="s">
        <v>706</v>
      </c>
      <c r="N98" t="s">
        <v>711</v>
      </c>
      <c r="O98" t="s">
        <v>719</v>
      </c>
      <c r="P98" t="s">
        <v>732</v>
      </c>
      <c r="Q98" t="str" cm="1">
        <f t="array" ref="Q98">_xlfn.IFS(U98&lt;=_xlfn.QUARTILE.INC($U$2:$U729,1),"Low",B98&lt;=_xlfn.QUARTILE.INC($U$2:$U$633,2),"Medium",TRUE,"High")</f>
        <v>Low</v>
      </c>
      <c r="R98" t="s">
        <v>830</v>
      </c>
      <c r="S98" s="4">
        <v>24.44</v>
      </c>
      <c r="T98">
        <v>28.69</v>
      </c>
      <c r="U98">
        <v>28.69</v>
      </c>
      <c r="V98" s="7">
        <v>0.14599999999999999</v>
      </c>
      <c r="W98" s="7">
        <v>0.14599999999999999</v>
      </c>
      <c r="X98" s="7" t="str">
        <f t="shared" si="6"/>
        <v>okay</v>
      </c>
      <c r="Y98" s="9">
        <v>6</v>
      </c>
      <c r="Z98">
        <v>147.00756000000001</v>
      </c>
      <c r="AA98">
        <v>146.64000000000001</v>
      </c>
      <c r="AB98">
        <v>0.36755999999999744</v>
      </c>
      <c r="AC98">
        <v>2.5002795774584476E-3</v>
      </c>
    </row>
    <row r="99" spans="1:29" x14ac:dyDescent="0.3">
      <c r="A99" t="s">
        <v>112</v>
      </c>
      <c r="B99" s="3">
        <v>45440</v>
      </c>
      <c r="C99" s="3" t="str">
        <v>May-2024</v>
      </c>
      <c r="D99" s="11" t="str">
        <f t="shared" si="4"/>
        <v>Q2-2024</v>
      </c>
      <c r="E99" s="3">
        <v>45438</v>
      </c>
      <c r="F99" s="3">
        <v>45447</v>
      </c>
      <c r="G99" s="4">
        <f t="shared" si="5"/>
        <v>-9</v>
      </c>
      <c r="H99" s="4" t="str">
        <v>ontime</v>
      </c>
      <c r="I99" s="4">
        <f t="shared" si="7"/>
        <v>1</v>
      </c>
      <c r="J99" t="s">
        <v>646</v>
      </c>
      <c r="K99" t="s">
        <v>651</v>
      </c>
      <c r="L99" t="s">
        <v>669</v>
      </c>
      <c r="M99" t="s">
        <v>706</v>
      </c>
      <c r="N99" t="s">
        <v>708</v>
      </c>
      <c r="O99" t="s">
        <v>721</v>
      </c>
      <c r="P99" t="s">
        <v>733</v>
      </c>
      <c r="Q99" t="str" cm="1">
        <f t="array" ref="Q99">_xlfn.IFS(U99&lt;=_xlfn.QUARTILE.INC($U$2:$U730,1),"Low",B99&lt;=_xlfn.QUARTILE.INC($U$2:$U$633,2),"Medium",TRUE,"High")</f>
        <v>High</v>
      </c>
      <c r="R99" t="s">
        <v>831</v>
      </c>
      <c r="S99" s="4">
        <v>1227.08</v>
      </c>
      <c r="T99">
        <v>1896.62</v>
      </c>
      <c r="U99">
        <v>1896.62</v>
      </c>
      <c r="V99" s="7">
        <v>0</v>
      </c>
      <c r="W99" s="7">
        <v>0</v>
      </c>
      <c r="X99" s="7" t="str">
        <f t="shared" si="6"/>
        <v>okay</v>
      </c>
      <c r="Y99" s="9">
        <v>18</v>
      </c>
      <c r="Z99">
        <v>34139.159999999996</v>
      </c>
      <c r="AA99">
        <v>22087.439999999999</v>
      </c>
      <c r="AB99">
        <v>12051.719999999998</v>
      </c>
      <c r="AC99">
        <v>0.353017473189147</v>
      </c>
    </row>
    <row r="100" spans="1:29" x14ac:dyDescent="0.3">
      <c r="A100" t="s">
        <v>113</v>
      </c>
      <c r="B100" s="3">
        <v>45860</v>
      </c>
      <c r="C100" s="3" t="str">
        <v>Jul-2025</v>
      </c>
      <c r="D100" s="11" t="str">
        <f t="shared" si="4"/>
        <v>Q3-2025</v>
      </c>
      <c r="E100" s="3">
        <v>45887</v>
      </c>
      <c r="F100" s="3">
        <v>45860</v>
      </c>
      <c r="G100" s="4">
        <f t="shared" si="5"/>
        <v>27</v>
      </c>
      <c r="H100" s="4" t="str">
        <v>delayed</v>
      </c>
      <c r="I100" s="4">
        <f t="shared" si="7"/>
        <v>0</v>
      </c>
      <c r="J100" t="s">
        <v>647</v>
      </c>
      <c r="K100" t="s">
        <v>659</v>
      </c>
      <c r="L100" t="s">
        <v>676</v>
      </c>
      <c r="M100" t="s">
        <v>703</v>
      </c>
      <c r="N100" t="s">
        <v>709</v>
      </c>
      <c r="O100" t="s">
        <v>724</v>
      </c>
      <c r="P100" t="s">
        <v>729</v>
      </c>
      <c r="Q100" t="str" cm="1">
        <f t="array" ref="Q100">_xlfn.IFS(U100&lt;=_xlfn.QUARTILE.INC($U$2:$U731,1),"Low",B100&lt;=_xlfn.QUARTILE.INC($U$2:$U$633,2),"Medium",TRUE,"High")</f>
        <v>Low</v>
      </c>
      <c r="R100" t="s">
        <v>832</v>
      </c>
      <c r="S100" s="4">
        <v>547.32000000000005</v>
      </c>
      <c r="T100">
        <v>419.17</v>
      </c>
      <c r="U100">
        <v>419.17</v>
      </c>
      <c r="V100" s="7">
        <v>9.1999999999999998E-2</v>
      </c>
      <c r="W100" s="7">
        <v>9.1999999999999998E-2</v>
      </c>
      <c r="X100" s="7" t="str">
        <f t="shared" si="6"/>
        <v>okay</v>
      </c>
      <c r="Y100" s="9">
        <v>14</v>
      </c>
      <c r="Z100">
        <v>5328.4890400000004</v>
      </c>
      <c r="AA100">
        <v>7662.4800000000005</v>
      </c>
      <c r="AB100">
        <v>-2333.9909600000001</v>
      </c>
      <c r="AC100">
        <v>-0.43802116181137907</v>
      </c>
    </row>
    <row r="101" spans="1:29" x14ac:dyDescent="0.3">
      <c r="A101" t="s">
        <v>114</v>
      </c>
      <c r="B101" s="3">
        <v>44985</v>
      </c>
      <c r="C101" s="3" t="str">
        <v>Feb-2023</v>
      </c>
      <c r="D101" s="11" t="str">
        <f t="shared" si="4"/>
        <v>Q1-2023</v>
      </c>
      <c r="E101" s="3">
        <v>45005</v>
      </c>
      <c r="F101" s="3">
        <v>44985</v>
      </c>
      <c r="G101" s="4">
        <f t="shared" si="5"/>
        <v>20</v>
      </c>
      <c r="H101" s="4" t="str">
        <v>delayed</v>
      </c>
      <c r="I101" s="4">
        <f t="shared" si="7"/>
        <v>0</v>
      </c>
      <c r="J101" t="s">
        <v>649</v>
      </c>
      <c r="K101" t="s">
        <v>656</v>
      </c>
      <c r="L101" t="s">
        <v>671</v>
      </c>
      <c r="M101" t="s">
        <v>705</v>
      </c>
      <c r="N101" t="s">
        <v>711</v>
      </c>
      <c r="O101" t="s">
        <v>722</v>
      </c>
      <c r="P101" t="s">
        <v>731</v>
      </c>
      <c r="Q101" t="str" cm="1">
        <f t="array" ref="Q101">_xlfn.IFS(U101&lt;=_xlfn.QUARTILE.INC($U$2:$U732,1),"Low",B101&lt;=_xlfn.QUARTILE.INC($U$2:$U$633,2),"Medium",TRUE,"High")</f>
        <v>High</v>
      </c>
      <c r="R101" t="s">
        <v>833</v>
      </c>
      <c r="S101" s="4">
        <v>1200.78</v>
      </c>
      <c r="T101">
        <v>2001.17</v>
      </c>
      <c r="U101">
        <v>2001.17</v>
      </c>
      <c r="V101" s="7">
        <v>0.29199999999999998</v>
      </c>
      <c r="W101" s="7">
        <v>0.29199999999999998</v>
      </c>
      <c r="X101" s="7" t="str">
        <f t="shared" si="6"/>
        <v>High discount</v>
      </c>
      <c r="Y101" s="9">
        <v>18</v>
      </c>
      <c r="Z101">
        <v>25502.910479999999</v>
      </c>
      <c r="AA101">
        <v>21614.04</v>
      </c>
      <c r="AB101">
        <v>3888.8704799999978</v>
      </c>
      <c r="AC101">
        <v>0.15248732034132906</v>
      </c>
    </row>
    <row r="102" spans="1:29" x14ac:dyDescent="0.3">
      <c r="A102" t="s">
        <v>115</v>
      </c>
      <c r="B102" s="3">
        <v>45684</v>
      </c>
      <c r="C102" s="3" t="str">
        <v>Jan-2025</v>
      </c>
      <c r="D102" s="11" t="str">
        <f t="shared" si="4"/>
        <v>Q1-2025</v>
      </c>
      <c r="E102" s="3">
        <v>45703</v>
      </c>
      <c r="F102" s="3">
        <v>45684</v>
      </c>
      <c r="G102" s="4">
        <f t="shared" si="5"/>
        <v>19</v>
      </c>
      <c r="H102" s="4" t="str">
        <v>delayed</v>
      </c>
      <c r="I102" s="4">
        <f t="shared" si="7"/>
        <v>0</v>
      </c>
      <c r="J102" t="s">
        <v>647</v>
      </c>
      <c r="K102" t="s">
        <v>659</v>
      </c>
      <c r="L102" t="s">
        <v>676</v>
      </c>
      <c r="M102" t="s">
        <v>703</v>
      </c>
      <c r="N102" t="s">
        <v>711</v>
      </c>
      <c r="O102" t="s">
        <v>716</v>
      </c>
      <c r="P102" t="s">
        <v>730</v>
      </c>
      <c r="Q102" t="str" cm="1">
        <f t="array" ref="Q102">_xlfn.IFS(U102&lt;=_xlfn.QUARTILE.INC($U$2:$U733,1),"Low",B102&lt;=_xlfn.QUARTILE.INC($U$2:$U$633,2),"Medium",TRUE,"High")</f>
        <v>High</v>
      </c>
      <c r="R102" t="s">
        <v>834</v>
      </c>
      <c r="S102" s="4">
        <v>1253.22</v>
      </c>
      <c r="T102">
        <v>3104.71</v>
      </c>
      <c r="U102">
        <v>3104.71</v>
      </c>
      <c r="V102" s="7">
        <v>0</v>
      </c>
      <c r="W102" s="7">
        <v>0</v>
      </c>
      <c r="X102" s="7" t="str">
        <f t="shared" si="6"/>
        <v>okay</v>
      </c>
      <c r="Y102" s="9">
        <v>17</v>
      </c>
      <c r="Z102">
        <v>52780.07</v>
      </c>
      <c r="AA102">
        <v>21304.74</v>
      </c>
      <c r="AB102">
        <v>31475.329999999998</v>
      </c>
      <c r="AC102">
        <v>0.59634877331538205</v>
      </c>
    </row>
    <row r="103" spans="1:29" x14ac:dyDescent="0.3">
      <c r="A103" t="s">
        <v>116</v>
      </c>
      <c r="B103" s="3">
        <v>45304</v>
      </c>
      <c r="C103" s="3" t="str">
        <v>Jan-2024</v>
      </c>
      <c r="D103" s="11" t="str">
        <f t="shared" si="4"/>
        <v>Q1-2024</v>
      </c>
      <c r="E103" s="3">
        <v>45313</v>
      </c>
      <c r="F103" s="3">
        <v>45304</v>
      </c>
      <c r="G103" s="4">
        <f t="shared" si="5"/>
        <v>9</v>
      </c>
      <c r="H103" s="4" t="str">
        <v>delayed</v>
      </c>
      <c r="I103" s="4">
        <f t="shared" si="7"/>
        <v>0</v>
      </c>
      <c r="J103" t="s">
        <v>647</v>
      </c>
      <c r="K103" t="s">
        <v>654</v>
      </c>
      <c r="L103" t="s">
        <v>691</v>
      </c>
      <c r="M103" t="s">
        <v>706</v>
      </c>
      <c r="N103" t="s">
        <v>709</v>
      </c>
      <c r="O103" t="s">
        <v>713</v>
      </c>
      <c r="P103" t="s">
        <v>727</v>
      </c>
      <c r="Q103" t="str" cm="1">
        <f t="array" ref="Q103">_xlfn.IFS(U103&lt;=_xlfn.QUARTILE.INC($U$2:$U734,1),"Low",B103&lt;=_xlfn.QUARTILE.INC($U$2:$U$633,2),"Medium",TRUE,"High")</f>
        <v>Low</v>
      </c>
      <c r="R103" t="s">
        <v>835</v>
      </c>
      <c r="S103" s="4">
        <v>313.60000000000002</v>
      </c>
      <c r="T103">
        <v>334.28</v>
      </c>
      <c r="U103">
        <v>334.28</v>
      </c>
      <c r="V103" s="7">
        <v>0.14000000000000001</v>
      </c>
      <c r="W103" s="7">
        <v>0.14000000000000001</v>
      </c>
      <c r="X103" s="7" t="str">
        <f t="shared" si="6"/>
        <v>okay</v>
      </c>
      <c r="Y103" s="9">
        <v>22</v>
      </c>
      <c r="Z103">
        <v>6324.5775999999996</v>
      </c>
      <c r="AA103">
        <v>6899.2000000000007</v>
      </c>
      <c r="AB103">
        <v>-574.62240000000111</v>
      </c>
      <c r="AC103">
        <v>-9.0855458868905517E-2</v>
      </c>
    </row>
    <row r="104" spans="1:29" x14ac:dyDescent="0.3">
      <c r="A104" t="s">
        <v>117</v>
      </c>
      <c r="B104" s="3">
        <v>45747</v>
      </c>
      <c r="C104" s="3" t="str">
        <v>Mar-2025</v>
      </c>
      <c r="D104" s="11" t="str">
        <f t="shared" si="4"/>
        <v>Q1-2025</v>
      </c>
      <c r="E104" s="3">
        <v>45751</v>
      </c>
      <c r="F104" s="3">
        <v>45747</v>
      </c>
      <c r="G104" s="4">
        <f t="shared" si="5"/>
        <v>4</v>
      </c>
      <c r="H104" s="4" t="str">
        <v>ontime</v>
      </c>
      <c r="I104" s="4">
        <f t="shared" si="7"/>
        <v>1</v>
      </c>
      <c r="J104" t="s">
        <v>646</v>
      </c>
      <c r="K104" t="s">
        <v>650</v>
      </c>
      <c r="L104" t="s">
        <v>678</v>
      </c>
      <c r="M104" t="s">
        <v>701</v>
      </c>
      <c r="N104" t="s">
        <v>711</v>
      </c>
      <c r="O104" t="s">
        <v>712</v>
      </c>
      <c r="P104" t="s">
        <v>731</v>
      </c>
      <c r="Q104" t="str" cm="1">
        <f t="array" ref="Q104">_xlfn.IFS(U104&lt;=_xlfn.QUARTILE.INC($U$2:$U735,1),"Low",B104&lt;=_xlfn.QUARTILE.INC($U$2:$U$633,2),"Medium",TRUE,"High")</f>
        <v>High</v>
      </c>
      <c r="R104" t="s">
        <v>836</v>
      </c>
      <c r="S104" s="4">
        <v>862.08</v>
      </c>
      <c r="T104">
        <v>1952.83</v>
      </c>
      <c r="U104">
        <v>1952.83</v>
      </c>
      <c r="V104" s="7">
        <v>0</v>
      </c>
      <c r="W104" s="7">
        <v>0</v>
      </c>
      <c r="X104" s="7" t="str">
        <f t="shared" si="6"/>
        <v>okay</v>
      </c>
      <c r="Y104" s="9">
        <v>7</v>
      </c>
      <c r="Z104">
        <v>13669.81</v>
      </c>
      <c r="AA104">
        <v>6034.56</v>
      </c>
      <c r="AB104">
        <v>7635.2499999999991</v>
      </c>
      <c r="AC104">
        <v>0.5585483631447693</v>
      </c>
    </row>
    <row r="105" spans="1:29" x14ac:dyDescent="0.3">
      <c r="A105" t="s">
        <v>118</v>
      </c>
      <c r="B105" s="3">
        <v>45631</v>
      </c>
      <c r="C105" s="3" t="str">
        <v>Dec-2024</v>
      </c>
      <c r="D105" s="11" t="str">
        <f t="shared" si="4"/>
        <v>Q4-2024</v>
      </c>
      <c r="E105" s="3">
        <v>45654</v>
      </c>
      <c r="F105" s="3">
        <v>45631</v>
      </c>
      <c r="G105" s="4">
        <f t="shared" si="5"/>
        <v>23</v>
      </c>
      <c r="H105" s="4" t="str">
        <v>delayed</v>
      </c>
      <c r="I105" s="4">
        <f t="shared" si="7"/>
        <v>0</v>
      </c>
      <c r="J105" t="s">
        <v>648</v>
      </c>
      <c r="K105" t="s">
        <v>653</v>
      </c>
      <c r="L105" t="s">
        <v>688</v>
      </c>
      <c r="M105" t="s">
        <v>701</v>
      </c>
      <c r="N105" t="s">
        <v>711</v>
      </c>
      <c r="O105" t="s">
        <v>721</v>
      </c>
      <c r="P105" t="s">
        <v>733</v>
      </c>
      <c r="Q105" t="str" cm="1">
        <f t="array" ref="Q105">_xlfn.IFS(U105&lt;=_xlfn.QUARTILE.INC($U$2:$U736,1),"Low",B105&lt;=_xlfn.QUARTILE.INC($U$2:$U$633,2),"Medium",TRUE,"High")</f>
        <v>Low</v>
      </c>
      <c r="R105" t="s">
        <v>837</v>
      </c>
      <c r="S105" s="4">
        <v>107.03</v>
      </c>
      <c r="T105">
        <v>242.29</v>
      </c>
      <c r="U105">
        <v>242.29</v>
      </c>
      <c r="V105" s="7">
        <v>0.18</v>
      </c>
      <c r="W105" s="7">
        <v>0.18</v>
      </c>
      <c r="X105" s="7" t="str">
        <f t="shared" si="6"/>
        <v>okay</v>
      </c>
      <c r="Y105" s="9">
        <v>30</v>
      </c>
      <c r="Z105">
        <v>5960.3340000000007</v>
      </c>
      <c r="AA105">
        <v>3210.9</v>
      </c>
      <c r="AB105">
        <v>2749.4340000000007</v>
      </c>
      <c r="AC105">
        <v>0.46128857879440988</v>
      </c>
    </row>
    <row r="106" spans="1:29" x14ac:dyDescent="0.3">
      <c r="A106" t="s">
        <v>119</v>
      </c>
      <c r="B106" s="3">
        <v>45549</v>
      </c>
      <c r="C106" s="3" t="str">
        <v>Sep-2024</v>
      </c>
      <c r="D106" s="11" t="str">
        <f t="shared" si="4"/>
        <v>Q3-2024</v>
      </c>
      <c r="E106" s="3">
        <v>45570</v>
      </c>
      <c r="F106" s="3">
        <v>45549</v>
      </c>
      <c r="G106" s="4">
        <f t="shared" si="5"/>
        <v>21</v>
      </c>
      <c r="H106" s="4" t="str">
        <v>delayed</v>
      </c>
      <c r="I106" s="4">
        <f t="shared" si="7"/>
        <v>0</v>
      </c>
      <c r="J106" t="s">
        <v>647</v>
      </c>
      <c r="K106" t="s">
        <v>659</v>
      </c>
      <c r="L106" t="s">
        <v>685</v>
      </c>
      <c r="M106" t="s">
        <v>705</v>
      </c>
      <c r="N106" t="s">
        <v>708</v>
      </c>
      <c r="O106" t="s">
        <v>722</v>
      </c>
      <c r="P106" t="s">
        <v>731</v>
      </c>
      <c r="Q106" t="str" cm="1">
        <f t="array" ref="Q106">_xlfn.IFS(U106&lt;=_xlfn.QUARTILE.INC($U$2:$U737,1),"Low",B106&lt;=_xlfn.QUARTILE.INC($U$2:$U$633,2),"Medium",TRUE,"High")</f>
        <v>High</v>
      </c>
      <c r="R106" t="s">
        <v>838</v>
      </c>
      <c r="S106" s="4">
        <v>1405.56</v>
      </c>
      <c r="T106">
        <v>2968.87</v>
      </c>
      <c r="U106">
        <v>2968.87</v>
      </c>
      <c r="V106" s="7">
        <v>0.16900000000000001</v>
      </c>
      <c r="W106" s="7">
        <v>0.16900000000000001</v>
      </c>
      <c r="X106" s="7" t="str">
        <f t="shared" si="6"/>
        <v>okay</v>
      </c>
      <c r="Y106" s="9">
        <v>5</v>
      </c>
      <c r="Z106">
        <v>12335.654849999999</v>
      </c>
      <c r="AA106">
        <v>7027.7999999999993</v>
      </c>
      <c r="AB106">
        <v>5307.8548499999997</v>
      </c>
      <c r="AC106">
        <v>0.4302856163327235</v>
      </c>
    </row>
    <row r="107" spans="1:29" x14ac:dyDescent="0.3">
      <c r="A107" t="s">
        <v>120</v>
      </c>
      <c r="B107" s="3">
        <v>45433</v>
      </c>
      <c r="C107" s="3" t="str">
        <v>May-2024</v>
      </c>
      <c r="D107" s="11" t="str">
        <f t="shared" si="4"/>
        <v>Q2-2024</v>
      </c>
      <c r="E107" s="3">
        <v>45439</v>
      </c>
      <c r="F107" s="3">
        <v>45433</v>
      </c>
      <c r="G107" s="4">
        <f t="shared" si="5"/>
        <v>6</v>
      </c>
      <c r="H107" s="4" t="str">
        <v>ontime</v>
      </c>
      <c r="I107" s="4">
        <f t="shared" si="7"/>
        <v>1</v>
      </c>
      <c r="J107" t="s">
        <v>646</v>
      </c>
      <c r="K107" t="s">
        <v>661</v>
      </c>
      <c r="L107" t="s">
        <v>682</v>
      </c>
      <c r="M107" t="s">
        <v>703</v>
      </c>
      <c r="N107" t="s">
        <v>708</v>
      </c>
      <c r="O107" t="s">
        <v>724</v>
      </c>
      <c r="P107" t="s">
        <v>727</v>
      </c>
      <c r="Q107" t="str" cm="1">
        <f t="array" ref="Q107">_xlfn.IFS(U107&lt;=_xlfn.QUARTILE.INC($U$2:$U738,1),"Low",B107&lt;=_xlfn.QUARTILE.INC($U$2:$U$633,2),"Medium",TRUE,"High")</f>
        <v>High</v>
      </c>
      <c r="R107" t="s">
        <v>839</v>
      </c>
      <c r="S107" s="4">
        <v>1157.51</v>
      </c>
      <c r="T107">
        <v>1394.3</v>
      </c>
      <c r="U107">
        <v>1394.3</v>
      </c>
      <c r="V107" s="7">
        <v>0.27800000000000002</v>
      </c>
      <c r="W107" s="7">
        <v>0.27800000000000002</v>
      </c>
      <c r="X107" s="7" t="str">
        <f t="shared" si="6"/>
        <v>High discount</v>
      </c>
      <c r="Y107" s="9">
        <v>12</v>
      </c>
      <c r="Z107">
        <v>12080.215199999999</v>
      </c>
      <c r="AA107">
        <v>13890.119999999999</v>
      </c>
      <c r="AB107">
        <v>-1809.9048000000003</v>
      </c>
      <c r="AC107">
        <v>-0.14982388724333326</v>
      </c>
    </row>
    <row r="108" spans="1:29" x14ac:dyDescent="0.3">
      <c r="A108" t="s">
        <v>121</v>
      </c>
      <c r="B108" s="3">
        <v>45057</v>
      </c>
      <c r="C108" s="3" t="str">
        <v>May-2023</v>
      </c>
      <c r="D108" s="11" t="str">
        <f t="shared" si="4"/>
        <v>Q2-2023</v>
      </c>
      <c r="E108" s="3">
        <v>45084</v>
      </c>
      <c r="F108" s="3">
        <v>45057</v>
      </c>
      <c r="G108" s="4">
        <f t="shared" si="5"/>
        <v>27</v>
      </c>
      <c r="H108" s="4" t="str">
        <v>delayed</v>
      </c>
      <c r="I108" s="4">
        <f t="shared" si="7"/>
        <v>0</v>
      </c>
      <c r="J108" t="s">
        <v>646</v>
      </c>
      <c r="K108" t="s">
        <v>650</v>
      </c>
      <c r="L108" t="s">
        <v>675</v>
      </c>
      <c r="M108" t="s">
        <v>701</v>
      </c>
      <c r="N108" t="s">
        <v>708</v>
      </c>
      <c r="O108" t="s">
        <v>713</v>
      </c>
      <c r="P108" t="s">
        <v>730</v>
      </c>
      <c r="Q108" t="str" cm="1">
        <f t="array" ref="Q108">_xlfn.IFS(U108&lt;=_xlfn.QUARTILE.INC($U$2:$U739,1),"Low",B108&lt;=_xlfn.QUARTILE.INC($U$2:$U$633,2),"Medium",TRUE,"High")</f>
        <v>Low</v>
      </c>
      <c r="R108" t="s">
        <v>840</v>
      </c>
      <c r="S108" s="4">
        <v>12.85</v>
      </c>
      <c r="T108">
        <v>15.41</v>
      </c>
      <c r="U108">
        <v>15.41</v>
      </c>
      <c r="V108" s="7">
        <v>0.13700000000000001</v>
      </c>
      <c r="W108" s="7">
        <v>0.13700000000000001</v>
      </c>
      <c r="X108" s="7" t="str">
        <f t="shared" si="6"/>
        <v>okay</v>
      </c>
      <c r="Y108" s="9">
        <v>39</v>
      </c>
      <c r="Z108">
        <v>518.65436999999997</v>
      </c>
      <c r="AA108">
        <v>501.15</v>
      </c>
      <c r="AB108">
        <v>17.504369999999994</v>
      </c>
      <c r="AC108">
        <v>3.3749585489851353E-2</v>
      </c>
    </row>
    <row r="109" spans="1:29" x14ac:dyDescent="0.3">
      <c r="A109" t="s">
        <v>122</v>
      </c>
      <c r="B109" s="3">
        <v>45518</v>
      </c>
      <c r="C109" s="3" t="str">
        <v>Aug-2024</v>
      </c>
      <c r="D109" s="11" t="str">
        <f t="shared" si="4"/>
        <v>Q3-2024</v>
      </c>
      <c r="E109" s="3">
        <v>45539</v>
      </c>
      <c r="F109" s="3">
        <v>45518</v>
      </c>
      <c r="G109" s="4">
        <f t="shared" si="5"/>
        <v>21</v>
      </c>
      <c r="H109" s="4" t="str">
        <v>delayed</v>
      </c>
      <c r="I109" s="4">
        <f t="shared" si="7"/>
        <v>0</v>
      </c>
      <c r="J109" t="s">
        <v>649</v>
      </c>
      <c r="K109" t="s">
        <v>658</v>
      </c>
      <c r="L109" t="s">
        <v>693</v>
      </c>
      <c r="M109" t="s">
        <v>703</v>
      </c>
      <c r="N109" t="s">
        <v>708</v>
      </c>
      <c r="O109" t="s">
        <v>713</v>
      </c>
      <c r="P109" t="s">
        <v>730</v>
      </c>
      <c r="Q109" t="str" cm="1">
        <f t="array" ref="Q109">_xlfn.IFS(U109&lt;=_xlfn.QUARTILE.INC($U$2:$U740,1),"Low",B109&lt;=_xlfn.QUARTILE.INC($U$2:$U$633,2),"Medium",TRUE,"High")</f>
        <v>High</v>
      </c>
      <c r="R109" t="s">
        <v>841</v>
      </c>
      <c r="S109" s="4">
        <v>1138.8</v>
      </c>
      <c r="T109">
        <v>2250.81</v>
      </c>
      <c r="U109">
        <v>2250.81</v>
      </c>
      <c r="V109" s="7">
        <v>0.123</v>
      </c>
      <c r="W109" s="7">
        <v>0.123</v>
      </c>
      <c r="X109" s="7" t="str">
        <f t="shared" si="6"/>
        <v>okay</v>
      </c>
      <c r="Y109" s="9">
        <v>12</v>
      </c>
      <c r="Z109">
        <v>23687.524440000001</v>
      </c>
      <c r="AA109">
        <v>13665.599999999999</v>
      </c>
      <c r="AB109">
        <v>10021.924440000003</v>
      </c>
      <c r="AC109">
        <v>0.42308872188756258</v>
      </c>
    </row>
    <row r="110" spans="1:29" x14ac:dyDescent="0.3">
      <c r="A110" t="s">
        <v>123</v>
      </c>
      <c r="B110" s="3">
        <v>45581</v>
      </c>
      <c r="C110" s="3" t="str">
        <v>Oct-2024</v>
      </c>
      <c r="D110" s="11" t="str">
        <f t="shared" si="4"/>
        <v>Q4-2024</v>
      </c>
      <c r="E110" s="3">
        <v>45604</v>
      </c>
      <c r="F110" s="3">
        <v>45581</v>
      </c>
      <c r="G110" s="4">
        <f t="shared" si="5"/>
        <v>23</v>
      </c>
      <c r="H110" s="4" t="str">
        <v>delayed</v>
      </c>
      <c r="I110" s="4">
        <f t="shared" si="7"/>
        <v>0</v>
      </c>
      <c r="J110" t="s">
        <v>647</v>
      </c>
      <c r="K110" t="s">
        <v>652</v>
      </c>
      <c r="L110" t="s">
        <v>666</v>
      </c>
      <c r="M110" t="s">
        <v>705</v>
      </c>
      <c r="N110" t="s">
        <v>707</v>
      </c>
      <c r="O110" t="s">
        <v>713</v>
      </c>
      <c r="P110" t="s">
        <v>729</v>
      </c>
      <c r="Q110" t="str" cm="1">
        <f t="array" ref="Q110">_xlfn.IFS(U110&lt;=_xlfn.QUARTILE.INC($U$2:$U741,1),"Low",B110&lt;=_xlfn.QUARTILE.INC($U$2:$U$633,2),"Medium",TRUE,"High")</f>
        <v>Low</v>
      </c>
      <c r="R110" t="s">
        <v>842</v>
      </c>
      <c r="S110" s="4">
        <v>82.14</v>
      </c>
      <c r="T110">
        <v>166.04</v>
      </c>
      <c r="U110">
        <v>166.04</v>
      </c>
      <c r="V110" s="7">
        <v>0</v>
      </c>
      <c r="W110" s="7">
        <v>0</v>
      </c>
      <c r="X110" s="7" t="str">
        <f t="shared" si="6"/>
        <v>okay</v>
      </c>
      <c r="Y110" s="9">
        <v>10</v>
      </c>
      <c r="Z110">
        <v>1660.3999999999999</v>
      </c>
      <c r="AA110">
        <v>821.4</v>
      </c>
      <c r="AB110">
        <v>838.99999999999989</v>
      </c>
      <c r="AC110">
        <v>0.50529992772825827</v>
      </c>
    </row>
    <row r="111" spans="1:29" x14ac:dyDescent="0.3">
      <c r="A111" t="s">
        <v>124</v>
      </c>
      <c r="B111" s="3">
        <v>45445</v>
      </c>
      <c r="C111" s="3" t="str">
        <v>Jun-2024</v>
      </c>
      <c r="D111" s="11" t="str">
        <f t="shared" si="4"/>
        <v>Q2-2024</v>
      </c>
      <c r="E111" s="3">
        <v>45451</v>
      </c>
      <c r="F111" s="3">
        <v>45445</v>
      </c>
      <c r="G111" s="4">
        <f t="shared" si="5"/>
        <v>6</v>
      </c>
      <c r="H111" s="4" t="str">
        <v>ontime</v>
      </c>
      <c r="I111" s="4">
        <f t="shared" si="7"/>
        <v>1</v>
      </c>
      <c r="J111" t="s">
        <v>646</v>
      </c>
      <c r="K111" t="s">
        <v>650</v>
      </c>
      <c r="L111" t="s">
        <v>662</v>
      </c>
      <c r="M111" t="s">
        <v>704</v>
      </c>
      <c r="N111" t="s">
        <v>709</v>
      </c>
      <c r="O111" t="s">
        <v>720</v>
      </c>
      <c r="P111" t="s">
        <v>733</v>
      </c>
      <c r="Q111" t="str" cm="1">
        <f t="array" ref="Q111">_xlfn.IFS(U111&lt;=_xlfn.QUARTILE.INC($U$2:$U742,1),"Low",B111&lt;=_xlfn.QUARTILE.INC($U$2:$U$633,2),"Medium",TRUE,"High")</f>
        <v>Low</v>
      </c>
      <c r="R111" t="s">
        <v>843</v>
      </c>
      <c r="S111" s="4">
        <v>292.94</v>
      </c>
      <c r="T111">
        <v>356.55</v>
      </c>
      <c r="U111">
        <v>356.55</v>
      </c>
      <c r="V111" s="7">
        <v>0.22900000000000001</v>
      </c>
      <c r="W111" s="7">
        <v>0.22900000000000001</v>
      </c>
      <c r="X111" s="7" t="str">
        <f t="shared" si="6"/>
        <v>High discount</v>
      </c>
      <c r="Y111" s="9">
        <v>2</v>
      </c>
      <c r="Z111">
        <v>549.80010000000004</v>
      </c>
      <c r="AA111">
        <v>585.88</v>
      </c>
      <c r="AB111">
        <v>-36.079899999999952</v>
      </c>
      <c r="AC111">
        <v>-6.5623669402751925E-2</v>
      </c>
    </row>
    <row r="112" spans="1:29" x14ac:dyDescent="0.3">
      <c r="A112" t="s">
        <v>125</v>
      </c>
      <c r="B112" s="3">
        <v>45452</v>
      </c>
      <c r="C112" s="3" t="str">
        <v>Jun-2024</v>
      </c>
      <c r="D112" s="11" t="str">
        <f t="shared" si="4"/>
        <v>Q2-2024</v>
      </c>
      <c r="E112" s="3">
        <v>45480</v>
      </c>
      <c r="F112" s="3">
        <v>45452</v>
      </c>
      <c r="G112" s="4">
        <f t="shared" si="5"/>
        <v>28</v>
      </c>
      <c r="H112" s="4" t="str">
        <v>delayed</v>
      </c>
      <c r="I112" s="4">
        <f t="shared" si="7"/>
        <v>0</v>
      </c>
      <c r="J112" t="s">
        <v>647</v>
      </c>
      <c r="K112" t="s">
        <v>659</v>
      </c>
      <c r="L112" t="s">
        <v>676</v>
      </c>
      <c r="M112" t="s">
        <v>701</v>
      </c>
      <c r="N112" t="s">
        <v>708</v>
      </c>
      <c r="O112" t="s">
        <v>713</v>
      </c>
      <c r="P112" t="s">
        <v>727</v>
      </c>
      <c r="Q112" t="str" cm="1">
        <f t="array" ref="Q112">_xlfn.IFS(U112&lt;=_xlfn.QUARTILE.INC($U$2:$U743,1),"Low",B112&lt;=_xlfn.QUARTILE.INC($U$2:$U$633,2),"Medium",TRUE,"High")</f>
        <v>High</v>
      </c>
      <c r="R112" t="s">
        <v>844</v>
      </c>
      <c r="S112" s="4">
        <v>550.22</v>
      </c>
      <c r="T112">
        <v>1025.05</v>
      </c>
      <c r="U112">
        <v>1025.05</v>
      </c>
      <c r="V112" s="7">
        <v>0</v>
      </c>
      <c r="W112" s="7">
        <v>0</v>
      </c>
      <c r="X112" s="7" t="str">
        <f t="shared" si="6"/>
        <v>okay</v>
      </c>
      <c r="Y112" s="9">
        <v>27</v>
      </c>
      <c r="Z112">
        <v>27676.35</v>
      </c>
      <c r="AA112">
        <v>14855.94</v>
      </c>
      <c r="AB112">
        <v>12820.409999999998</v>
      </c>
      <c r="AC112">
        <v>0.46322618408858102</v>
      </c>
    </row>
    <row r="113" spans="1:29" x14ac:dyDescent="0.3">
      <c r="A113" t="s">
        <v>126</v>
      </c>
      <c r="B113" s="3">
        <v>45453</v>
      </c>
      <c r="C113" s="3" t="str">
        <v>Jun-2024</v>
      </c>
      <c r="D113" s="11" t="str">
        <f t="shared" si="4"/>
        <v>Q2-2024</v>
      </c>
      <c r="E113" s="3">
        <v>45454</v>
      </c>
      <c r="F113" s="3">
        <v>45453</v>
      </c>
      <c r="G113" s="4">
        <f t="shared" si="5"/>
        <v>1</v>
      </c>
      <c r="H113" s="4" t="str">
        <v>ontime</v>
      </c>
      <c r="I113" s="4">
        <f t="shared" si="7"/>
        <v>1</v>
      </c>
      <c r="J113" t="s">
        <v>649</v>
      </c>
      <c r="K113" t="s">
        <v>658</v>
      </c>
      <c r="L113" t="s">
        <v>674</v>
      </c>
      <c r="M113" t="s">
        <v>705</v>
      </c>
      <c r="N113" t="s">
        <v>709</v>
      </c>
      <c r="O113" t="s">
        <v>724</v>
      </c>
      <c r="P113" t="s">
        <v>731</v>
      </c>
      <c r="Q113" t="str" cm="1">
        <f t="array" ref="Q113">_xlfn.IFS(U113&lt;=_xlfn.QUARTILE.INC($U$2:$U744,1),"Low",B113&lt;=_xlfn.QUARTILE.INC($U$2:$U$633,2),"Medium",TRUE,"High")</f>
        <v>High</v>
      </c>
      <c r="R113" t="s">
        <v>845</v>
      </c>
      <c r="S113" s="4">
        <v>1187.1300000000001</v>
      </c>
      <c r="T113">
        <v>1795.17</v>
      </c>
      <c r="U113">
        <v>1795.17</v>
      </c>
      <c r="V113" s="7">
        <v>1.2E-2</v>
      </c>
      <c r="W113" s="7">
        <v>1.2E-2</v>
      </c>
      <c r="X113" s="7" t="str">
        <f t="shared" si="6"/>
        <v>okay</v>
      </c>
      <c r="Y113" s="9">
        <v>17</v>
      </c>
      <c r="Z113">
        <v>30151.675319999998</v>
      </c>
      <c r="AA113">
        <v>20181.210000000003</v>
      </c>
      <c r="AB113">
        <v>9970.4653199999957</v>
      </c>
      <c r="AC113">
        <v>0.33067699271046663</v>
      </c>
    </row>
    <row r="114" spans="1:29" x14ac:dyDescent="0.3">
      <c r="A114" t="s">
        <v>127</v>
      </c>
      <c r="B114" s="3">
        <v>45472</v>
      </c>
      <c r="C114" s="3" t="str">
        <v>Jun-2024</v>
      </c>
      <c r="D114" s="11" t="str">
        <f t="shared" si="4"/>
        <v>Q2-2024</v>
      </c>
      <c r="E114" s="3">
        <v>45499</v>
      </c>
      <c r="F114" s="3">
        <v>45472</v>
      </c>
      <c r="G114" s="4">
        <f t="shared" si="5"/>
        <v>27</v>
      </c>
      <c r="H114" s="4" t="str">
        <v>delayed</v>
      </c>
      <c r="I114" s="4">
        <f t="shared" si="7"/>
        <v>0</v>
      </c>
      <c r="J114" t="s">
        <v>646</v>
      </c>
      <c r="K114" t="s">
        <v>661</v>
      </c>
      <c r="L114" t="s">
        <v>687</v>
      </c>
      <c r="M114" t="s">
        <v>706</v>
      </c>
      <c r="N114" t="s">
        <v>710</v>
      </c>
      <c r="O114" t="s">
        <v>717</v>
      </c>
      <c r="P114" t="s">
        <v>729</v>
      </c>
      <c r="Q114" t="str" cm="1">
        <f t="array" ref="Q114">_xlfn.IFS(U114&lt;=_xlfn.QUARTILE.INC($U$2:$U745,1),"Low",B114&lt;=_xlfn.QUARTILE.INC($U$2:$U$633,2),"Medium",TRUE,"High")</f>
        <v>Low</v>
      </c>
      <c r="R114" t="s">
        <v>846</v>
      </c>
      <c r="S114" s="4">
        <v>5.36</v>
      </c>
      <c r="T114">
        <v>4.37</v>
      </c>
      <c r="U114">
        <v>4.37</v>
      </c>
      <c r="V114" s="7">
        <v>0.11799999999999999</v>
      </c>
      <c r="W114" s="7">
        <v>0.11799999999999999</v>
      </c>
      <c r="X114" s="7" t="str">
        <f t="shared" si="6"/>
        <v>okay</v>
      </c>
      <c r="Y114" s="9">
        <v>9</v>
      </c>
      <c r="Z114">
        <v>34.689059999999998</v>
      </c>
      <c r="AA114">
        <v>48.24</v>
      </c>
      <c r="AB114">
        <v>-13.550940000000004</v>
      </c>
      <c r="AC114">
        <v>-0.39064016148030545</v>
      </c>
    </row>
    <row r="115" spans="1:29" x14ac:dyDescent="0.3">
      <c r="A115" t="s">
        <v>128</v>
      </c>
      <c r="B115" s="3">
        <v>45674</v>
      </c>
      <c r="C115" s="3" t="str">
        <v>Jan-2025</v>
      </c>
      <c r="D115" s="11" t="str">
        <f t="shared" si="4"/>
        <v>Q1-2025</v>
      </c>
      <c r="E115" s="3">
        <v>45681</v>
      </c>
      <c r="F115" s="3">
        <v>45674</v>
      </c>
      <c r="G115" s="4">
        <f t="shared" si="5"/>
        <v>7</v>
      </c>
      <c r="H115" s="4" t="str">
        <v>ontime</v>
      </c>
      <c r="I115" s="4">
        <f t="shared" si="7"/>
        <v>1</v>
      </c>
      <c r="J115" t="s">
        <v>648</v>
      </c>
      <c r="K115" t="s">
        <v>660</v>
      </c>
      <c r="L115" t="s">
        <v>697</v>
      </c>
      <c r="M115" t="s">
        <v>706</v>
      </c>
      <c r="N115" t="s">
        <v>708</v>
      </c>
      <c r="O115" t="s">
        <v>715</v>
      </c>
      <c r="P115" t="s">
        <v>733</v>
      </c>
      <c r="Q115" t="str" cm="1">
        <f t="array" ref="Q115">_xlfn.IFS(U115&lt;=_xlfn.QUARTILE.INC($U$2:$U746,1),"Low",B115&lt;=_xlfn.QUARTILE.INC($U$2:$U$633,2),"Medium",TRUE,"High")</f>
        <v>Low</v>
      </c>
      <c r="R115" t="s">
        <v>847</v>
      </c>
      <c r="S115" s="4">
        <v>142.09</v>
      </c>
      <c r="T115">
        <v>218.5</v>
      </c>
      <c r="U115">
        <v>218.5</v>
      </c>
      <c r="V115" s="7">
        <v>0.11899999999999999</v>
      </c>
      <c r="W115" s="7">
        <v>0.11899999999999999</v>
      </c>
      <c r="X115" s="7" t="str">
        <f t="shared" si="6"/>
        <v>okay</v>
      </c>
      <c r="Y115" s="9">
        <v>11</v>
      </c>
      <c r="Z115">
        <v>2117.4834999999998</v>
      </c>
      <c r="AA115">
        <v>1562.99</v>
      </c>
      <c r="AB115">
        <v>554.49349999999981</v>
      </c>
      <c r="AC115">
        <v>0.26186437816398561</v>
      </c>
    </row>
    <row r="116" spans="1:29" x14ac:dyDescent="0.3">
      <c r="A116" t="s">
        <v>129</v>
      </c>
      <c r="B116" s="3">
        <v>45250</v>
      </c>
      <c r="C116" s="3" t="str">
        <v>Nov-2023</v>
      </c>
      <c r="D116" s="11" t="str">
        <f t="shared" si="4"/>
        <v>Q4-2023</v>
      </c>
      <c r="E116" s="3">
        <v>45265</v>
      </c>
      <c r="F116" s="3">
        <v>45250</v>
      </c>
      <c r="G116" s="4">
        <f t="shared" si="5"/>
        <v>15</v>
      </c>
      <c r="H116" s="4" t="str">
        <v>delayed</v>
      </c>
      <c r="I116" s="4">
        <f t="shared" si="7"/>
        <v>0</v>
      </c>
      <c r="J116" t="s">
        <v>647</v>
      </c>
      <c r="K116" t="s">
        <v>652</v>
      </c>
      <c r="L116" t="s">
        <v>689</v>
      </c>
      <c r="M116" t="s">
        <v>706</v>
      </c>
      <c r="N116" t="s">
        <v>707</v>
      </c>
      <c r="O116" t="s">
        <v>716</v>
      </c>
      <c r="P116" t="s">
        <v>729</v>
      </c>
      <c r="Q116" t="str" cm="1">
        <f t="array" ref="Q116">_xlfn.IFS(U116&lt;=_xlfn.QUARTILE.INC($U$2:$U747,1),"Low",B116&lt;=_xlfn.QUARTILE.INC($U$2:$U$633,2),"Medium",TRUE,"High")</f>
        <v>Low</v>
      </c>
      <c r="R116" t="s">
        <v>848</v>
      </c>
      <c r="S116" s="4">
        <v>354.24</v>
      </c>
      <c r="T116">
        <v>249.87</v>
      </c>
      <c r="U116">
        <v>249.87</v>
      </c>
      <c r="V116" s="7">
        <v>0</v>
      </c>
      <c r="W116" s="7">
        <v>0</v>
      </c>
      <c r="X116" s="7" t="str">
        <f t="shared" si="6"/>
        <v>okay</v>
      </c>
      <c r="Y116" s="9">
        <v>6</v>
      </c>
      <c r="Z116">
        <v>1499.22</v>
      </c>
      <c r="AA116">
        <v>2125.44</v>
      </c>
      <c r="AB116">
        <v>-626.22</v>
      </c>
      <c r="AC116">
        <v>-0.41769720254532355</v>
      </c>
    </row>
    <row r="117" spans="1:29" x14ac:dyDescent="0.3">
      <c r="A117" t="s">
        <v>130</v>
      </c>
      <c r="B117" s="3">
        <v>44987</v>
      </c>
      <c r="C117" s="3" t="str">
        <v>Mar-2023</v>
      </c>
      <c r="D117" s="11" t="str">
        <f t="shared" si="4"/>
        <v>Q1-2023</v>
      </c>
      <c r="E117" s="3">
        <v>44990</v>
      </c>
      <c r="F117" s="3">
        <v>44987</v>
      </c>
      <c r="G117" s="4">
        <f t="shared" si="5"/>
        <v>3</v>
      </c>
      <c r="H117" s="4" t="str">
        <v>ontime</v>
      </c>
      <c r="I117" s="4">
        <f t="shared" si="7"/>
        <v>1</v>
      </c>
      <c r="J117" t="s">
        <v>648</v>
      </c>
      <c r="K117" t="s">
        <v>655</v>
      </c>
      <c r="L117" t="s">
        <v>672</v>
      </c>
      <c r="M117" t="s">
        <v>706</v>
      </c>
      <c r="N117" t="s">
        <v>711</v>
      </c>
      <c r="O117" t="s">
        <v>715</v>
      </c>
      <c r="P117" t="s">
        <v>732</v>
      </c>
      <c r="Q117" t="str" cm="1">
        <f t="array" ref="Q117">_xlfn.IFS(U117&lt;=_xlfn.QUARTILE.INC($U$2:$U748,1),"Low",B117&lt;=_xlfn.QUARTILE.INC($U$2:$U$633,2),"Medium",TRUE,"High")</f>
        <v>High</v>
      </c>
      <c r="R117" t="s">
        <v>849</v>
      </c>
      <c r="S117" s="4">
        <v>1473.58</v>
      </c>
      <c r="T117">
        <v>3436.52</v>
      </c>
      <c r="U117">
        <v>3436.52</v>
      </c>
      <c r="V117" s="7">
        <v>0.108</v>
      </c>
      <c r="W117" s="7">
        <v>0.108</v>
      </c>
      <c r="X117" s="7" t="str">
        <f t="shared" si="6"/>
        <v>okay</v>
      </c>
      <c r="Y117" s="9">
        <v>8</v>
      </c>
      <c r="Z117">
        <v>24523.006720000001</v>
      </c>
      <c r="AA117">
        <v>11788.64</v>
      </c>
      <c r="AB117">
        <v>12734.366720000002</v>
      </c>
      <c r="AC117">
        <v>0.51928243813652564</v>
      </c>
    </row>
    <row r="118" spans="1:29" x14ac:dyDescent="0.3">
      <c r="A118" t="s">
        <v>131</v>
      </c>
      <c r="B118" s="3">
        <v>45811</v>
      </c>
      <c r="C118" s="3" t="str">
        <v>Jun-2025</v>
      </c>
      <c r="D118" s="11" t="str">
        <f t="shared" si="4"/>
        <v>Q2-2025</v>
      </c>
      <c r="E118" s="3">
        <v>45818</v>
      </c>
      <c r="F118" s="3">
        <v>45811</v>
      </c>
      <c r="G118" s="4">
        <f t="shared" si="5"/>
        <v>7</v>
      </c>
      <c r="H118" s="4" t="str">
        <v>ontime</v>
      </c>
      <c r="I118" s="4">
        <f t="shared" si="7"/>
        <v>1</v>
      </c>
      <c r="J118" t="s">
        <v>648</v>
      </c>
      <c r="K118" t="s">
        <v>653</v>
      </c>
      <c r="L118" t="s">
        <v>667</v>
      </c>
      <c r="M118" t="s">
        <v>704</v>
      </c>
      <c r="N118" t="s">
        <v>710</v>
      </c>
      <c r="O118" t="s">
        <v>719</v>
      </c>
      <c r="P118" t="s">
        <v>728</v>
      </c>
      <c r="Q118" t="str" cm="1">
        <f t="array" ref="Q118">_xlfn.IFS(U118&lt;=_xlfn.QUARTILE.INC($U$2:$U749,1),"Low",B118&lt;=_xlfn.QUARTILE.INC($U$2:$U$633,2),"Medium",TRUE,"High")</f>
        <v>Low</v>
      </c>
      <c r="R118" t="s">
        <v>850</v>
      </c>
      <c r="S118" s="4">
        <v>75.180000000000007</v>
      </c>
      <c r="T118">
        <v>53.45</v>
      </c>
      <c r="U118">
        <v>53.45</v>
      </c>
      <c r="V118" s="7">
        <v>0.157</v>
      </c>
      <c r="W118" s="7">
        <v>0.157</v>
      </c>
      <c r="X118" s="7" t="str">
        <f t="shared" si="6"/>
        <v>okay</v>
      </c>
      <c r="Y118" s="9">
        <v>17</v>
      </c>
      <c r="Z118">
        <v>765.99195000000009</v>
      </c>
      <c r="AA118">
        <v>1278.0600000000002</v>
      </c>
      <c r="AB118">
        <v>-512.06805000000008</v>
      </c>
      <c r="AC118">
        <v>-0.66850317421743144</v>
      </c>
    </row>
    <row r="119" spans="1:29" x14ac:dyDescent="0.3">
      <c r="A119" t="s">
        <v>132</v>
      </c>
      <c r="B119" s="3">
        <v>45653</v>
      </c>
      <c r="C119" s="3" t="str">
        <v>Dec-2024</v>
      </c>
      <c r="D119" s="11" t="str">
        <f t="shared" si="4"/>
        <v>Q4-2024</v>
      </c>
      <c r="E119" s="3">
        <v>45659</v>
      </c>
      <c r="F119" s="3">
        <v>45653</v>
      </c>
      <c r="G119" s="4">
        <f t="shared" si="5"/>
        <v>6</v>
      </c>
      <c r="H119" s="4" t="str">
        <v>ontime</v>
      </c>
      <c r="I119" s="4">
        <f t="shared" si="7"/>
        <v>1</v>
      </c>
      <c r="J119" t="s">
        <v>649</v>
      </c>
      <c r="K119" t="s">
        <v>656</v>
      </c>
      <c r="L119" t="s">
        <v>698</v>
      </c>
      <c r="M119" t="s">
        <v>702</v>
      </c>
      <c r="N119" t="s">
        <v>711</v>
      </c>
      <c r="O119" t="s">
        <v>721</v>
      </c>
      <c r="P119" t="s">
        <v>731</v>
      </c>
      <c r="Q119" t="str" cm="1">
        <f t="array" ref="Q119">_xlfn.IFS(U119&lt;=_xlfn.QUARTILE.INC($U$2:$U750,1),"Low",B119&lt;=_xlfn.QUARTILE.INC($U$2:$U$633,2),"Medium",TRUE,"High")</f>
        <v>High</v>
      </c>
      <c r="R119" t="s">
        <v>851</v>
      </c>
      <c r="S119" s="4">
        <v>1391.99</v>
      </c>
      <c r="T119">
        <v>3469.7</v>
      </c>
      <c r="U119">
        <v>3469.7</v>
      </c>
      <c r="V119" s="7">
        <v>0.184</v>
      </c>
      <c r="W119" s="7">
        <v>0.184</v>
      </c>
      <c r="X119" s="7" t="str">
        <f t="shared" si="6"/>
        <v>okay</v>
      </c>
      <c r="Y119" s="9">
        <v>23</v>
      </c>
      <c r="Z119">
        <v>65119.329599999997</v>
      </c>
      <c r="AA119">
        <v>32015.77</v>
      </c>
      <c r="AB119">
        <v>33103.559599999993</v>
      </c>
      <c r="AC119">
        <v>0.50835227886006973</v>
      </c>
    </row>
    <row r="120" spans="1:29" x14ac:dyDescent="0.3">
      <c r="A120" t="s">
        <v>133</v>
      </c>
      <c r="B120" s="3">
        <v>45086</v>
      </c>
      <c r="C120" s="3" t="str">
        <v>Jun-2023</v>
      </c>
      <c r="D120" s="11" t="str">
        <f t="shared" si="4"/>
        <v>Q2-2023</v>
      </c>
      <c r="E120" s="3">
        <v>45096</v>
      </c>
      <c r="F120" s="3">
        <v>45086</v>
      </c>
      <c r="G120" s="4">
        <f t="shared" si="5"/>
        <v>10</v>
      </c>
      <c r="H120" s="4" t="str">
        <v>delayed</v>
      </c>
      <c r="I120" s="4">
        <f t="shared" si="7"/>
        <v>0</v>
      </c>
      <c r="J120" t="s">
        <v>647</v>
      </c>
      <c r="K120" t="s">
        <v>659</v>
      </c>
      <c r="L120" t="s">
        <v>699</v>
      </c>
      <c r="M120" t="s">
        <v>706</v>
      </c>
      <c r="N120" t="s">
        <v>707</v>
      </c>
      <c r="O120" t="s">
        <v>721</v>
      </c>
      <c r="P120" t="s">
        <v>732</v>
      </c>
      <c r="Q120" t="str" cm="1">
        <f t="array" ref="Q120">_xlfn.IFS(U120&lt;=_xlfn.QUARTILE.INC($U$2:$U751,1),"Low",B120&lt;=_xlfn.QUARTILE.INC($U$2:$U$633,2),"Medium",TRUE,"High")</f>
        <v>High</v>
      </c>
      <c r="R120" t="s">
        <v>852</v>
      </c>
      <c r="S120" s="4">
        <v>339.61</v>
      </c>
      <c r="T120">
        <v>621.02</v>
      </c>
      <c r="U120">
        <v>621.02</v>
      </c>
      <c r="V120" s="7">
        <v>7.0999999999999994E-2</v>
      </c>
      <c r="W120" s="7">
        <v>7.0999999999999994E-2</v>
      </c>
      <c r="X120" s="7" t="str">
        <f t="shared" si="6"/>
        <v>okay</v>
      </c>
      <c r="Y120" s="9">
        <v>10</v>
      </c>
      <c r="Z120">
        <v>5769.2758000000003</v>
      </c>
      <c r="AA120">
        <v>3396.1000000000004</v>
      </c>
      <c r="AB120">
        <v>2373.1758</v>
      </c>
      <c r="AC120">
        <v>0.41134726129750981</v>
      </c>
    </row>
    <row r="121" spans="1:29" x14ac:dyDescent="0.3">
      <c r="A121" t="s">
        <v>134</v>
      </c>
      <c r="B121" s="3">
        <v>45847</v>
      </c>
      <c r="C121" s="3" t="str">
        <v>Jul-2025</v>
      </c>
      <c r="D121" s="11" t="str">
        <f t="shared" si="4"/>
        <v>Q3-2025</v>
      </c>
      <c r="E121" s="3">
        <v>45856</v>
      </c>
      <c r="F121" s="3">
        <v>45847</v>
      </c>
      <c r="G121" s="4">
        <f t="shared" si="5"/>
        <v>9</v>
      </c>
      <c r="H121" s="4" t="str">
        <v>delayed</v>
      </c>
      <c r="I121" s="4">
        <f t="shared" si="7"/>
        <v>0</v>
      </c>
      <c r="J121" t="s">
        <v>648</v>
      </c>
      <c r="K121" t="s">
        <v>653</v>
      </c>
      <c r="L121" t="s">
        <v>688</v>
      </c>
      <c r="M121" t="s">
        <v>702</v>
      </c>
      <c r="N121" t="s">
        <v>710</v>
      </c>
      <c r="O121" t="s">
        <v>714</v>
      </c>
      <c r="P121" t="s">
        <v>731</v>
      </c>
      <c r="Q121" t="str" cm="1">
        <f t="array" ref="Q121">_xlfn.IFS(U121&lt;=_xlfn.QUARTILE.INC($U$2:$U752,1),"Low",B121&lt;=_xlfn.QUARTILE.INC($U$2:$U$633,2),"Medium",TRUE,"High")</f>
        <v>Low</v>
      </c>
      <c r="R121" t="s">
        <v>853</v>
      </c>
      <c r="S121" s="4">
        <v>57.96</v>
      </c>
      <c r="T121">
        <v>88.51</v>
      </c>
      <c r="U121">
        <v>88.51</v>
      </c>
      <c r="V121" s="7">
        <v>4.2999999999999997E-2</v>
      </c>
      <c r="W121" s="7">
        <v>4.2999999999999997E-2</v>
      </c>
      <c r="X121" s="7" t="str">
        <f t="shared" si="6"/>
        <v>okay</v>
      </c>
      <c r="Y121" s="9">
        <v>7</v>
      </c>
      <c r="Z121">
        <v>592.92849000000001</v>
      </c>
      <c r="AA121">
        <v>405.72</v>
      </c>
      <c r="AB121">
        <v>187.20848999999998</v>
      </c>
      <c r="AC121">
        <v>0.3157353595877978</v>
      </c>
    </row>
    <row r="122" spans="1:29" x14ac:dyDescent="0.3">
      <c r="A122" t="s">
        <v>135</v>
      </c>
      <c r="B122" s="3">
        <v>45827</v>
      </c>
      <c r="C122" s="3" t="str">
        <v>Jun-2025</v>
      </c>
      <c r="D122" s="11" t="str">
        <f t="shared" si="4"/>
        <v>Q2-2025</v>
      </c>
      <c r="E122" s="3">
        <v>45850</v>
      </c>
      <c r="F122" s="3">
        <v>45827</v>
      </c>
      <c r="G122" s="4">
        <f t="shared" si="5"/>
        <v>23</v>
      </c>
      <c r="H122" s="4" t="str">
        <v>delayed</v>
      </c>
      <c r="I122" s="4">
        <f t="shared" si="7"/>
        <v>0</v>
      </c>
      <c r="J122" t="s">
        <v>649</v>
      </c>
      <c r="K122" t="s">
        <v>658</v>
      </c>
      <c r="L122" t="s">
        <v>1421</v>
      </c>
      <c r="M122" t="s">
        <v>703</v>
      </c>
      <c r="N122" t="s">
        <v>711</v>
      </c>
      <c r="O122" t="s">
        <v>1421</v>
      </c>
      <c r="P122" t="s">
        <v>729</v>
      </c>
      <c r="Q122" t="str" cm="1">
        <f t="array" ref="Q122">_xlfn.IFS(U122&lt;=_xlfn.QUARTILE.INC($U$2:$U753,1),"Low",B122&lt;=_xlfn.QUARTILE.INC($U$2:$U$633,2),"Medium",TRUE,"High")</f>
        <v>High</v>
      </c>
      <c r="R122" t="s">
        <v>854</v>
      </c>
      <c r="S122" s="4">
        <v>801.24</v>
      </c>
      <c r="T122">
        <v>1959.09</v>
      </c>
      <c r="U122">
        <v>1959.09</v>
      </c>
      <c r="V122" s="7">
        <v>0.123</v>
      </c>
      <c r="W122" s="7">
        <v>0.123</v>
      </c>
      <c r="X122" s="7" t="str">
        <f t="shared" si="6"/>
        <v>okay</v>
      </c>
      <c r="Y122" s="9">
        <v>23</v>
      </c>
      <c r="Z122">
        <v>39516.804389999998</v>
      </c>
      <c r="AA122">
        <v>18428.52</v>
      </c>
      <c r="AB122">
        <v>21088.284389999997</v>
      </c>
      <c r="AC122">
        <v>0.53365358650651762</v>
      </c>
    </row>
    <row r="123" spans="1:29" x14ac:dyDescent="0.3">
      <c r="A123" t="s">
        <v>136</v>
      </c>
      <c r="B123" s="3">
        <v>45249</v>
      </c>
      <c r="C123" s="3" t="str">
        <v>Nov-2023</v>
      </c>
      <c r="D123" s="11" t="str">
        <f t="shared" si="4"/>
        <v>Q4-2023</v>
      </c>
      <c r="E123" s="3">
        <v>45273</v>
      </c>
      <c r="F123" s="3">
        <v>45249</v>
      </c>
      <c r="G123" s="4">
        <f t="shared" si="5"/>
        <v>24</v>
      </c>
      <c r="H123" s="4" t="str">
        <v>delayed</v>
      </c>
      <c r="I123" s="4">
        <f t="shared" si="7"/>
        <v>0</v>
      </c>
      <c r="J123" t="s">
        <v>649</v>
      </c>
      <c r="K123" t="s">
        <v>657</v>
      </c>
      <c r="L123" t="s">
        <v>679</v>
      </c>
      <c r="M123" t="s">
        <v>703</v>
      </c>
      <c r="N123" t="s">
        <v>711</v>
      </c>
      <c r="O123" t="s">
        <v>722</v>
      </c>
      <c r="P123" t="s">
        <v>732</v>
      </c>
      <c r="Q123" t="str" cm="1">
        <f t="array" ref="Q123">_xlfn.IFS(U123&lt;=_xlfn.QUARTILE.INC($U$2:$U754,1),"Low",B123&lt;=_xlfn.QUARTILE.INC($U$2:$U$633,2),"Medium",TRUE,"High")</f>
        <v>High</v>
      </c>
      <c r="R123" t="s">
        <v>855</v>
      </c>
      <c r="S123" s="4">
        <v>1297.42</v>
      </c>
      <c r="T123">
        <v>2742.97</v>
      </c>
      <c r="U123">
        <v>2742.97</v>
      </c>
      <c r="V123" s="7">
        <v>6.9000000000000006E-2</v>
      </c>
      <c r="W123" s="7">
        <v>6.9000000000000006E-2</v>
      </c>
      <c r="X123" s="7" t="str">
        <f t="shared" si="6"/>
        <v>okay</v>
      </c>
      <c r="Y123" s="9">
        <v>9</v>
      </c>
      <c r="Z123">
        <v>22983.34563</v>
      </c>
      <c r="AA123">
        <v>11676.78</v>
      </c>
      <c r="AB123">
        <v>11306.565629999999</v>
      </c>
      <c r="AC123">
        <v>0.49194602961727291</v>
      </c>
    </row>
    <row r="124" spans="1:29" x14ac:dyDescent="0.3">
      <c r="A124" t="s">
        <v>137</v>
      </c>
      <c r="B124" s="3">
        <v>45289</v>
      </c>
      <c r="C124" s="3" t="str">
        <v>Dec-2023</v>
      </c>
      <c r="D124" s="11" t="str">
        <f t="shared" si="4"/>
        <v>Q4-2023</v>
      </c>
      <c r="E124" s="3">
        <v>45311</v>
      </c>
      <c r="F124" s="3">
        <v>45289</v>
      </c>
      <c r="G124" s="4">
        <f t="shared" si="5"/>
        <v>22</v>
      </c>
      <c r="H124" s="4" t="str">
        <v>delayed</v>
      </c>
      <c r="I124" s="4">
        <f t="shared" si="7"/>
        <v>0</v>
      </c>
      <c r="J124" t="s">
        <v>646</v>
      </c>
      <c r="K124" t="s">
        <v>650</v>
      </c>
      <c r="L124" t="s">
        <v>662</v>
      </c>
      <c r="M124" t="s">
        <v>701</v>
      </c>
      <c r="N124" t="s">
        <v>711</v>
      </c>
      <c r="O124" t="s">
        <v>716</v>
      </c>
      <c r="P124" t="s">
        <v>730</v>
      </c>
      <c r="Q124" t="str" cm="1">
        <f t="array" ref="Q124">_xlfn.IFS(U124&lt;=_xlfn.QUARTILE.INC($U$2:$U755,1),"Low",B124&lt;=_xlfn.QUARTILE.INC($U$2:$U$633,2),"Medium",TRUE,"High")</f>
        <v>High</v>
      </c>
      <c r="R124" t="s">
        <v>856</v>
      </c>
      <c r="S124" s="4">
        <v>1395.49</v>
      </c>
      <c r="T124">
        <v>1679.42</v>
      </c>
      <c r="U124">
        <v>1679.42</v>
      </c>
      <c r="V124" s="7">
        <v>0.20300000000000001</v>
      </c>
      <c r="W124" s="7">
        <v>0.20300000000000001</v>
      </c>
      <c r="X124" s="7" t="str">
        <f t="shared" si="6"/>
        <v>High discount</v>
      </c>
      <c r="Y124" s="9">
        <v>12</v>
      </c>
      <c r="Z124">
        <v>16061.972879999999</v>
      </c>
      <c r="AA124">
        <v>16745.88</v>
      </c>
      <c r="AB124">
        <v>-683.90712000000167</v>
      </c>
      <c r="AC124">
        <v>-4.2579272490964493E-2</v>
      </c>
    </row>
    <row r="125" spans="1:29" x14ac:dyDescent="0.3">
      <c r="A125" t="s">
        <v>138</v>
      </c>
      <c r="B125" s="3">
        <v>45598</v>
      </c>
      <c r="C125" s="3" t="str">
        <v>Nov-2024</v>
      </c>
      <c r="D125" s="11" t="str">
        <f t="shared" si="4"/>
        <v>Q4-2024</v>
      </c>
      <c r="E125" s="3">
        <v>45625</v>
      </c>
      <c r="F125" s="3">
        <v>45598</v>
      </c>
      <c r="G125" s="4">
        <f t="shared" si="5"/>
        <v>27</v>
      </c>
      <c r="H125" s="4" t="str">
        <v>delayed</v>
      </c>
      <c r="I125" s="4">
        <f t="shared" si="7"/>
        <v>0</v>
      </c>
      <c r="J125" t="s">
        <v>648</v>
      </c>
      <c r="K125" t="s">
        <v>655</v>
      </c>
      <c r="L125" t="s">
        <v>672</v>
      </c>
      <c r="M125" t="s">
        <v>705</v>
      </c>
      <c r="N125" t="s">
        <v>711</v>
      </c>
      <c r="O125" t="s">
        <v>714</v>
      </c>
      <c r="P125" t="s">
        <v>729</v>
      </c>
      <c r="Q125" t="str" cm="1">
        <f t="array" ref="Q125">_xlfn.IFS(U125&lt;=_xlfn.QUARTILE.INC($U$2:$U756,1),"Low",B125&lt;=_xlfn.QUARTILE.INC($U$2:$U$633,2),"Medium",TRUE,"High")</f>
        <v>High</v>
      </c>
      <c r="R125" t="s">
        <v>857</v>
      </c>
      <c r="S125" s="4">
        <v>1363.51</v>
      </c>
      <c r="T125">
        <v>1433.9</v>
      </c>
      <c r="U125">
        <v>1433.9</v>
      </c>
      <c r="V125" s="7">
        <v>5.7000000000000002E-2</v>
      </c>
      <c r="W125" s="7">
        <v>5.7000000000000002E-2</v>
      </c>
      <c r="X125" s="7" t="str">
        <f t="shared" si="6"/>
        <v>okay</v>
      </c>
      <c r="Y125" s="9">
        <v>8</v>
      </c>
      <c r="Z125">
        <v>10817.3416</v>
      </c>
      <c r="AA125">
        <v>10908.08</v>
      </c>
      <c r="AB125">
        <v>-90.738400000000183</v>
      </c>
      <c r="AC125">
        <v>-8.3882346842037592E-3</v>
      </c>
    </row>
    <row r="126" spans="1:29" x14ac:dyDescent="0.3">
      <c r="A126" t="s">
        <v>139</v>
      </c>
      <c r="B126" s="3">
        <v>45159</v>
      </c>
      <c r="C126" s="3" t="str">
        <v>Aug-2023</v>
      </c>
      <c r="D126" s="11" t="str">
        <f t="shared" si="4"/>
        <v>Q3-2023</v>
      </c>
      <c r="E126" s="3">
        <v>45173</v>
      </c>
      <c r="F126" s="3">
        <v>45159</v>
      </c>
      <c r="G126" s="4">
        <f t="shared" si="5"/>
        <v>14</v>
      </c>
      <c r="H126" s="4" t="str">
        <v>delayed</v>
      </c>
      <c r="I126" s="4">
        <f t="shared" si="7"/>
        <v>0</v>
      </c>
      <c r="J126" t="s">
        <v>648</v>
      </c>
      <c r="K126" t="s">
        <v>653</v>
      </c>
      <c r="L126" t="s">
        <v>681</v>
      </c>
      <c r="M126" t="s">
        <v>702</v>
      </c>
      <c r="N126" t="s">
        <v>710</v>
      </c>
      <c r="O126" t="s">
        <v>721</v>
      </c>
      <c r="P126" t="s">
        <v>727</v>
      </c>
      <c r="Q126" t="str" cm="1">
        <f t="array" ref="Q126">_xlfn.IFS(U126&lt;=_xlfn.QUARTILE.INC($U$2:$U757,1),"Low",B126&lt;=_xlfn.QUARTILE.INC($U$2:$U$633,2),"Medium",TRUE,"High")</f>
        <v>Low</v>
      </c>
      <c r="R126" t="s">
        <v>858</v>
      </c>
      <c r="S126" s="4">
        <v>178.19</v>
      </c>
      <c r="T126">
        <v>284.43</v>
      </c>
      <c r="U126">
        <v>284.43</v>
      </c>
      <c r="V126" s="7">
        <v>8.8999999999999996E-2</v>
      </c>
      <c r="W126" s="7">
        <v>8.8999999999999996E-2</v>
      </c>
      <c r="X126" s="7" t="str">
        <f t="shared" si="6"/>
        <v>okay</v>
      </c>
      <c r="Y126" s="9">
        <v>8</v>
      </c>
      <c r="Z126">
        <v>2072.9258400000003</v>
      </c>
      <c r="AA126">
        <v>1425.52</v>
      </c>
      <c r="AB126">
        <v>647.40584000000035</v>
      </c>
      <c r="AC126">
        <v>0.31231500302972742</v>
      </c>
    </row>
    <row r="127" spans="1:29" x14ac:dyDescent="0.3">
      <c r="A127" t="s">
        <v>140</v>
      </c>
      <c r="B127" s="3">
        <v>45150</v>
      </c>
      <c r="C127" s="3" t="str">
        <v>Aug-2023</v>
      </c>
      <c r="D127" s="11" t="str">
        <f t="shared" si="4"/>
        <v>Q3-2023</v>
      </c>
      <c r="E127" s="3">
        <v>45175</v>
      </c>
      <c r="F127" s="3">
        <v>45150</v>
      </c>
      <c r="G127" s="4">
        <f t="shared" si="5"/>
        <v>25</v>
      </c>
      <c r="H127" s="4" t="str">
        <v>delayed</v>
      </c>
      <c r="I127" s="4">
        <f t="shared" si="7"/>
        <v>0</v>
      </c>
      <c r="J127" t="s">
        <v>647</v>
      </c>
      <c r="K127" t="s">
        <v>659</v>
      </c>
      <c r="L127" t="s">
        <v>685</v>
      </c>
      <c r="M127" t="s">
        <v>705</v>
      </c>
      <c r="N127" t="s">
        <v>707</v>
      </c>
      <c r="O127" t="s">
        <v>717</v>
      </c>
      <c r="P127" t="s">
        <v>727</v>
      </c>
      <c r="Q127" t="str" cm="1">
        <f t="array" ref="Q127">_xlfn.IFS(U127&lt;=_xlfn.QUARTILE.INC($U$2:$U758,1),"Low",B127&lt;=_xlfn.QUARTILE.INC($U$2:$U$633,2),"Medium",TRUE,"High")</f>
        <v>High</v>
      </c>
      <c r="R127" t="s">
        <v>859</v>
      </c>
      <c r="S127" s="4">
        <v>950.77</v>
      </c>
      <c r="T127">
        <v>694.78</v>
      </c>
      <c r="U127">
        <v>694.78</v>
      </c>
      <c r="V127" s="7">
        <v>8.4000000000000005E-2</v>
      </c>
      <c r="W127" s="7">
        <v>8.4000000000000005E-2</v>
      </c>
      <c r="X127" s="7" t="str">
        <f t="shared" si="6"/>
        <v>okay</v>
      </c>
      <c r="Y127" s="9">
        <v>14</v>
      </c>
      <c r="Z127">
        <v>8909.8587200000002</v>
      </c>
      <c r="AA127">
        <v>13310.779999999999</v>
      </c>
      <c r="AB127">
        <v>-4400.9212799999987</v>
      </c>
      <c r="AC127">
        <v>-0.49393839097821279</v>
      </c>
    </row>
    <row r="128" spans="1:29" x14ac:dyDescent="0.3">
      <c r="A128" t="s">
        <v>141</v>
      </c>
      <c r="B128" s="3">
        <v>45450</v>
      </c>
      <c r="C128" s="3" t="str">
        <v>Jun-2024</v>
      </c>
      <c r="D128" s="11" t="str">
        <f t="shared" si="4"/>
        <v>Q2-2024</v>
      </c>
      <c r="E128" s="3">
        <v>45469</v>
      </c>
      <c r="F128" s="3">
        <v>45450</v>
      </c>
      <c r="G128" s="4">
        <f t="shared" si="5"/>
        <v>19</v>
      </c>
      <c r="H128" s="4" t="str">
        <v>delayed</v>
      </c>
      <c r="I128" s="4">
        <f t="shared" si="7"/>
        <v>0</v>
      </c>
      <c r="J128" t="s">
        <v>649</v>
      </c>
      <c r="K128" t="s">
        <v>656</v>
      </c>
      <c r="L128" t="s">
        <v>671</v>
      </c>
      <c r="M128" t="s">
        <v>703</v>
      </c>
      <c r="N128" t="s">
        <v>709</v>
      </c>
      <c r="O128" t="s">
        <v>724</v>
      </c>
      <c r="P128" t="s">
        <v>727</v>
      </c>
      <c r="Q128" t="str" cm="1">
        <f t="array" ref="Q128">_xlfn.IFS(U128&lt;=_xlfn.QUARTILE.INC($U$2:$U759,1),"Low",B128&lt;=_xlfn.QUARTILE.INC($U$2:$U$633,2),"Medium",TRUE,"High")</f>
        <v>High</v>
      </c>
      <c r="R128" t="s">
        <v>860</v>
      </c>
      <c r="S128" s="4">
        <v>1064.32</v>
      </c>
      <c r="T128">
        <v>1848.39</v>
      </c>
      <c r="U128">
        <v>1848.39</v>
      </c>
      <c r="V128" s="7">
        <v>7.2999999999999995E-2</v>
      </c>
      <c r="W128" s="7">
        <v>7.2999999999999995E-2</v>
      </c>
      <c r="X128" s="7" t="str">
        <f t="shared" si="6"/>
        <v>okay</v>
      </c>
      <c r="Y128" s="9">
        <v>38</v>
      </c>
      <c r="Z128">
        <v>65111.38614000001</v>
      </c>
      <c r="AA128">
        <v>40444.159999999996</v>
      </c>
      <c r="AB128">
        <v>24667.226140000013</v>
      </c>
      <c r="AC128">
        <v>0.3788465827921631</v>
      </c>
    </row>
    <row r="129" spans="1:29" x14ac:dyDescent="0.3">
      <c r="A129" t="s">
        <v>142</v>
      </c>
      <c r="B129" s="3">
        <v>45874</v>
      </c>
      <c r="C129" s="3" t="str">
        <v>Aug-2025</v>
      </c>
      <c r="D129" s="11" t="str">
        <f t="shared" si="4"/>
        <v>Q3-2025</v>
      </c>
      <c r="E129" s="3">
        <v>45883</v>
      </c>
      <c r="F129" s="3">
        <v>45874</v>
      </c>
      <c r="G129" s="4">
        <f t="shared" si="5"/>
        <v>9</v>
      </c>
      <c r="H129" s="4" t="str">
        <v>delayed</v>
      </c>
      <c r="I129" s="4">
        <f t="shared" si="7"/>
        <v>0</v>
      </c>
      <c r="J129" t="s">
        <v>649</v>
      </c>
      <c r="K129" t="s">
        <v>658</v>
      </c>
      <c r="L129" t="s">
        <v>683</v>
      </c>
      <c r="M129" t="s">
        <v>703</v>
      </c>
      <c r="N129" t="s">
        <v>711</v>
      </c>
      <c r="O129" t="s">
        <v>718</v>
      </c>
      <c r="P129" t="s">
        <v>727</v>
      </c>
      <c r="Q129" t="str" cm="1">
        <f t="array" ref="Q129">_xlfn.IFS(U129&lt;=_xlfn.QUARTILE.INC($U$2:$U760,1),"Low",B129&lt;=_xlfn.QUARTILE.INC($U$2:$U$633,2),"Medium",TRUE,"High")</f>
        <v>Low</v>
      </c>
      <c r="R129" t="s">
        <v>861</v>
      </c>
      <c r="S129" s="4">
        <v>41.76</v>
      </c>
      <c r="T129">
        <v>45.19</v>
      </c>
      <c r="U129">
        <v>45.19</v>
      </c>
      <c r="V129" s="7">
        <v>0.17899999999999999</v>
      </c>
      <c r="W129" s="7">
        <v>0.17899999999999999</v>
      </c>
      <c r="X129" s="7" t="str">
        <f t="shared" si="6"/>
        <v>okay</v>
      </c>
      <c r="Y129" s="9">
        <v>23</v>
      </c>
      <c r="Z129">
        <v>853.32276999999988</v>
      </c>
      <c r="AA129">
        <v>960.4799999999999</v>
      </c>
      <c r="AB129">
        <v>-107.15723000000003</v>
      </c>
      <c r="AC129">
        <v>-0.12557643340514638</v>
      </c>
    </row>
    <row r="130" spans="1:29" x14ac:dyDescent="0.3">
      <c r="A130" t="s">
        <v>143</v>
      </c>
      <c r="B130" s="3">
        <v>45442</v>
      </c>
      <c r="C130" s="3" t="str">
        <v>May-2024</v>
      </c>
      <c r="D130" s="11" t="str">
        <f t="shared" si="4"/>
        <v>Q2-2024</v>
      </c>
      <c r="E130" s="3">
        <v>45456</v>
      </c>
      <c r="F130" s="3">
        <v>45442</v>
      </c>
      <c r="G130" s="4">
        <f t="shared" si="5"/>
        <v>14</v>
      </c>
      <c r="H130" s="4" t="str">
        <v>delayed</v>
      </c>
      <c r="I130" s="4">
        <f t="shared" si="7"/>
        <v>0</v>
      </c>
      <c r="J130" t="s">
        <v>648</v>
      </c>
      <c r="K130" t="s">
        <v>660</v>
      </c>
      <c r="L130" t="s">
        <v>686</v>
      </c>
      <c r="M130" t="s">
        <v>705</v>
      </c>
      <c r="N130" t="s">
        <v>707</v>
      </c>
      <c r="O130" t="s">
        <v>721</v>
      </c>
      <c r="P130" t="s">
        <v>730</v>
      </c>
      <c r="Q130" t="str" cm="1">
        <f t="array" ref="Q130">_xlfn.IFS(U130&lt;=_xlfn.QUARTILE.INC($U$2:$U761,1),"Low",B130&lt;=_xlfn.QUARTILE.INC($U$2:$U$633,2),"Medium",TRUE,"High")</f>
        <v>Low</v>
      </c>
      <c r="R130" t="s">
        <v>862</v>
      </c>
      <c r="S130" s="4">
        <v>157.78</v>
      </c>
      <c r="T130">
        <v>361.1</v>
      </c>
      <c r="U130">
        <v>361.1</v>
      </c>
      <c r="V130" s="7">
        <v>0.187</v>
      </c>
      <c r="W130" s="7">
        <v>0.187</v>
      </c>
      <c r="X130" s="7" t="str">
        <f t="shared" si="6"/>
        <v>okay</v>
      </c>
      <c r="Y130" s="9">
        <v>9</v>
      </c>
      <c r="Z130">
        <v>2642.1686999999997</v>
      </c>
      <c r="AA130">
        <v>1420.02</v>
      </c>
      <c r="AB130">
        <v>1222.1486999999997</v>
      </c>
      <c r="AC130">
        <v>0.46255513510549112</v>
      </c>
    </row>
    <row r="131" spans="1:29" x14ac:dyDescent="0.3">
      <c r="A131" t="s">
        <v>144</v>
      </c>
      <c r="B131" s="3">
        <v>44948</v>
      </c>
      <c r="C131" s="3" t="str">
        <v>Jan-2023</v>
      </c>
      <c r="D131" s="11" t="str">
        <f t="shared" ref="D131:D194" si="8">"Q" &amp; ROUNDUP(MONTH(C131)/3,0) &amp; "-" &amp; YEAR(C131)</f>
        <v>Q1-2023</v>
      </c>
      <c r="E131" s="3">
        <v>44956</v>
      </c>
      <c r="F131" s="3">
        <v>44948</v>
      </c>
      <c r="G131" s="4">
        <f t="shared" ref="G131:G194" si="9">(E131-F131)</f>
        <v>8</v>
      </c>
      <c r="H131" s="4" t="str">
        <v>delayed</v>
      </c>
      <c r="I131" s="4">
        <f t="shared" si="7"/>
        <v>0</v>
      </c>
      <c r="J131" t="s">
        <v>648</v>
      </c>
      <c r="K131" t="s">
        <v>660</v>
      </c>
      <c r="L131" t="s">
        <v>686</v>
      </c>
      <c r="M131" t="s">
        <v>705</v>
      </c>
      <c r="N131" t="s">
        <v>708</v>
      </c>
      <c r="O131" t="s">
        <v>720</v>
      </c>
      <c r="P131" t="s">
        <v>729</v>
      </c>
      <c r="Q131" t="str" cm="1">
        <f t="array" ref="Q131">_xlfn.IFS(U131&lt;=_xlfn.QUARTILE.INC($U$2:$U762,1),"Low",B131&lt;=_xlfn.QUARTILE.INC($U$2:$U$633,2),"Medium",TRUE,"High")</f>
        <v>High</v>
      </c>
      <c r="R131" t="s">
        <v>863</v>
      </c>
      <c r="S131" s="4">
        <v>413.52</v>
      </c>
      <c r="T131">
        <v>1004.34</v>
      </c>
      <c r="U131">
        <v>1004.34</v>
      </c>
      <c r="V131" s="7">
        <v>0.111</v>
      </c>
      <c r="W131" s="7">
        <v>0.111</v>
      </c>
      <c r="X131" s="7" t="str">
        <f t="shared" ref="X131:X194" si="10">IF(V131&gt;0.2, "High discount","okay")</f>
        <v>okay</v>
      </c>
      <c r="Y131" s="9">
        <v>18</v>
      </c>
      <c r="Z131">
        <v>16071.44868</v>
      </c>
      <c r="AA131">
        <v>7443.36</v>
      </c>
      <c r="AB131">
        <v>8628.0886800000007</v>
      </c>
      <c r="AC131">
        <v>0.53685817948304593</v>
      </c>
    </row>
    <row r="132" spans="1:29" x14ac:dyDescent="0.3">
      <c r="A132" t="s">
        <v>145</v>
      </c>
      <c r="B132" s="3">
        <v>45700</v>
      </c>
      <c r="C132" s="3" t="str">
        <v>Feb-2025</v>
      </c>
      <c r="D132" s="11" t="str">
        <f t="shared" si="8"/>
        <v>Q1-2025</v>
      </c>
      <c r="E132" s="3">
        <v>45716</v>
      </c>
      <c r="F132" s="3">
        <v>45700</v>
      </c>
      <c r="G132" s="4">
        <f t="shared" si="9"/>
        <v>16</v>
      </c>
      <c r="H132" s="4" t="str">
        <v>delayed</v>
      </c>
      <c r="I132" s="4">
        <f t="shared" si="7"/>
        <v>0</v>
      </c>
      <c r="J132" t="s">
        <v>648</v>
      </c>
      <c r="K132" t="s">
        <v>655</v>
      </c>
      <c r="L132" t="s">
        <v>670</v>
      </c>
      <c r="M132" t="s">
        <v>703</v>
      </c>
      <c r="N132" t="s">
        <v>711</v>
      </c>
      <c r="O132" t="s">
        <v>717</v>
      </c>
      <c r="P132" t="s">
        <v>732</v>
      </c>
      <c r="Q132" t="str" cm="1">
        <f t="array" ref="Q132">_xlfn.IFS(U132&lt;=_xlfn.QUARTILE.INC($U$2:$U763,1),"Low",B132&lt;=_xlfn.QUARTILE.INC($U$2:$U$633,2),"Medium",TRUE,"High")</f>
        <v>High</v>
      </c>
      <c r="R132" t="s">
        <v>864</v>
      </c>
      <c r="S132" s="4">
        <v>414.95</v>
      </c>
      <c r="T132">
        <v>1027.73</v>
      </c>
      <c r="U132">
        <v>1027.73</v>
      </c>
      <c r="V132" s="7">
        <v>6.3E-2</v>
      </c>
      <c r="W132" s="7">
        <v>6.3E-2</v>
      </c>
      <c r="X132" s="7" t="str">
        <f t="shared" si="10"/>
        <v>okay</v>
      </c>
      <c r="Y132" s="9">
        <v>8</v>
      </c>
      <c r="Z132">
        <v>7703.8640800000003</v>
      </c>
      <c r="AA132">
        <v>3319.6</v>
      </c>
      <c r="AB132">
        <v>4384.2640800000008</v>
      </c>
      <c r="AC132">
        <v>0.56909935513815568</v>
      </c>
    </row>
    <row r="133" spans="1:29" x14ac:dyDescent="0.3">
      <c r="A133" t="s">
        <v>146</v>
      </c>
      <c r="B133" s="3">
        <v>45719</v>
      </c>
      <c r="C133" s="3" t="str">
        <v>Mar-2025</v>
      </c>
      <c r="D133" s="11" t="str">
        <f t="shared" si="8"/>
        <v>Q1-2025</v>
      </c>
      <c r="E133" s="3">
        <v>45740</v>
      </c>
      <c r="F133" s="3">
        <v>45719</v>
      </c>
      <c r="G133" s="4">
        <f t="shared" si="9"/>
        <v>21</v>
      </c>
      <c r="H133" s="4" t="str">
        <v>delayed</v>
      </c>
      <c r="I133" s="4">
        <f t="shared" si="7"/>
        <v>0</v>
      </c>
      <c r="J133" t="s">
        <v>646</v>
      </c>
      <c r="K133" t="s">
        <v>651</v>
      </c>
      <c r="L133" t="s">
        <v>669</v>
      </c>
      <c r="M133" t="s">
        <v>706</v>
      </c>
      <c r="N133" t="s">
        <v>711</v>
      </c>
      <c r="O133" t="s">
        <v>722</v>
      </c>
      <c r="P133" t="s">
        <v>733</v>
      </c>
      <c r="Q133" t="str" cm="1">
        <f t="array" ref="Q133">_xlfn.IFS(U133&lt;=_xlfn.QUARTILE.INC($U$2:$U764,1),"Low",B133&lt;=_xlfn.QUARTILE.INC($U$2:$U$633,2),"Medium",TRUE,"High")</f>
        <v>Low</v>
      </c>
      <c r="R133" t="s">
        <v>865</v>
      </c>
      <c r="S133" s="4">
        <v>555.95000000000005</v>
      </c>
      <c r="T133">
        <v>468.09</v>
      </c>
      <c r="U133">
        <v>468.09</v>
      </c>
      <c r="V133" s="7">
        <v>0.14199999999999999</v>
      </c>
      <c r="W133" s="7">
        <v>0.14199999999999999</v>
      </c>
      <c r="X133" s="7" t="str">
        <f t="shared" si="10"/>
        <v>okay</v>
      </c>
      <c r="Y133" s="9">
        <v>11</v>
      </c>
      <c r="Z133">
        <v>4417.8334199999999</v>
      </c>
      <c r="AA133">
        <v>6115.4500000000007</v>
      </c>
      <c r="AB133">
        <v>-1697.6165800000008</v>
      </c>
      <c r="AC133">
        <v>-0.38426450674095375</v>
      </c>
    </row>
    <row r="134" spans="1:29" x14ac:dyDescent="0.3">
      <c r="A134" t="s">
        <v>147</v>
      </c>
      <c r="B134" s="3">
        <v>44953</v>
      </c>
      <c r="C134" s="3" t="str">
        <v>Jan-2023</v>
      </c>
      <c r="D134" s="11" t="str">
        <f t="shared" si="8"/>
        <v>Q1-2023</v>
      </c>
      <c r="E134" s="3">
        <v>44957</v>
      </c>
      <c r="F134" s="3">
        <v>44953</v>
      </c>
      <c r="G134" s="4">
        <f t="shared" si="9"/>
        <v>4</v>
      </c>
      <c r="H134" s="4" t="str">
        <v>ontime</v>
      </c>
      <c r="I134" s="4">
        <f t="shared" si="7"/>
        <v>1</v>
      </c>
      <c r="J134" t="s">
        <v>649</v>
      </c>
      <c r="K134" t="s">
        <v>658</v>
      </c>
      <c r="L134" t="s">
        <v>693</v>
      </c>
      <c r="M134" t="s">
        <v>706</v>
      </c>
      <c r="N134" t="s">
        <v>708</v>
      </c>
      <c r="O134" t="s">
        <v>725</v>
      </c>
      <c r="P134" t="s">
        <v>731</v>
      </c>
      <c r="Q134" t="str" cm="1">
        <f t="array" ref="Q134">_xlfn.IFS(U134&lt;=_xlfn.QUARTILE.INC($U$2:$U765,1),"Low",B134&lt;=_xlfn.QUARTILE.INC($U$2:$U$633,2),"Medium",TRUE,"High")</f>
        <v>High</v>
      </c>
      <c r="R134" t="s">
        <v>866</v>
      </c>
      <c r="S134" s="4">
        <v>941.2</v>
      </c>
      <c r="T134">
        <v>668.02</v>
      </c>
      <c r="U134">
        <v>668.02</v>
      </c>
      <c r="V134" s="7">
        <v>0.22</v>
      </c>
      <c r="W134" s="7">
        <v>0.22</v>
      </c>
      <c r="X134" s="7" t="str">
        <f t="shared" si="10"/>
        <v>High discount</v>
      </c>
      <c r="Y134" s="9">
        <v>16</v>
      </c>
      <c r="Z134">
        <v>8336.8896000000004</v>
      </c>
      <c r="AA134">
        <v>15059.2</v>
      </c>
      <c r="AB134">
        <v>-6722.3104000000003</v>
      </c>
      <c r="AC134">
        <v>-0.80633314371825193</v>
      </c>
    </row>
    <row r="135" spans="1:29" x14ac:dyDescent="0.3">
      <c r="A135" t="s">
        <v>148</v>
      </c>
      <c r="B135" s="3">
        <v>45666</v>
      </c>
      <c r="C135" s="3" t="str">
        <v>Jan-2025</v>
      </c>
      <c r="D135" s="11" t="str">
        <f t="shared" si="8"/>
        <v>Q1-2025</v>
      </c>
      <c r="E135" s="3">
        <v>45672</v>
      </c>
      <c r="F135" s="3">
        <v>45666</v>
      </c>
      <c r="G135" s="4">
        <f t="shared" si="9"/>
        <v>6</v>
      </c>
      <c r="H135" s="4" t="str">
        <v>ontime</v>
      </c>
      <c r="I135" s="4">
        <f t="shared" si="7"/>
        <v>1</v>
      </c>
      <c r="J135" t="s">
        <v>647</v>
      </c>
      <c r="K135" t="s">
        <v>659</v>
      </c>
      <c r="L135" t="s">
        <v>699</v>
      </c>
      <c r="M135" t="s">
        <v>702</v>
      </c>
      <c r="N135" t="s">
        <v>708</v>
      </c>
      <c r="O135" t="s">
        <v>712</v>
      </c>
      <c r="P135" t="s">
        <v>730</v>
      </c>
      <c r="Q135" t="str" cm="1">
        <f t="array" ref="Q135">_xlfn.IFS(U135&lt;=_xlfn.QUARTILE.INC($U$2:$U766,1),"Low",B135&lt;=_xlfn.QUARTILE.INC($U$2:$U$633,2),"Medium",TRUE,"High")</f>
        <v>Low</v>
      </c>
      <c r="R135" t="s">
        <v>867</v>
      </c>
      <c r="S135" s="4">
        <v>304.77999999999997</v>
      </c>
      <c r="T135">
        <v>537.27</v>
      </c>
      <c r="U135">
        <v>537.27</v>
      </c>
      <c r="V135" s="7">
        <v>0.187</v>
      </c>
      <c r="W135" s="7">
        <v>0.187</v>
      </c>
      <c r="X135" s="7" t="str">
        <f t="shared" si="10"/>
        <v>okay</v>
      </c>
      <c r="Y135" s="9">
        <v>8</v>
      </c>
      <c r="Z135">
        <v>3494.4040799999998</v>
      </c>
      <c r="AA135">
        <v>2438.2399999999998</v>
      </c>
      <c r="AB135">
        <v>1056.16408</v>
      </c>
      <c r="AC135">
        <v>0.3022444044307549</v>
      </c>
    </row>
    <row r="136" spans="1:29" x14ac:dyDescent="0.3">
      <c r="A136" t="s">
        <v>149</v>
      </c>
      <c r="B136" s="3">
        <v>45647</v>
      </c>
      <c r="C136" s="3" t="str">
        <v>Dec-2024</v>
      </c>
      <c r="D136" s="11" t="str">
        <f t="shared" si="8"/>
        <v>Q4-2024</v>
      </c>
      <c r="E136" s="3">
        <v>45652</v>
      </c>
      <c r="F136" s="3">
        <v>45647</v>
      </c>
      <c r="G136" s="4">
        <f t="shared" si="9"/>
        <v>5</v>
      </c>
      <c r="H136" s="4" t="str">
        <v>ontime</v>
      </c>
      <c r="I136" s="4">
        <f t="shared" ref="I136:I199" si="11">IF(G136&lt;=7,1,0)</f>
        <v>1</v>
      </c>
      <c r="J136" t="s">
        <v>648</v>
      </c>
      <c r="K136" t="s">
        <v>660</v>
      </c>
      <c r="L136" t="s">
        <v>686</v>
      </c>
      <c r="M136" t="s">
        <v>704</v>
      </c>
      <c r="N136" t="s">
        <v>709</v>
      </c>
      <c r="O136" t="s">
        <v>724</v>
      </c>
      <c r="P136" t="s">
        <v>728</v>
      </c>
      <c r="Q136" t="str" cm="1">
        <f t="array" ref="Q136">_xlfn.IFS(U136&lt;=_xlfn.QUARTILE.INC($U$2:$U767,1),"Low",B136&lt;=_xlfn.QUARTILE.INC($U$2:$U$633,2),"Medium",TRUE,"High")</f>
        <v>Low</v>
      </c>
      <c r="R136" t="s">
        <v>868</v>
      </c>
      <c r="S136" s="4">
        <v>699.57</v>
      </c>
      <c r="T136">
        <v>572.71</v>
      </c>
      <c r="U136">
        <v>572.71</v>
      </c>
      <c r="V136" s="7">
        <v>0.192</v>
      </c>
      <c r="W136" s="7">
        <v>0.192</v>
      </c>
      <c r="X136" s="7" t="str">
        <f t="shared" si="10"/>
        <v>okay</v>
      </c>
      <c r="Y136" s="9">
        <v>26</v>
      </c>
      <c r="Z136">
        <v>12031.491680000001</v>
      </c>
      <c r="AA136">
        <v>18188.82</v>
      </c>
      <c r="AB136">
        <v>-6157.3283199999987</v>
      </c>
      <c r="AC136">
        <v>-0.51176765805651114</v>
      </c>
    </row>
    <row r="137" spans="1:29" x14ac:dyDescent="0.3">
      <c r="A137" t="s">
        <v>150</v>
      </c>
      <c r="B137" s="3">
        <v>45028</v>
      </c>
      <c r="C137" s="3" t="str">
        <v>Apr-2023</v>
      </c>
      <c r="D137" s="11" t="str">
        <f t="shared" si="8"/>
        <v>Q2-2023</v>
      </c>
      <c r="E137" s="3">
        <v>45033</v>
      </c>
      <c r="F137" s="3">
        <v>45028</v>
      </c>
      <c r="G137" s="4">
        <f t="shared" si="9"/>
        <v>5</v>
      </c>
      <c r="H137" s="4" t="str">
        <v>ontime</v>
      </c>
      <c r="I137" s="4">
        <f t="shared" si="11"/>
        <v>1</v>
      </c>
      <c r="J137" t="s">
        <v>649</v>
      </c>
      <c r="K137" t="s">
        <v>657</v>
      </c>
      <c r="L137" t="s">
        <v>679</v>
      </c>
      <c r="M137" t="s">
        <v>706</v>
      </c>
      <c r="N137" t="s">
        <v>711</v>
      </c>
      <c r="O137" t="s">
        <v>718</v>
      </c>
      <c r="P137" t="s">
        <v>732</v>
      </c>
      <c r="Q137" t="str" cm="1">
        <f t="array" ref="Q137">_xlfn.IFS(U137&lt;=_xlfn.QUARTILE.INC($U$2:$U768,1),"Low",B137&lt;=_xlfn.QUARTILE.INC($U$2:$U$633,2),"Medium",TRUE,"High")</f>
        <v>High</v>
      </c>
      <c r="R137" t="s">
        <v>869</v>
      </c>
      <c r="S137" s="4">
        <v>1087.81</v>
      </c>
      <c r="T137">
        <v>2323.87</v>
      </c>
      <c r="U137">
        <v>2323.87</v>
      </c>
      <c r="V137" s="7">
        <v>9.4E-2</v>
      </c>
      <c r="W137" s="7">
        <v>9.4E-2</v>
      </c>
      <c r="X137" s="7" t="str">
        <f t="shared" si="10"/>
        <v>okay</v>
      </c>
      <c r="Y137" s="9">
        <v>13</v>
      </c>
      <c r="Z137">
        <v>27370.540859999997</v>
      </c>
      <c r="AA137">
        <v>14141.529999999999</v>
      </c>
      <c r="AB137">
        <v>13229.010859999999</v>
      </c>
      <c r="AC137">
        <v>0.48333026839572651</v>
      </c>
    </row>
    <row r="138" spans="1:29" x14ac:dyDescent="0.3">
      <c r="A138" t="s">
        <v>151</v>
      </c>
      <c r="B138" s="3">
        <v>45640</v>
      </c>
      <c r="C138" s="3" t="str">
        <v>Dec-2024</v>
      </c>
      <c r="D138" s="11" t="str">
        <f t="shared" si="8"/>
        <v>Q4-2024</v>
      </c>
      <c r="E138" s="3">
        <v>45669</v>
      </c>
      <c r="F138" s="3">
        <v>45640</v>
      </c>
      <c r="G138" s="4">
        <f t="shared" si="9"/>
        <v>29</v>
      </c>
      <c r="H138" s="4" t="str">
        <v>delayed</v>
      </c>
      <c r="I138" s="4">
        <f t="shared" si="11"/>
        <v>0</v>
      </c>
      <c r="J138" t="s">
        <v>647</v>
      </c>
      <c r="K138" t="s">
        <v>659</v>
      </c>
      <c r="L138" t="s">
        <v>676</v>
      </c>
      <c r="M138" t="s">
        <v>702</v>
      </c>
      <c r="N138" t="s">
        <v>708</v>
      </c>
      <c r="O138" t="s">
        <v>713</v>
      </c>
      <c r="P138" t="s">
        <v>727</v>
      </c>
      <c r="Q138" t="str" cm="1">
        <f t="array" ref="Q138">_xlfn.IFS(U138&lt;=_xlfn.QUARTILE.INC($U$2:$U769,1),"Low",B138&lt;=_xlfn.QUARTILE.INC($U$2:$U$633,2),"Medium",TRUE,"High")</f>
        <v>High</v>
      </c>
      <c r="R138" t="s">
        <v>870</v>
      </c>
      <c r="S138" s="4">
        <v>1412.15</v>
      </c>
      <c r="T138">
        <v>1631.04</v>
      </c>
      <c r="U138">
        <v>1631.04</v>
      </c>
      <c r="V138" s="7">
        <v>8.9999999999999993E-3</v>
      </c>
      <c r="W138" s="7">
        <v>8.9999999999999993E-3</v>
      </c>
      <c r="X138" s="7" t="str">
        <f t="shared" si="10"/>
        <v>okay</v>
      </c>
      <c r="Y138" s="9">
        <v>6</v>
      </c>
      <c r="Z138">
        <v>9698.1638399999993</v>
      </c>
      <c r="AA138">
        <v>8472.9000000000015</v>
      </c>
      <c r="AB138">
        <v>1225.2638399999978</v>
      </c>
      <c r="AC138">
        <v>0.12633977526203535</v>
      </c>
    </row>
    <row r="139" spans="1:29" x14ac:dyDescent="0.3">
      <c r="A139" t="s">
        <v>152</v>
      </c>
      <c r="B139" s="3">
        <v>45016</v>
      </c>
      <c r="C139" s="3" t="str">
        <v>Mar-2023</v>
      </c>
      <c r="D139" s="11" t="str">
        <f t="shared" si="8"/>
        <v>Q1-2023</v>
      </c>
      <c r="E139" s="3">
        <v>45028</v>
      </c>
      <c r="F139" s="3">
        <v>45016</v>
      </c>
      <c r="G139" s="4">
        <f t="shared" si="9"/>
        <v>12</v>
      </c>
      <c r="H139" s="4" t="str">
        <v>delayed</v>
      </c>
      <c r="I139" s="4">
        <f t="shared" si="11"/>
        <v>0</v>
      </c>
      <c r="J139" t="s">
        <v>646</v>
      </c>
      <c r="K139" t="s">
        <v>650</v>
      </c>
      <c r="L139" t="s">
        <v>675</v>
      </c>
      <c r="M139" t="s">
        <v>705</v>
      </c>
      <c r="N139" t="s">
        <v>708</v>
      </c>
      <c r="O139" t="s">
        <v>712</v>
      </c>
      <c r="P139" t="s">
        <v>730</v>
      </c>
      <c r="Q139" t="str" cm="1">
        <f t="array" ref="Q139">_xlfn.IFS(U139&lt;=_xlfn.QUARTILE.INC($U$2:$U770,1),"Low",B139&lt;=_xlfn.QUARTILE.INC($U$2:$U$633,2),"Medium",TRUE,"High")</f>
        <v>Low</v>
      </c>
      <c r="R139" t="s">
        <v>871</v>
      </c>
      <c r="S139" s="4">
        <v>304.22000000000003</v>
      </c>
      <c r="T139">
        <v>393.31</v>
      </c>
      <c r="U139">
        <v>393.31</v>
      </c>
      <c r="V139" s="7">
        <v>0.26500000000000001</v>
      </c>
      <c r="W139" s="7">
        <v>0.26500000000000001</v>
      </c>
      <c r="X139" s="7" t="str">
        <f t="shared" si="10"/>
        <v>High discount</v>
      </c>
      <c r="Y139" s="9">
        <v>15</v>
      </c>
      <c r="Z139">
        <v>4336.2427499999994</v>
      </c>
      <c r="AA139">
        <v>4563.3</v>
      </c>
      <c r="AB139">
        <v>-227.05725000000075</v>
      </c>
      <c r="AC139">
        <v>-5.2362670424759034E-2</v>
      </c>
    </row>
    <row r="140" spans="1:29" x14ac:dyDescent="0.3">
      <c r="A140" t="s">
        <v>153</v>
      </c>
      <c r="B140" s="3">
        <v>45616</v>
      </c>
      <c r="C140" s="3" t="str">
        <v>Nov-2024</v>
      </c>
      <c r="D140" s="11" t="str">
        <f t="shared" si="8"/>
        <v>Q4-2024</v>
      </c>
      <c r="E140" s="3">
        <v>45641</v>
      </c>
      <c r="F140" s="3">
        <v>45616</v>
      </c>
      <c r="G140" s="4">
        <f t="shared" si="9"/>
        <v>25</v>
      </c>
      <c r="H140" s="4" t="str">
        <v>delayed</v>
      </c>
      <c r="I140" s="4">
        <f t="shared" si="11"/>
        <v>0</v>
      </c>
      <c r="J140" t="s">
        <v>649</v>
      </c>
      <c r="K140" t="s">
        <v>657</v>
      </c>
      <c r="L140" t="s">
        <v>690</v>
      </c>
      <c r="M140" t="s">
        <v>701</v>
      </c>
      <c r="N140" t="s">
        <v>708</v>
      </c>
      <c r="O140" t="s">
        <v>715</v>
      </c>
      <c r="P140" t="s">
        <v>728</v>
      </c>
      <c r="Q140" t="str" cm="1">
        <f t="array" ref="Q140">_xlfn.IFS(U140&lt;=_xlfn.QUARTILE.INC($U$2:$U771,1),"Low",B140&lt;=_xlfn.QUARTILE.INC($U$2:$U$633,2),"Medium",TRUE,"High")</f>
        <v>High</v>
      </c>
      <c r="R140" t="s">
        <v>872</v>
      </c>
      <c r="S140" s="4">
        <v>1203.58</v>
      </c>
      <c r="T140">
        <v>1856.16</v>
      </c>
      <c r="U140">
        <v>1856.16</v>
      </c>
      <c r="V140" s="7">
        <v>0.129</v>
      </c>
      <c r="W140" s="7">
        <v>0.129</v>
      </c>
      <c r="X140" s="7" t="str">
        <f t="shared" si="10"/>
        <v>okay</v>
      </c>
      <c r="Y140" s="9">
        <v>22</v>
      </c>
      <c r="Z140">
        <v>35567.737920000007</v>
      </c>
      <c r="AA140">
        <v>26478.76</v>
      </c>
      <c r="AB140">
        <v>9088.9779200000085</v>
      </c>
      <c r="AC140">
        <v>0.25553994860295032</v>
      </c>
    </row>
    <row r="141" spans="1:29" x14ac:dyDescent="0.3">
      <c r="A141" t="s">
        <v>154</v>
      </c>
      <c r="B141" s="3">
        <v>45336</v>
      </c>
      <c r="C141" s="3" t="str">
        <v>Feb-2024</v>
      </c>
      <c r="D141" s="11" t="str">
        <f t="shared" si="8"/>
        <v>Q1-2024</v>
      </c>
      <c r="E141" s="3">
        <v>45336</v>
      </c>
      <c r="F141" s="3">
        <v>45336</v>
      </c>
      <c r="G141" s="4">
        <f t="shared" si="9"/>
        <v>0</v>
      </c>
      <c r="H141" s="4" t="str">
        <v>ontime</v>
      </c>
      <c r="I141" s="4">
        <f t="shared" si="11"/>
        <v>1</v>
      </c>
      <c r="J141" t="s">
        <v>647</v>
      </c>
      <c r="K141" t="s">
        <v>659</v>
      </c>
      <c r="L141" t="s">
        <v>699</v>
      </c>
      <c r="M141" t="s">
        <v>701</v>
      </c>
      <c r="N141" t="s">
        <v>710</v>
      </c>
      <c r="O141" t="s">
        <v>716</v>
      </c>
      <c r="P141" t="s">
        <v>733</v>
      </c>
      <c r="Q141" t="str" cm="1">
        <f t="array" ref="Q141">_xlfn.IFS(U141&lt;=_xlfn.QUARTILE.INC($U$2:$U772,1),"Low",B141&lt;=_xlfn.QUARTILE.INC($U$2:$U$633,2),"Medium",TRUE,"High")</f>
        <v>Low</v>
      </c>
      <c r="R141" t="s">
        <v>873</v>
      </c>
      <c r="S141" s="4">
        <v>65.930000000000007</v>
      </c>
      <c r="T141">
        <v>84.9</v>
      </c>
      <c r="U141">
        <v>84.9</v>
      </c>
      <c r="V141" s="7">
        <v>0.25900000000000001</v>
      </c>
      <c r="W141" s="7">
        <v>0.25900000000000001</v>
      </c>
      <c r="X141" s="7" t="str">
        <f t="shared" si="10"/>
        <v>High discount</v>
      </c>
      <c r="Y141" s="9">
        <v>23</v>
      </c>
      <c r="Z141">
        <v>1446.9507000000001</v>
      </c>
      <c r="AA141">
        <v>1516.39</v>
      </c>
      <c r="AB141">
        <v>-69.439300000000003</v>
      </c>
      <c r="AC141">
        <v>-4.7990093926489688E-2</v>
      </c>
    </row>
    <row r="142" spans="1:29" x14ac:dyDescent="0.3">
      <c r="A142" t="s">
        <v>155</v>
      </c>
      <c r="B142" s="3">
        <v>45048</v>
      </c>
      <c r="C142" s="3" t="str">
        <v>May-2023</v>
      </c>
      <c r="D142" s="11" t="str">
        <f t="shared" si="8"/>
        <v>Q2-2023</v>
      </c>
      <c r="E142" s="3">
        <v>45064</v>
      </c>
      <c r="F142" s="3">
        <v>45048</v>
      </c>
      <c r="G142" s="4">
        <f t="shared" si="9"/>
        <v>16</v>
      </c>
      <c r="H142" s="4" t="str">
        <v>delayed</v>
      </c>
      <c r="I142" s="4">
        <f t="shared" si="11"/>
        <v>0</v>
      </c>
      <c r="J142" t="s">
        <v>647</v>
      </c>
      <c r="K142" t="s">
        <v>654</v>
      </c>
      <c r="L142" t="s">
        <v>680</v>
      </c>
      <c r="M142" t="s">
        <v>705</v>
      </c>
      <c r="N142" t="s">
        <v>709</v>
      </c>
      <c r="O142" t="s">
        <v>723</v>
      </c>
      <c r="P142" t="s">
        <v>732</v>
      </c>
      <c r="Q142" t="str" cm="1">
        <f t="array" ref="Q142">_xlfn.IFS(U142&lt;=_xlfn.QUARTILE.INC($U$2:$U773,1),"Low",B142&lt;=_xlfn.QUARTILE.INC($U$2:$U$633,2),"Medium",TRUE,"High")</f>
        <v>High</v>
      </c>
      <c r="R142" t="s">
        <v>874</v>
      </c>
      <c r="S142" s="4">
        <v>1463.92</v>
      </c>
      <c r="T142">
        <v>2252.2399999999998</v>
      </c>
      <c r="U142">
        <v>2252.2399999999998</v>
      </c>
      <c r="V142" s="7">
        <v>0.11799999999999999</v>
      </c>
      <c r="W142" s="7">
        <v>0.11799999999999999</v>
      </c>
      <c r="X142" s="7" t="str">
        <f t="shared" si="10"/>
        <v>okay</v>
      </c>
      <c r="Y142" s="9">
        <v>44</v>
      </c>
      <c r="Z142">
        <v>87404.929919999995</v>
      </c>
      <c r="AA142">
        <v>64412.480000000003</v>
      </c>
      <c r="AB142">
        <v>22992.449919999992</v>
      </c>
      <c r="AC142">
        <v>0.26305667130040061</v>
      </c>
    </row>
    <row r="143" spans="1:29" x14ac:dyDescent="0.3">
      <c r="A143" t="s">
        <v>156</v>
      </c>
      <c r="B143" s="3">
        <v>45649</v>
      </c>
      <c r="C143" s="3" t="str">
        <v>Dec-2024</v>
      </c>
      <c r="D143" s="11" t="str">
        <f t="shared" si="8"/>
        <v>Q4-2024</v>
      </c>
      <c r="E143" s="3">
        <v>45668</v>
      </c>
      <c r="F143" s="3">
        <v>45649</v>
      </c>
      <c r="G143" s="4">
        <f t="shared" si="9"/>
        <v>19</v>
      </c>
      <c r="H143" s="4" t="str">
        <v>delayed</v>
      </c>
      <c r="I143" s="4">
        <f t="shared" si="11"/>
        <v>0</v>
      </c>
      <c r="J143" t="s">
        <v>649</v>
      </c>
      <c r="K143" t="s">
        <v>656</v>
      </c>
      <c r="L143" t="s">
        <v>671</v>
      </c>
      <c r="M143" t="s">
        <v>702</v>
      </c>
      <c r="N143" t="s">
        <v>707</v>
      </c>
      <c r="O143" t="s">
        <v>723</v>
      </c>
      <c r="P143" t="s">
        <v>730</v>
      </c>
      <c r="Q143" t="str" cm="1">
        <f t="array" ref="Q143">_xlfn.IFS(U143&lt;=_xlfn.QUARTILE.INC($U$2:$U774,1),"Low",B143&lt;=_xlfn.QUARTILE.INC($U$2:$U$633,2),"Medium",TRUE,"High")</f>
        <v>High</v>
      </c>
      <c r="R143" t="s">
        <v>875</v>
      </c>
      <c r="S143" s="4">
        <v>501.81</v>
      </c>
      <c r="T143">
        <v>921.62</v>
      </c>
      <c r="U143">
        <v>921.62</v>
      </c>
      <c r="V143" s="7">
        <v>0.01</v>
      </c>
      <c r="W143" s="7">
        <v>0.01</v>
      </c>
      <c r="X143" s="7" t="str">
        <f t="shared" si="10"/>
        <v>okay</v>
      </c>
      <c r="Y143" s="9">
        <v>9</v>
      </c>
      <c r="Z143">
        <v>8211.6342000000004</v>
      </c>
      <c r="AA143">
        <v>4516.29</v>
      </c>
      <c r="AB143">
        <v>3695.3442000000005</v>
      </c>
      <c r="AC143">
        <v>0.45001325071202031</v>
      </c>
    </row>
    <row r="144" spans="1:29" x14ac:dyDescent="0.3">
      <c r="A144" t="s">
        <v>157</v>
      </c>
      <c r="B144" s="3">
        <v>45133</v>
      </c>
      <c r="C144" s="3" t="str">
        <v>Jul-2023</v>
      </c>
      <c r="D144" s="11" t="str">
        <f t="shared" si="8"/>
        <v>Q3-2023</v>
      </c>
      <c r="E144" s="3">
        <v>45163</v>
      </c>
      <c r="F144" s="3">
        <v>45133</v>
      </c>
      <c r="G144" s="4">
        <f t="shared" si="9"/>
        <v>30</v>
      </c>
      <c r="H144" s="4" t="str">
        <v>delayed</v>
      </c>
      <c r="I144" s="4">
        <f t="shared" si="11"/>
        <v>0</v>
      </c>
      <c r="J144" t="s">
        <v>648</v>
      </c>
      <c r="K144" t="s">
        <v>660</v>
      </c>
      <c r="L144" t="s">
        <v>700</v>
      </c>
      <c r="M144" t="s">
        <v>704</v>
      </c>
      <c r="N144" t="s">
        <v>707</v>
      </c>
      <c r="O144" t="s">
        <v>724</v>
      </c>
      <c r="P144" t="s">
        <v>733</v>
      </c>
      <c r="Q144" t="str" cm="1">
        <f t="array" ref="Q144">_xlfn.IFS(U144&lt;=_xlfn.QUARTILE.INC($U$2:$U775,1),"Low",B144&lt;=_xlfn.QUARTILE.INC($U$2:$U$633,2),"Medium",TRUE,"High")</f>
        <v>High</v>
      </c>
      <c r="R144" t="s">
        <v>876</v>
      </c>
      <c r="S144" s="4">
        <v>1261.48</v>
      </c>
      <c r="T144">
        <v>1643.18</v>
      </c>
      <c r="U144">
        <v>1643.18</v>
      </c>
      <c r="V144" s="7">
        <v>0.151</v>
      </c>
      <c r="W144" s="7">
        <v>0.151</v>
      </c>
      <c r="X144" s="7" t="str">
        <f t="shared" si="10"/>
        <v>okay</v>
      </c>
      <c r="Y144" s="9">
        <v>23</v>
      </c>
      <c r="Z144">
        <v>32086.37586</v>
      </c>
      <c r="AA144">
        <v>29014.04</v>
      </c>
      <c r="AB144">
        <v>3072.3358599999992</v>
      </c>
      <c r="AC144">
        <v>9.5752037357079045E-2</v>
      </c>
    </row>
    <row r="145" spans="1:29" x14ac:dyDescent="0.3">
      <c r="A145" t="s">
        <v>158</v>
      </c>
      <c r="B145" s="3">
        <v>45458</v>
      </c>
      <c r="C145" s="3" t="str">
        <v>Jun-2024</v>
      </c>
      <c r="D145" s="11" t="str">
        <f t="shared" si="8"/>
        <v>Q2-2024</v>
      </c>
      <c r="E145" s="3">
        <v>45479</v>
      </c>
      <c r="F145" s="3">
        <v>45458</v>
      </c>
      <c r="G145" s="4">
        <f t="shared" si="9"/>
        <v>21</v>
      </c>
      <c r="H145" s="4" t="str">
        <v>delayed</v>
      </c>
      <c r="I145" s="4">
        <f t="shared" si="11"/>
        <v>0</v>
      </c>
      <c r="J145" t="s">
        <v>648</v>
      </c>
      <c r="K145" t="s">
        <v>653</v>
      </c>
      <c r="L145" t="s">
        <v>667</v>
      </c>
      <c r="M145" t="s">
        <v>706</v>
      </c>
      <c r="N145" t="s">
        <v>710</v>
      </c>
      <c r="O145" t="s">
        <v>716</v>
      </c>
      <c r="P145" t="s">
        <v>728</v>
      </c>
      <c r="Q145" t="str" cm="1">
        <f t="array" ref="Q145">_xlfn.IFS(U145&lt;=_xlfn.QUARTILE.INC($U$2:$U776,1),"Low",B145&lt;=_xlfn.QUARTILE.INC($U$2:$U$633,2),"Medium",TRUE,"High")</f>
        <v>High</v>
      </c>
      <c r="R145" t="s">
        <v>877</v>
      </c>
      <c r="S145" s="4">
        <v>817.23</v>
      </c>
      <c r="T145">
        <v>1467.17</v>
      </c>
      <c r="U145">
        <v>1467.17</v>
      </c>
      <c r="V145" s="7">
        <v>0.245</v>
      </c>
      <c r="W145" s="7">
        <v>0.245</v>
      </c>
      <c r="X145" s="7" t="str">
        <f t="shared" si="10"/>
        <v>High discount</v>
      </c>
      <c r="Y145" s="9">
        <v>9</v>
      </c>
      <c r="Z145">
        <v>9969.4201499999999</v>
      </c>
      <c r="AA145">
        <v>7355.07</v>
      </c>
      <c r="AB145">
        <v>2614.3501500000002</v>
      </c>
      <c r="AC145">
        <v>0.26223693160328893</v>
      </c>
    </row>
    <row r="146" spans="1:29" x14ac:dyDescent="0.3">
      <c r="A146" t="s">
        <v>159</v>
      </c>
      <c r="B146" s="3">
        <v>45112</v>
      </c>
      <c r="C146" s="3" t="str">
        <v>Jul-2023</v>
      </c>
      <c r="D146" s="11" t="str">
        <f t="shared" si="8"/>
        <v>Q3-2023</v>
      </c>
      <c r="E146" s="3">
        <v>45121</v>
      </c>
      <c r="F146" s="3">
        <v>45112</v>
      </c>
      <c r="G146" s="4">
        <f t="shared" si="9"/>
        <v>9</v>
      </c>
      <c r="H146" s="4" t="str">
        <v>delayed</v>
      </c>
      <c r="I146" s="4">
        <f t="shared" si="11"/>
        <v>0</v>
      </c>
      <c r="J146" t="s">
        <v>648</v>
      </c>
      <c r="K146" t="s">
        <v>655</v>
      </c>
      <c r="L146" t="s">
        <v>672</v>
      </c>
      <c r="M146" t="s">
        <v>706</v>
      </c>
      <c r="N146" t="s">
        <v>711</v>
      </c>
      <c r="O146" t="s">
        <v>717</v>
      </c>
      <c r="P146" t="s">
        <v>729</v>
      </c>
      <c r="Q146" t="str" cm="1">
        <f t="array" ref="Q146">_xlfn.IFS(U146&lt;=_xlfn.QUARTILE.INC($U$2:$U777,1),"Low",B146&lt;=_xlfn.QUARTILE.INC($U$2:$U$633,2),"Medium",TRUE,"High")</f>
        <v>High</v>
      </c>
      <c r="R146" t="s">
        <v>878</v>
      </c>
      <c r="S146" s="4">
        <v>578.85</v>
      </c>
      <c r="T146">
        <v>998.76</v>
      </c>
      <c r="U146">
        <v>998.76</v>
      </c>
      <c r="V146" s="7">
        <v>8.2000000000000003E-2</v>
      </c>
      <c r="W146" s="7">
        <v>8.2000000000000003E-2</v>
      </c>
      <c r="X146" s="7" t="str">
        <f t="shared" si="10"/>
        <v>okay</v>
      </c>
      <c r="Y146" s="9">
        <v>28</v>
      </c>
      <c r="Z146">
        <v>25672.127039999999</v>
      </c>
      <c r="AA146">
        <v>16207.800000000001</v>
      </c>
      <c r="AB146">
        <v>9464.3270399999983</v>
      </c>
      <c r="AC146">
        <v>0.36866158480960831</v>
      </c>
    </row>
    <row r="147" spans="1:29" x14ac:dyDescent="0.3">
      <c r="A147" t="s">
        <v>160</v>
      </c>
      <c r="B147" s="3">
        <v>45260</v>
      </c>
      <c r="C147" s="3" t="str">
        <v>Nov-2023</v>
      </c>
      <c r="D147" s="11" t="str">
        <f t="shared" si="8"/>
        <v>Q4-2023</v>
      </c>
      <c r="E147" s="3">
        <v>45259</v>
      </c>
      <c r="F147" s="3">
        <v>45267</v>
      </c>
      <c r="G147" s="4">
        <f t="shared" si="9"/>
        <v>-8</v>
      </c>
      <c r="H147" s="4" t="str">
        <v>ontime</v>
      </c>
      <c r="I147" s="4">
        <f t="shared" si="11"/>
        <v>1</v>
      </c>
      <c r="J147" t="s">
        <v>646</v>
      </c>
      <c r="K147" t="s">
        <v>661</v>
      </c>
      <c r="L147" t="s">
        <v>687</v>
      </c>
      <c r="M147" t="s">
        <v>705</v>
      </c>
      <c r="N147" t="s">
        <v>709</v>
      </c>
      <c r="O147" t="s">
        <v>718</v>
      </c>
      <c r="P147" t="s">
        <v>731</v>
      </c>
      <c r="Q147" t="str" cm="1">
        <f t="array" ref="Q147">_xlfn.IFS(U147&lt;=_xlfn.QUARTILE.INC($U$2:$U778,1),"Low",B147&lt;=_xlfn.QUARTILE.INC($U$2:$U$633,2),"Medium",TRUE,"High")</f>
        <v>High</v>
      </c>
      <c r="R147" t="s">
        <v>879</v>
      </c>
      <c r="S147" s="4">
        <v>275.56</v>
      </c>
      <c r="T147">
        <v>630.72</v>
      </c>
      <c r="U147">
        <v>630.72</v>
      </c>
      <c r="V147" s="7">
        <v>0.107</v>
      </c>
      <c r="W147" s="7">
        <v>0.107</v>
      </c>
      <c r="X147" s="7" t="str">
        <f t="shared" si="10"/>
        <v>okay</v>
      </c>
      <c r="Y147" s="9">
        <v>23</v>
      </c>
      <c r="Z147">
        <v>12954.358080000002</v>
      </c>
      <c r="AA147">
        <v>6337.88</v>
      </c>
      <c r="AB147">
        <v>6616.4780800000017</v>
      </c>
      <c r="AC147">
        <v>0.5107530638831933</v>
      </c>
    </row>
    <row r="148" spans="1:29" x14ac:dyDescent="0.3">
      <c r="A148" t="s">
        <v>161</v>
      </c>
      <c r="B148" s="3">
        <v>45911</v>
      </c>
      <c r="C148" s="3" t="str">
        <v>Sep-2025</v>
      </c>
      <c r="D148" s="11" t="str">
        <f t="shared" si="8"/>
        <v>Q3-2025</v>
      </c>
      <c r="E148" s="3">
        <v>45928</v>
      </c>
      <c r="F148" s="3">
        <v>45911</v>
      </c>
      <c r="G148" s="4">
        <f t="shared" si="9"/>
        <v>17</v>
      </c>
      <c r="H148" s="4" t="str">
        <v>delayed</v>
      </c>
      <c r="I148" s="4">
        <f t="shared" si="11"/>
        <v>0</v>
      </c>
      <c r="J148" t="s">
        <v>646</v>
      </c>
      <c r="K148" t="s">
        <v>650</v>
      </c>
      <c r="L148" t="s">
        <v>664</v>
      </c>
      <c r="M148" t="s">
        <v>703</v>
      </c>
      <c r="N148" t="s">
        <v>710</v>
      </c>
      <c r="O148" t="s">
        <v>713</v>
      </c>
      <c r="P148" t="s">
        <v>731</v>
      </c>
      <c r="Q148" t="str" cm="1">
        <f t="array" ref="Q148">_xlfn.IFS(U148&lt;=_xlfn.QUARTILE.INC($U$2:$U779,1),"Low",B148&lt;=_xlfn.QUARTILE.INC($U$2:$U$633,2),"Medium",TRUE,"High")</f>
        <v>High</v>
      </c>
      <c r="R148" t="s">
        <v>880</v>
      </c>
      <c r="S148" s="4">
        <v>891.46</v>
      </c>
      <c r="T148">
        <v>728.61</v>
      </c>
      <c r="U148">
        <v>728.61</v>
      </c>
      <c r="V148" s="7">
        <v>0.185</v>
      </c>
      <c r="W148" s="7">
        <v>0.185</v>
      </c>
      <c r="X148" s="7" t="str">
        <f t="shared" si="10"/>
        <v>okay</v>
      </c>
      <c r="Y148" s="9">
        <v>6</v>
      </c>
      <c r="Z148">
        <v>3562.9028999999996</v>
      </c>
      <c r="AA148">
        <v>5348.76</v>
      </c>
      <c r="AB148">
        <v>-1785.8571000000006</v>
      </c>
      <c r="AC148">
        <v>-0.50123653383874167</v>
      </c>
    </row>
    <row r="149" spans="1:29" x14ac:dyDescent="0.3">
      <c r="A149" t="s">
        <v>162</v>
      </c>
      <c r="B149" s="3">
        <v>45386</v>
      </c>
      <c r="C149" s="3" t="str">
        <v>Apr-2024</v>
      </c>
      <c r="D149" s="11" t="str">
        <f t="shared" si="8"/>
        <v>Q2-2024</v>
      </c>
      <c r="E149" s="3">
        <v>45406</v>
      </c>
      <c r="F149" s="3">
        <v>45386</v>
      </c>
      <c r="G149" s="4">
        <f t="shared" si="9"/>
        <v>20</v>
      </c>
      <c r="H149" s="4" t="str">
        <v>delayed</v>
      </c>
      <c r="I149" s="4">
        <f t="shared" si="11"/>
        <v>0</v>
      </c>
      <c r="J149" t="s">
        <v>649</v>
      </c>
      <c r="K149" t="s">
        <v>656</v>
      </c>
      <c r="L149" t="s">
        <v>698</v>
      </c>
      <c r="M149" t="s">
        <v>703</v>
      </c>
      <c r="N149" t="s">
        <v>711</v>
      </c>
      <c r="O149" t="s">
        <v>719</v>
      </c>
      <c r="P149" t="s">
        <v>733</v>
      </c>
      <c r="Q149" t="str" cm="1">
        <f t="array" ref="Q149">_xlfn.IFS(U149&lt;=_xlfn.QUARTILE.INC($U$2:$U780,1),"Low",B149&lt;=_xlfn.QUARTILE.INC($U$2:$U$633,2),"Medium",TRUE,"High")</f>
        <v>High</v>
      </c>
      <c r="R149" t="s">
        <v>881</v>
      </c>
      <c r="S149" s="4">
        <v>683.42</v>
      </c>
      <c r="T149">
        <v>951.51</v>
      </c>
      <c r="U149">
        <v>951.51</v>
      </c>
      <c r="V149" s="7">
        <v>0</v>
      </c>
      <c r="W149" s="7">
        <v>0</v>
      </c>
      <c r="X149" s="7" t="str">
        <f t="shared" si="10"/>
        <v>okay</v>
      </c>
      <c r="Y149" s="9">
        <v>14</v>
      </c>
      <c r="Z149">
        <v>13321.14</v>
      </c>
      <c r="AA149">
        <v>9567.8799999999992</v>
      </c>
      <c r="AB149">
        <v>3753.26</v>
      </c>
      <c r="AC149">
        <v>0.28175216235247136</v>
      </c>
    </row>
    <row r="150" spans="1:29" x14ac:dyDescent="0.3">
      <c r="A150" t="s">
        <v>163</v>
      </c>
      <c r="B150" s="3">
        <v>45183</v>
      </c>
      <c r="C150" s="3" t="str">
        <v>Sep-2023</v>
      </c>
      <c r="D150" s="11" t="str">
        <f t="shared" si="8"/>
        <v>Q3-2023</v>
      </c>
      <c r="E150" s="3">
        <v>45185</v>
      </c>
      <c r="F150" s="3">
        <v>45183</v>
      </c>
      <c r="G150" s="4">
        <f t="shared" si="9"/>
        <v>2</v>
      </c>
      <c r="H150" s="4" t="str">
        <v>ontime</v>
      </c>
      <c r="I150" s="4">
        <f t="shared" si="11"/>
        <v>1</v>
      </c>
      <c r="J150" t="s">
        <v>649</v>
      </c>
      <c r="K150" t="s">
        <v>657</v>
      </c>
      <c r="L150" t="s">
        <v>679</v>
      </c>
      <c r="M150" t="s">
        <v>703</v>
      </c>
      <c r="N150" t="s">
        <v>711</v>
      </c>
      <c r="O150" t="s">
        <v>717</v>
      </c>
      <c r="P150" t="s">
        <v>728</v>
      </c>
      <c r="Q150" t="str" cm="1">
        <f t="array" ref="Q150">_xlfn.IFS(U150&lt;=_xlfn.QUARTILE.INC($U$2:$U781,1),"Low",B150&lt;=_xlfn.QUARTILE.INC($U$2:$U$633,2),"Medium",TRUE,"High")</f>
        <v>High</v>
      </c>
      <c r="R150" t="s">
        <v>882</v>
      </c>
      <c r="S150" s="4">
        <v>376.83</v>
      </c>
      <c r="T150">
        <v>732.88</v>
      </c>
      <c r="U150">
        <v>732.88</v>
      </c>
      <c r="V150" s="7">
        <v>0.188</v>
      </c>
      <c r="W150" s="7">
        <v>0.188</v>
      </c>
      <c r="X150" s="7" t="str">
        <f t="shared" si="10"/>
        <v>okay</v>
      </c>
      <c r="Y150" s="9">
        <v>25</v>
      </c>
      <c r="Z150">
        <v>14877.464000000002</v>
      </c>
      <c r="AA150">
        <v>9420.75</v>
      </c>
      <c r="AB150">
        <v>5456.7140000000018</v>
      </c>
      <c r="AC150">
        <v>0.36677716040852132</v>
      </c>
    </row>
    <row r="151" spans="1:29" x14ac:dyDescent="0.3">
      <c r="A151" t="s">
        <v>164</v>
      </c>
      <c r="B151" s="3">
        <v>45558</v>
      </c>
      <c r="C151" s="3" t="str">
        <v>Sep-2024</v>
      </c>
      <c r="D151" s="11" t="str">
        <f t="shared" si="8"/>
        <v>Q3-2024</v>
      </c>
      <c r="E151" s="3">
        <v>45583</v>
      </c>
      <c r="F151" s="3">
        <v>45558</v>
      </c>
      <c r="G151" s="4">
        <f t="shared" si="9"/>
        <v>25</v>
      </c>
      <c r="H151" s="4" t="str">
        <v>delayed</v>
      </c>
      <c r="I151" s="4">
        <f t="shared" si="11"/>
        <v>0</v>
      </c>
      <c r="J151" t="s">
        <v>648</v>
      </c>
      <c r="K151" t="s">
        <v>653</v>
      </c>
      <c r="L151" t="s">
        <v>688</v>
      </c>
      <c r="M151" t="s">
        <v>705</v>
      </c>
      <c r="N151" t="s">
        <v>708</v>
      </c>
      <c r="O151" t="s">
        <v>725</v>
      </c>
      <c r="P151" t="s">
        <v>730</v>
      </c>
      <c r="Q151" t="str" cm="1">
        <f t="array" ref="Q151">_xlfn.IFS(U151&lt;=_xlfn.QUARTILE.INC($U$2:$U782,1),"Low",B151&lt;=_xlfn.QUARTILE.INC($U$2:$U$633,2),"Medium",TRUE,"High")</f>
        <v>High</v>
      </c>
      <c r="R151" t="s">
        <v>883</v>
      </c>
      <c r="S151" s="4">
        <v>1297</v>
      </c>
      <c r="T151">
        <v>2411.52</v>
      </c>
      <c r="U151">
        <v>2411.52</v>
      </c>
      <c r="V151" s="7">
        <v>2.1000000000000001E-2</v>
      </c>
      <c r="W151" s="7">
        <v>2.1000000000000001E-2</v>
      </c>
      <c r="X151" s="7" t="str">
        <f t="shared" si="10"/>
        <v>okay</v>
      </c>
      <c r="Y151" s="9">
        <v>18</v>
      </c>
      <c r="Z151">
        <v>42495.805439999996</v>
      </c>
      <c r="AA151">
        <v>23346</v>
      </c>
      <c r="AB151">
        <v>19149.805439999996</v>
      </c>
      <c r="AC151">
        <v>0.45062813239385913</v>
      </c>
    </row>
    <row r="152" spans="1:29" x14ac:dyDescent="0.3">
      <c r="A152" t="s">
        <v>165</v>
      </c>
      <c r="B152" s="3">
        <v>45763</v>
      </c>
      <c r="C152" s="3" t="str">
        <v>Apr-2025</v>
      </c>
      <c r="D152" s="11" t="str">
        <f t="shared" si="8"/>
        <v>Q2-2025</v>
      </c>
      <c r="E152" s="3">
        <v>45793</v>
      </c>
      <c r="F152" s="3">
        <v>45763</v>
      </c>
      <c r="G152" s="4">
        <f t="shared" si="9"/>
        <v>30</v>
      </c>
      <c r="H152" s="4" t="str">
        <v>delayed</v>
      </c>
      <c r="I152" s="4">
        <f t="shared" si="11"/>
        <v>0</v>
      </c>
      <c r="J152" t="s">
        <v>648</v>
      </c>
      <c r="K152" t="s">
        <v>653</v>
      </c>
      <c r="L152" t="s">
        <v>681</v>
      </c>
      <c r="M152" t="s">
        <v>706</v>
      </c>
      <c r="N152" t="s">
        <v>710</v>
      </c>
      <c r="O152" t="s">
        <v>723</v>
      </c>
      <c r="P152" t="s">
        <v>728</v>
      </c>
      <c r="Q152" t="str" cm="1">
        <f t="array" ref="Q152">_xlfn.IFS(U152&lt;=_xlfn.QUARTILE.INC($U$2:$U783,1),"Low",B152&lt;=_xlfn.QUARTILE.INC($U$2:$U$633,2),"Medium",TRUE,"High")</f>
        <v>Low</v>
      </c>
      <c r="R152" t="s">
        <v>884</v>
      </c>
      <c r="S152" s="4">
        <v>763.32</v>
      </c>
      <c r="T152">
        <v>568.29</v>
      </c>
      <c r="U152">
        <v>568.29</v>
      </c>
      <c r="V152" s="7">
        <v>0.13100000000000001</v>
      </c>
      <c r="W152" s="7">
        <v>0.13100000000000001</v>
      </c>
      <c r="X152" s="7" t="str">
        <f t="shared" si="10"/>
        <v>okay</v>
      </c>
      <c r="Y152" s="9">
        <v>16</v>
      </c>
      <c r="Z152">
        <v>7901.5041599999995</v>
      </c>
      <c r="AA152">
        <v>12213.12</v>
      </c>
      <c r="AB152">
        <v>-4311.6158400000013</v>
      </c>
      <c r="AC152">
        <v>-0.54567026134426555</v>
      </c>
    </row>
    <row r="153" spans="1:29" x14ac:dyDescent="0.3">
      <c r="A153" t="s">
        <v>166</v>
      </c>
      <c r="B153" s="3">
        <v>45110</v>
      </c>
      <c r="C153" s="3" t="str">
        <v>Jul-2023</v>
      </c>
      <c r="D153" s="11" t="str">
        <f t="shared" si="8"/>
        <v>Q3-2023</v>
      </c>
      <c r="E153" s="3">
        <v>45130</v>
      </c>
      <c r="F153" s="3">
        <v>45110</v>
      </c>
      <c r="G153" s="4">
        <f t="shared" si="9"/>
        <v>20</v>
      </c>
      <c r="H153" s="4" t="str">
        <v>delayed</v>
      </c>
      <c r="I153" s="4">
        <f t="shared" si="11"/>
        <v>0</v>
      </c>
      <c r="J153" t="s">
        <v>646</v>
      </c>
      <c r="K153" t="s">
        <v>661</v>
      </c>
      <c r="L153" t="s">
        <v>682</v>
      </c>
      <c r="M153" t="s">
        <v>705</v>
      </c>
      <c r="N153" t="s">
        <v>710</v>
      </c>
      <c r="O153" t="s">
        <v>721</v>
      </c>
      <c r="P153" t="s">
        <v>731</v>
      </c>
      <c r="Q153" t="str" cm="1">
        <f t="array" ref="Q153">_xlfn.IFS(U153&lt;=_xlfn.QUARTILE.INC($U$2:$U784,1),"Low",B153&lt;=_xlfn.QUARTILE.INC($U$2:$U$633,2),"Medium",TRUE,"High")</f>
        <v>High</v>
      </c>
      <c r="R153" t="s">
        <v>885</v>
      </c>
      <c r="S153" s="4">
        <v>1001.96</v>
      </c>
      <c r="T153">
        <v>1254.95</v>
      </c>
      <c r="U153">
        <v>1254.95</v>
      </c>
      <c r="V153" s="7">
        <v>4.4999999999999998E-2</v>
      </c>
      <c r="W153" s="7">
        <v>4.4999999999999998E-2</v>
      </c>
      <c r="X153" s="7" t="str">
        <f t="shared" si="10"/>
        <v>okay</v>
      </c>
      <c r="Y153" s="9">
        <v>18</v>
      </c>
      <c r="Z153">
        <v>21572.590500000002</v>
      </c>
      <c r="AA153">
        <v>18035.28</v>
      </c>
      <c r="AB153">
        <v>3537.3105000000032</v>
      </c>
      <c r="AC153">
        <v>0.16397244920585699</v>
      </c>
    </row>
    <row r="154" spans="1:29" x14ac:dyDescent="0.3">
      <c r="A154" t="s">
        <v>167</v>
      </c>
      <c r="B154" s="3">
        <v>45267</v>
      </c>
      <c r="C154" s="3" t="str">
        <v>Dec-2023</v>
      </c>
      <c r="D154" s="11" t="str">
        <f t="shared" si="8"/>
        <v>Q4-2023</v>
      </c>
      <c r="E154" s="3">
        <v>45265</v>
      </c>
      <c r="F154" s="3">
        <v>45274</v>
      </c>
      <c r="G154" s="4">
        <f t="shared" si="9"/>
        <v>-9</v>
      </c>
      <c r="H154" s="4" t="str">
        <v>ontime</v>
      </c>
      <c r="I154" s="4">
        <f t="shared" si="11"/>
        <v>1</v>
      </c>
      <c r="J154" t="s">
        <v>647</v>
      </c>
      <c r="K154" t="s">
        <v>652</v>
      </c>
      <c r="L154" t="s">
        <v>689</v>
      </c>
      <c r="M154" t="s">
        <v>703</v>
      </c>
      <c r="N154" t="s">
        <v>709</v>
      </c>
      <c r="O154" t="s">
        <v>722</v>
      </c>
      <c r="P154" t="s">
        <v>728</v>
      </c>
      <c r="Q154" t="str" cm="1">
        <f t="array" ref="Q154">_xlfn.IFS(U154&lt;=_xlfn.QUARTILE.INC($U$2:$U785,1),"Low",B154&lt;=_xlfn.QUARTILE.INC($U$2:$U$633,2),"Medium",TRUE,"High")</f>
        <v>High</v>
      </c>
      <c r="R154" t="s">
        <v>886</v>
      </c>
      <c r="S154" s="4">
        <v>1097.5899999999999</v>
      </c>
      <c r="T154">
        <v>845.55</v>
      </c>
      <c r="U154">
        <v>845.55</v>
      </c>
      <c r="V154" s="7">
        <v>0.184</v>
      </c>
      <c r="W154" s="7">
        <v>0.184</v>
      </c>
      <c r="X154" s="7" t="str">
        <f t="shared" si="10"/>
        <v>okay</v>
      </c>
      <c r="Y154" s="9">
        <v>6</v>
      </c>
      <c r="Z154">
        <v>4139.8127999999997</v>
      </c>
      <c r="AA154">
        <v>6585.5399999999991</v>
      </c>
      <c r="AB154">
        <v>-2445.7271999999994</v>
      </c>
      <c r="AC154">
        <v>-0.59078207594314402</v>
      </c>
    </row>
    <row r="155" spans="1:29" x14ac:dyDescent="0.3">
      <c r="A155" t="s">
        <v>168</v>
      </c>
      <c r="B155" s="3">
        <v>45340</v>
      </c>
      <c r="C155" s="3" t="str">
        <v>Feb-2024</v>
      </c>
      <c r="D155" s="11" t="str">
        <f t="shared" si="8"/>
        <v>Q1-2024</v>
      </c>
      <c r="E155" s="3">
        <v>45355</v>
      </c>
      <c r="F155" s="3">
        <v>45340</v>
      </c>
      <c r="G155" s="4">
        <f t="shared" si="9"/>
        <v>15</v>
      </c>
      <c r="H155" s="4" t="str">
        <v>delayed</v>
      </c>
      <c r="I155" s="4">
        <f t="shared" si="11"/>
        <v>0</v>
      </c>
      <c r="J155" t="s">
        <v>646</v>
      </c>
      <c r="K155" t="s">
        <v>650</v>
      </c>
      <c r="L155" t="s">
        <v>662</v>
      </c>
      <c r="M155" t="s">
        <v>702</v>
      </c>
      <c r="N155" t="s">
        <v>711</v>
      </c>
      <c r="O155" t="s">
        <v>723</v>
      </c>
      <c r="P155" t="s">
        <v>728</v>
      </c>
      <c r="Q155" t="str" cm="1">
        <f t="array" ref="Q155">_xlfn.IFS(U155&lt;=_xlfn.QUARTILE.INC($U$2:$U786,1),"Low",B155&lt;=_xlfn.QUARTILE.INC($U$2:$U$633,2),"Medium",TRUE,"High")</f>
        <v>High</v>
      </c>
      <c r="R155" t="s">
        <v>887</v>
      </c>
      <c r="S155" s="4">
        <v>928.68</v>
      </c>
      <c r="T155">
        <v>2145.17</v>
      </c>
      <c r="U155">
        <v>2145.17</v>
      </c>
      <c r="V155" s="7">
        <v>0.13600000000000001</v>
      </c>
      <c r="W155" s="7">
        <v>0.13600000000000001</v>
      </c>
      <c r="X155" s="7" t="str">
        <f t="shared" si="10"/>
        <v>okay</v>
      </c>
      <c r="Y155" s="9">
        <v>16</v>
      </c>
      <c r="Z155">
        <v>29654.83008</v>
      </c>
      <c r="AA155">
        <v>14858.88</v>
      </c>
      <c r="AB155">
        <v>14795.950080000001</v>
      </c>
      <c r="AC155">
        <v>0.49893896003062177</v>
      </c>
    </row>
    <row r="156" spans="1:29" x14ac:dyDescent="0.3">
      <c r="A156" t="s">
        <v>169</v>
      </c>
      <c r="B156" s="3">
        <v>45230</v>
      </c>
      <c r="C156" s="3" t="str">
        <v>Oct-2023</v>
      </c>
      <c r="D156" s="11" t="str">
        <f t="shared" si="8"/>
        <v>Q4-2023</v>
      </c>
      <c r="E156" s="3">
        <v>45232</v>
      </c>
      <c r="F156" s="3">
        <v>45230</v>
      </c>
      <c r="G156" s="4">
        <f t="shared" si="9"/>
        <v>2</v>
      </c>
      <c r="H156" s="4" t="str">
        <v>ontime</v>
      </c>
      <c r="I156" s="4">
        <f t="shared" si="11"/>
        <v>1</v>
      </c>
      <c r="J156" t="s">
        <v>646</v>
      </c>
      <c r="K156" t="s">
        <v>650</v>
      </c>
      <c r="L156" t="s">
        <v>662</v>
      </c>
      <c r="M156" t="s">
        <v>702</v>
      </c>
      <c r="N156" t="s">
        <v>707</v>
      </c>
      <c r="O156" t="s">
        <v>719</v>
      </c>
      <c r="P156" t="s">
        <v>733</v>
      </c>
      <c r="Q156" t="str" cm="1">
        <f t="array" ref="Q156">_xlfn.IFS(U156&lt;=_xlfn.QUARTILE.INC($U$2:$U787,1),"Low",B156&lt;=_xlfn.QUARTILE.INC($U$2:$U$633,2),"Medium",TRUE,"High")</f>
        <v>High</v>
      </c>
      <c r="R156" t="s">
        <v>888</v>
      </c>
      <c r="S156" s="4">
        <v>867.89</v>
      </c>
      <c r="T156">
        <v>1349.94</v>
      </c>
      <c r="U156">
        <v>1349.94</v>
      </c>
      <c r="V156" s="7">
        <v>0.184</v>
      </c>
      <c r="W156" s="7">
        <v>0.184</v>
      </c>
      <c r="X156" s="7" t="str">
        <f t="shared" si="10"/>
        <v>okay</v>
      </c>
      <c r="Y156" s="9">
        <v>10</v>
      </c>
      <c r="Z156">
        <v>11015.510400000003</v>
      </c>
      <c r="AA156">
        <v>8678.9</v>
      </c>
      <c r="AB156">
        <v>2336.6104000000032</v>
      </c>
      <c r="AC156">
        <v>0.21212003031652557</v>
      </c>
    </row>
    <row r="157" spans="1:29" x14ac:dyDescent="0.3">
      <c r="A157" t="s">
        <v>170</v>
      </c>
      <c r="B157" s="3">
        <v>45511</v>
      </c>
      <c r="C157" s="3" t="str">
        <v>Aug-2024</v>
      </c>
      <c r="D157" s="11" t="str">
        <f t="shared" si="8"/>
        <v>Q3-2024</v>
      </c>
      <c r="E157" s="3">
        <v>45521</v>
      </c>
      <c r="F157" s="3">
        <v>45511</v>
      </c>
      <c r="G157" s="4">
        <f t="shared" si="9"/>
        <v>10</v>
      </c>
      <c r="H157" s="4" t="str">
        <v>delayed</v>
      </c>
      <c r="I157" s="4">
        <f t="shared" si="11"/>
        <v>0</v>
      </c>
      <c r="J157" t="s">
        <v>647</v>
      </c>
      <c r="K157" t="s">
        <v>652</v>
      </c>
      <c r="L157" t="s">
        <v>666</v>
      </c>
      <c r="M157" t="s">
        <v>704</v>
      </c>
      <c r="N157" t="s">
        <v>708</v>
      </c>
      <c r="O157" t="s">
        <v>723</v>
      </c>
      <c r="P157" t="s">
        <v>729</v>
      </c>
      <c r="Q157" t="str" cm="1">
        <f t="array" ref="Q157">_xlfn.IFS(U157&lt;=_xlfn.QUARTILE.INC($U$2:$U788,1),"Low",B157&lt;=_xlfn.QUARTILE.INC($U$2:$U$633,2),"Medium",TRUE,"High")</f>
        <v>Low</v>
      </c>
      <c r="R157" t="s">
        <v>889</v>
      </c>
      <c r="S157" s="4">
        <v>436.58</v>
      </c>
      <c r="T157">
        <v>527.48</v>
      </c>
      <c r="U157">
        <v>527.48</v>
      </c>
      <c r="V157" s="7">
        <v>0.111</v>
      </c>
      <c r="W157" s="7">
        <v>0.111</v>
      </c>
      <c r="X157" s="7" t="str">
        <f t="shared" si="10"/>
        <v>okay</v>
      </c>
      <c r="Y157" s="9">
        <v>19</v>
      </c>
      <c r="Z157">
        <v>8909.6646800000017</v>
      </c>
      <c r="AA157">
        <v>8295.02</v>
      </c>
      <c r="AB157">
        <v>614.64468000000124</v>
      </c>
      <c r="AC157">
        <v>6.8986286473802644E-2</v>
      </c>
    </row>
    <row r="158" spans="1:29" x14ac:dyDescent="0.3">
      <c r="A158" t="s">
        <v>171</v>
      </c>
      <c r="B158" s="3">
        <v>45323</v>
      </c>
      <c r="C158" s="3" t="str">
        <v>Feb-2024</v>
      </c>
      <c r="D158" s="11" t="str">
        <f t="shared" si="8"/>
        <v>Q1-2024</v>
      </c>
      <c r="E158" s="3">
        <v>45343</v>
      </c>
      <c r="F158" s="3">
        <v>45323</v>
      </c>
      <c r="G158" s="4">
        <f t="shared" si="9"/>
        <v>20</v>
      </c>
      <c r="H158" s="4" t="str">
        <v>delayed</v>
      </c>
      <c r="I158" s="4">
        <f t="shared" si="11"/>
        <v>0</v>
      </c>
      <c r="J158" t="s">
        <v>649</v>
      </c>
      <c r="K158" t="s">
        <v>657</v>
      </c>
      <c r="L158" t="s">
        <v>690</v>
      </c>
      <c r="M158" t="s">
        <v>705</v>
      </c>
      <c r="N158" t="s">
        <v>709</v>
      </c>
      <c r="O158" t="s">
        <v>720</v>
      </c>
      <c r="P158" t="s">
        <v>729</v>
      </c>
      <c r="Q158" t="str" cm="1">
        <f t="array" ref="Q158">_xlfn.IFS(U158&lt;=_xlfn.QUARTILE.INC($U$2:$U789,1),"Low",B158&lt;=_xlfn.QUARTILE.INC($U$2:$U$633,2),"Medium",TRUE,"High")</f>
        <v>High</v>
      </c>
      <c r="R158" t="s">
        <v>890</v>
      </c>
      <c r="S158" s="4">
        <v>656.2</v>
      </c>
      <c r="T158">
        <v>1467.17</v>
      </c>
      <c r="U158">
        <v>1467.17</v>
      </c>
      <c r="V158" s="7">
        <v>1.7999999999999999E-2</v>
      </c>
      <c r="W158" s="7">
        <v>1.7999999999999999E-2</v>
      </c>
      <c r="X158" s="7" t="str">
        <f t="shared" si="10"/>
        <v>okay</v>
      </c>
      <c r="Y158" s="9">
        <v>5</v>
      </c>
      <c r="Z158">
        <v>7203.8047000000006</v>
      </c>
      <c r="AA158">
        <v>3281</v>
      </c>
      <c r="AB158">
        <v>3922.8047000000006</v>
      </c>
      <c r="AC158">
        <v>0.54454623124360946</v>
      </c>
    </row>
    <row r="159" spans="1:29" x14ac:dyDescent="0.3">
      <c r="A159" t="s">
        <v>172</v>
      </c>
      <c r="B159" s="3">
        <v>45531</v>
      </c>
      <c r="C159" s="3" t="str">
        <v>Aug-2024</v>
      </c>
      <c r="D159" s="11" t="str">
        <f t="shared" si="8"/>
        <v>Q3-2024</v>
      </c>
      <c r="E159" s="3">
        <v>45553</v>
      </c>
      <c r="F159" s="3">
        <v>45531</v>
      </c>
      <c r="G159" s="4">
        <f t="shared" si="9"/>
        <v>22</v>
      </c>
      <c r="H159" s="4" t="str">
        <v>delayed</v>
      </c>
      <c r="I159" s="4">
        <f t="shared" si="11"/>
        <v>0</v>
      </c>
      <c r="J159" t="s">
        <v>647</v>
      </c>
      <c r="K159" t="s">
        <v>654</v>
      </c>
      <c r="L159" t="s">
        <v>680</v>
      </c>
      <c r="M159" t="s">
        <v>704</v>
      </c>
      <c r="N159" t="s">
        <v>711</v>
      </c>
      <c r="O159" t="s">
        <v>717</v>
      </c>
      <c r="P159" t="s">
        <v>727</v>
      </c>
      <c r="Q159" t="str" cm="1">
        <f t="array" ref="Q159">_xlfn.IFS(U159&lt;=_xlfn.QUARTILE.INC($U$2:$U790,1),"Low",B159&lt;=_xlfn.QUARTILE.INC($U$2:$U$633,2),"Medium",TRUE,"High")</f>
        <v>High</v>
      </c>
      <c r="R159" t="s">
        <v>891</v>
      </c>
      <c r="S159" s="4">
        <v>896.75</v>
      </c>
      <c r="T159">
        <v>1651.14</v>
      </c>
      <c r="U159">
        <v>1651.14</v>
      </c>
      <c r="V159" s="7">
        <v>2.5000000000000001E-2</v>
      </c>
      <c r="W159" s="7">
        <v>2.5000000000000001E-2</v>
      </c>
      <c r="X159" s="7" t="str">
        <f t="shared" si="10"/>
        <v>okay</v>
      </c>
      <c r="Y159" s="9">
        <v>15</v>
      </c>
      <c r="Z159">
        <v>24147.922500000001</v>
      </c>
      <c r="AA159">
        <v>13451.25</v>
      </c>
      <c r="AB159">
        <v>10696.672500000001</v>
      </c>
      <c r="AC159">
        <v>0.44296450346815552</v>
      </c>
    </row>
    <row r="160" spans="1:29" x14ac:dyDescent="0.3">
      <c r="A160" t="s">
        <v>173</v>
      </c>
      <c r="B160" s="3">
        <v>45703</v>
      </c>
      <c r="C160" s="3" t="str">
        <v>Feb-2025</v>
      </c>
      <c r="D160" s="11" t="str">
        <f t="shared" si="8"/>
        <v>Q1-2025</v>
      </c>
      <c r="E160" s="3">
        <v>45703</v>
      </c>
      <c r="F160" s="3">
        <v>45703</v>
      </c>
      <c r="G160" s="4">
        <f t="shared" si="9"/>
        <v>0</v>
      </c>
      <c r="H160" s="4" t="str">
        <v>ontime</v>
      </c>
      <c r="I160" s="4">
        <f t="shared" si="11"/>
        <v>1</v>
      </c>
      <c r="J160" t="s">
        <v>649</v>
      </c>
      <c r="K160" t="s">
        <v>656</v>
      </c>
      <c r="L160" t="s">
        <v>698</v>
      </c>
      <c r="M160" t="s">
        <v>705</v>
      </c>
      <c r="N160" t="s">
        <v>709</v>
      </c>
      <c r="O160" t="s">
        <v>716</v>
      </c>
      <c r="P160" t="s">
        <v>733</v>
      </c>
      <c r="Q160" t="str" cm="1">
        <f t="array" ref="Q160">_xlfn.IFS(U160&lt;=_xlfn.QUARTILE.INC($U$2:$U791,1),"Low",B160&lt;=_xlfn.QUARTILE.INC($U$2:$U$633,2),"Medium",TRUE,"High")</f>
        <v>High</v>
      </c>
      <c r="R160" t="s">
        <v>892</v>
      </c>
      <c r="S160" s="4">
        <v>815.83</v>
      </c>
      <c r="T160">
        <v>1982.18</v>
      </c>
      <c r="U160">
        <v>1982.18</v>
      </c>
      <c r="V160" s="7">
        <v>0.127</v>
      </c>
      <c r="W160" s="7">
        <v>0.127</v>
      </c>
      <c r="X160" s="7" t="str">
        <f t="shared" si="10"/>
        <v>okay</v>
      </c>
      <c r="Y160" s="9">
        <v>6</v>
      </c>
      <c r="Z160">
        <v>10382.65884</v>
      </c>
      <c r="AA160">
        <v>4894.9800000000005</v>
      </c>
      <c r="AB160">
        <v>5487.6788399999996</v>
      </c>
      <c r="AC160">
        <v>0.52854272923408507</v>
      </c>
    </row>
    <row r="161" spans="1:29" x14ac:dyDescent="0.3">
      <c r="A161" t="s">
        <v>174</v>
      </c>
      <c r="B161" s="3">
        <v>45870</v>
      </c>
      <c r="C161" s="3" t="str">
        <v>Aug-2025</v>
      </c>
      <c r="D161" s="11" t="str">
        <f t="shared" si="8"/>
        <v>Q3-2025</v>
      </c>
      <c r="E161" s="3">
        <v>45890</v>
      </c>
      <c r="F161" s="3">
        <v>45870</v>
      </c>
      <c r="G161" s="4">
        <f t="shared" si="9"/>
        <v>20</v>
      </c>
      <c r="H161" s="4" t="str">
        <v>delayed</v>
      </c>
      <c r="I161" s="4">
        <f t="shared" si="11"/>
        <v>0</v>
      </c>
      <c r="J161" t="s">
        <v>647</v>
      </c>
      <c r="K161" t="s">
        <v>659</v>
      </c>
      <c r="L161" t="s">
        <v>685</v>
      </c>
      <c r="M161" t="s">
        <v>701</v>
      </c>
      <c r="N161" t="s">
        <v>711</v>
      </c>
      <c r="O161" t="s">
        <v>714</v>
      </c>
      <c r="P161" t="s">
        <v>730</v>
      </c>
      <c r="Q161" t="str" cm="1">
        <f t="array" ref="Q161">_xlfn.IFS(U161&lt;=_xlfn.QUARTILE.INC($U$2:$U792,1),"Low",B161&lt;=_xlfn.QUARTILE.INC($U$2:$U$633,2),"Medium",TRUE,"High")</f>
        <v>High</v>
      </c>
      <c r="R161" t="s">
        <v>893</v>
      </c>
      <c r="S161" s="4">
        <v>1220.4100000000001</v>
      </c>
      <c r="T161">
        <v>2552.2199999999998</v>
      </c>
      <c r="U161">
        <v>2552.2199999999998</v>
      </c>
      <c r="V161" s="7">
        <v>0.18099999999999999</v>
      </c>
      <c r="W161" s="7">
        <v>0.18099999999999999</v>
      </c>
      <c r="X161" s="7" t="str">
        <f t="shared" si="10"/>
        <v>okay</v>
      </c>
      <c r="Y161" s="9">
        <v>14</v>
      </c>
      <c r="Z161">
        <v>29263.754519999995</v>
      </c>
      <c r="AA161">
        <v>17085.740000000002</v>
      </c>
      <c r="AB161">
        <v>12178.014519999993</v>
      </c>
      <c r="AC161">
        <v>0.41614668793360271</v>
      </c>
    </row>
    <row r="162" spans="1:29" x14ac:dyDescent="0.3">
      <c r="A162" t="s">
        <v>175</v>
      </c>
      <c r="B162" s="3">
        <v>44977</v>
      </c>
      <c r="C162" s="3" t="str">
        <v>Feb-2023</v>
      </c>
      <c r="D162" s="11" t="str">
        <f t="shared" si="8"/>
        <v>Q1-2023</v>
      </c>
      <c r="E162" s="3">
        <v>44989</v>
      </c>
      <c r="F162" s="3">
        <v>44977</v>
      </c>
      <c r="G162" s="4">
        <f t="shared" si="9"/>
        <v>12</v>
      </c>
      <c r="H162" s="4" t="str">
        <v>delayed</v>
      </c>
      <c r="I162" s="4">
        <f t="shared" si="11"/>
        <v>0</v>
      </c>
      <c r="J162" t="s">
        <v>647</v>
      </c>
      <c r="K162" t="s">
        <v>654</v>
      </c>
      <c r="L162" t="s">
        <v>680</v>
      </c>
      <c r="M162" t="s">
        <v>704</v>
      </c>
      <c r="N162" t="s">
        <v>710</v>
      </c>
      <c r="O162" t="s">
        <v>724</v>
      </c>
      <c r="P162" t="s">
        <v>732</v>
      </c>
      <c r="Q162" t="str" cm="1">
        <f t="array" ref="Q162">_xlfn.IFS(U162&lt;=_xlfn.QUARTILE.INC($U$2:$U793,1),"Low",B162&lt;=_xlfn.QUARTILE.INC($U$2:$U$633,2),"Medium",TRUE,"High")</f>
        <v>Low</v>
      </c>
      <c r="R162" t="s">
        <v>894</v>
      </c>
      <c r="S162" s="4">
        <v>299.75</v>
      </c>
      <c r="T162">
        <v>523.01</v>
      </c>
      <c r="U162">
        <v>523.01</v>
      </c>
      <c r="V162" s="7">
        <v>0.157</v>
      </c>
      <c r="W162" s="7">
        <v>0.157</v>
      </c>
      <c r="X162" s="7" t="str">
        <f t="shared" si="10"/>
        <v>okay</v>
      </c>
      <c r="Y162" s="9">
        <v>50</v>
      </c>
      <c r="Z162">
        <v>22044.871499999997</v>
      </c>
      <c r="AA162">
        <v>14987.5</v>
      </c>
      <c r="AB162">
        <v>7057.3714999999975</v>
      </c>
      <c r="AC162">
        <v>0.32013665854210122</v>
      </c>
    </row>
    <row r="163" spans="1:29" x14ac:dyDescent="0.3">
      <c r="A163" t="s">
        <v>176</v>
      </c>
      <c r="B163" s="3">
        <v>45595</v>
      </c>
      <c r="C163" s="3" t="str">
        <v>Oct-2024</v>
      </c>
      <c r="D163" s="11" t="str">
        <f t="shared" si="8"/>
        <v>Q4-2024</v>
      </c>
      <c r="E163" s="3">
        <v>45620</v>
      </c>
      <c r="F163" s="3">
        <v>45595</v>
      </c>
      <c r="G163" s="4">
        <f t="shared" si="9"/>
        <v>25</v>
      </c>
      <c r="H163" s="4" t="str">
        <v>delayed</v>
      </c>
      <c r="I163" s="4">
        <f t="shared" si="11"/>
        <v>0</v>
      </c>
      <c r="J163" t="s">
        <v>647</v>
      </c>
      <c r="K163" t="s">
        <v>659</v>
      </c>
      <c r="L163" t="s">
        <v>676</v>
      </c>
      <c r="M163" t="s">
        <v>705</v>
      </c>
      <c r="N163" t="s">
        <v>708</v>
      </c>
      <c r="O163" t="s">
        <v>718</v>
      </c>
      <c r="P163" t="s">
        <v>727</v>
      </c>
      <c r="Q163" t="str" cm="1">
        <f t="array" ref="Q163">_xlfn.IFS(U163&lt;=_xlfn.QUARTILE.INC($U$2:$U794,1),"Low",B163&lt;=_xlfn.QUARTILE.INC($U$2:$U$633,2),"Medium",TRUE,"High")</f>
        <v>High</v>
      </c>
      <c r="R163" t="s">
        <v>895</v>
      </c>
      <c r="S163" s="4">
        <v>811.05</v>
      </c>
      <c r="T163">
        <v>1217.71</v>
      </c>
      <c r="U163">
        <v>1217.71</v>
      </c>
      <c r="V163" s="7">
        <v>7.1999999999999995E-2</v>
      </c>
      <c r="W163" s="7">
        <v>7.1999999999999995E-2</v>
      </c>
      <c r="X163" s="7" t="str">
        <f t="shared" si="10"/>
        <v>okay</v>
      </c>
      <c r="Y163" s="9">
        <v>5</v>
      </c>
      <c r="Z163">
        <v>5650.1744000000008</v>
      </c>
      <c r="AA163">
        <v>4055.25</v>
      </c>
      <c r="AB163">
        <v>1594.9244000000008</v>
      </c>
      <c r="AC163">
        <v>0.28227879125288602</v>
      </c>
    </row>
    <row r="164" spans="1:29" x14ac:dyDescent="0.3">
      <c r="A164" t="s">
        <v>177</v>
      </c>
      <c r="B164" s="3">
        <v>45385</v>
      </c>
      <c r="C164" s="3" t="str">
        <v>Apr-2024</v>
      </c>
      <c r="D164" s="11" t="str">
        <f t="shared" si="8"/>
        <v>Q2-2024</v>
      </c>
      <c r="E164" s="3">
        <v>45389</v>
      </c>
      <c r="F164" s="3">
        <v>45385</v>
      </c>
      <c r="G164" s="4">
        <f t="shared" si="9"/>
        <v>4</v>
      </c>
      <c r="H164" s="4" t="str">
        <v>ontime</v>
      </c>
      <c r="I164" s="4">
        <f t="shared" si="11"/>
        <v>1</v>
      </c>
      <c r="J164" t="s">
        <v>648</v>
      </c>
      <c r="K164" t="s">
        <v>655</v>
      </c>
      <c r="L164" t="s">
        <v>672</v>
      </c>
      <c r="M164" t="s">
        <v>703</v>
      </c>
      <c r="N164" t="s">
        <v>711</v>
      </c>
      <c r="O164" t="s">
        <v>725</v>
      </c>
      <c r="P164" t="s">
        <v>730</v>
      </c>
      <c r="Q164" t="str" cm="1">
        <f t="array" ref="Q164">_xlfn.IFS(U164&lt;=_xlfn.QUARTILE.INC($U$2:$U795,1),"Low",B164&lt;=_xlfn.QUARTILE.INC($U$2:$U$633,2),"Medium",TRUE,"High")</f>
        <v>High</v>
      </c>
      <c r="R164" t="s">
        <v>896</v>
      </c>
      <c r="S164" s="4">
        <v>1023.27</v>
      </c>
      <c r="T164">
        <v>1343.64</v>
      </c>
      <c r="U164">
        <v>1343.64</v>
      </c>
      <c r="V164" s="7">
        <v>0.13300000000000001</v>
      </c>
      <c r="W164" s="7">
        <v>0.13300000000000001</v>
      </c>
      <c r="X164" s="7" t="str">
        <f t="shared" si="10"/>
        <v>okay</v>
      </c>
      <c r="Y164" s="9">
        <v>7</v>
      </c>
      <c r="Z164">
        <v>8154.5511600000009</v>
      </c>
      <c r="AA164">
        <v>7162.8899999999994</v>
      </c>
      <c r="AB164">
        <v>991.66116000000147</v>
      </c>
      <c r="AC164">
        <v>0.12160830688810116</v>
      </c>
    </row>
    <row r="165" spans="1:29" x14ac:dyDescent="0.3">
      <c r="A165" t="s">
        <v>178</v>
      </c>
      <c r="B165" s="3">
        <v>45010</v>
      </c>
      <c r="C165" s="3" t="str">
        <v>Mar-2023</v>
      </c>
      <c r="D165" s="11" t="str">
        <f t="shared" si="8"/>
        <v>Q1-2023</v>
      </c>
      <c r="E165" s="3">
        <v>45011</v>
      </c>
      <c r="F165" s="3">
        <v>45010</v>
      </c>
      <c r="G165" s="4">
        <f t="shared" si="9"/>
        <v>1</v>
      </c>
      <c r="H165" s="4" t="str">
        <v>ontime</v>
      </c>
      <c r="I165" s="4">
        <f t="shared" si="11"/>
        <v>1</v>
      </c>
      <c r="J165" t="s">
        <v>647</v>
      </c>
      <c r="K165" t="s">
        <v>652</v>
      </c>
      <c r="L165" t="s">
        <v>666</v>
      </c>
      <c r="M165" t="s">
        <v>705</v>
      </c>
      <c r="N165" t="s">
        <v>710</v>
      </c>
      <c r="O165" t="s">
        <v>714</v>
      </c>
      <c r="P165" t="s">
        <v>732</v>
      </c>
      <c r="Q165" t="str" cm="1">
        <f t="array" ref="Q165">_xlfn.IFS(U165&lt;=_xlfn.QUARTILE.INC($U$2:$U796,1),"Low",B165&lt;=_xlfn.QUARTILE.INC($U$2:$U$633,2),"Medium",TRUE,"High")</f>
        <v>Low</v>
      </c>
      <c r="R165" t="s">
        <v>897</v>
      </c>
      <c r="S165" s="4">
        <v>135.12</v>
      </c>
      <c r="T165">
        <v>301.7</v>
      </c>
      <c r="U165">
        <v>301.7</v>
      </c>
      <c r="V165" s="7">
        <v>0.14000000000000001</v>
      </c>
      <c r="W165" s="7">
        <v>0.14000000000000001</v>
      </c>
      <c r="X165" s="7" t="str">
        <f t="shared" si="10"/>
        <v>okay</v>
      </c>
      <c r="Y165" s="9">
        <v>47</v>
      </c>
      <c r="Z165">
        <v>12194.714</v>
      </c>
      <c r="AA165">
        <v>6350.64</v>
      </c>
      <c r="AB165">
        <v>5844.0739999999996</v>
      </c>
      <c r="AC165">
        <v>0.47923009920527859</v>
      </c>
    </row>
    <row r="166" spans="1:29" x14ac:dyDescent="0.3">
      <c r="A166" t="s">
        <v>179</v>
      </c>
      <c r="B166" s="3">
        <v>45447</v>
      </c>
      <c r="C166" s="3" t="str">
        <v>Jun-2024</v>
      </c>
      <c r="D166" s="11" t="str">
        <f t="shared" si="8"/>
        <v>Q2-2024</v>
      </c>
      <c r="E166" s="3">
        <v>45459</v>
      </c>
      <c r="F166" s="3">
        <v>45447</v>
      </c>
      <c r="G166" s="4">
        <f t="shared" si="9"/>
        <v>12</v>
      </c>
      <c r="H166" s="4" t="str">
        <v>delayed</v>
      </c>
      <c r="I166" s="4">
        <f t="shared" si="11"/>
        <v>0</v>
      </c>
      <c r="J166" t="s">
        <v>647</v>
      </c>
      <c r="K166" t="s">
        <v>659</v>
      </c>
      <c r="L166" t="s">
        <v>685</v>
      </c>
      <c r="M166" t="s">
        <v>701</v>
      </c>
      <c r="N166" t="s">
        <v>707</v>
      </c>
      <c r="O166" t="s">
        <v>713</v>
      </c>
      <c r="P166" t="s">
        <v>728</v>
      </c>
      <c r="Q166" t="str" cm="1">
        <f t="array" ref="Q166">_xlfn.IFS(U166&lt;=_xlfn.QUARTILE.INC($U$2:$U797,1),"Low",B166&lt;=_xlfn.QUARTILE.INC($U$2:$U$633,2),"Medium",TRUE,"High")</f>
        <v>High</v>
      </c>
      <c r="R166" t="s">
        <v>898</v>
      </c>
      <c r="S166" s="4">
        <v>918.42</v>
      </c>
      <c r="T166">
        <v>1511.71</v>
      </c>
      <c r="U166">
        <v>1511.71</v>
      </c>
      <c r="V166" s="7">
        <v>0.02</v>
      </c>
      <c r="W166" s="7">
        <v>0.02</v>
      </c>
      <c r="X166" s="7" t="str">
        <f t="shared" si="10"/>
        <v>okay</v>
      </c>
      <c r="Y166" s="9">
        <v>8</v>
      </c>
      <c r="Z166">
        <v>11851.806399999999</v>
      </c>
      <c r="AA166">
        <v>7347.36</v>
      </c>
      <c r="AB166">
        <v>4504.4463999999998</v>
      </c>
      <c r="AC166">
        <v>0.38006412254590999</v>
      </c>
    </row>
    <row r="167" spans="1:29" x14ac:dyDescent="0.3">
      <c r="A167" t="s">
        <v>180</v>
      </c>
      <c r="B167" s="3">
        <v>44976</v>
      </c>
      <c r="C167" s="3" t="str">
        <v>Feb-2023</v>
      </c>
      <c r="D167" s="11" t="str">
        <f t="shared" si="8"/>
        <v>Q1-2023</v>
      </c>
      <c r="E167" s="3">
        <v>44997</v>
      </c>
      <c r="F167" s="3">
        <v>44976</v>
      </c>
      <c r="G167" s="4">
        <f t="shared" si="9"/>
        <v>21</v>
      </c>
      <c r="H167" s="4" t="str">
        <v>delayed</v>
      </c>
      <c r="I167" s="4">
        <f t="shared" si="11"/>
        <v>0</v>
      </c>
      <c r="J167" t="s">
        <v>649</v>
      </c>
      <c r="K167" t="s">
        <v>656</v>
      </c>
      <c r="L167" t="s">
        <v>671</v>
      </c>
      <c r="M167" t="s">
        <v>705</v>
      </c>
      <c r="N167" t="s">
        <v>711</v>
      </c>
      <c r="O167" t="s">
        <v>716</v>
      </c>
      <c r="P167" t="s">
        <v>732</v>
      </c>
      <c r="Q167" t="str" cm="1">
        <f t="array" ref="Q167">_xlfn.IFS(U167&lt;=_xlfn.QUARTILE.INC($U$2:$U798,1),"Low",B167&lt;=_xlfn.QUARTILE.INC($U$2:$U$633,2),"Medium",TRUE,"High")</f>
        <v>High</v>
      </c>
      <c r="R167" t="s">
        <v>899</v>
      </c>
      <c r="S167" s="4">
        <v>1234.81</v>
      </c>
      <c r="T167">
        <v>2055.2399999999998</v>
      </c>
      <c r="U167">
        <v>2055.2399999999998</v>
      </c>
      <c r="V167" s="7">
        <v>5.2999999999999999E-2</v>
      </c>
      <c r="W167" s="7">
        <v>5.2999999999999999E-2</v>
      </c>
      <c r="X167" s="7" t="str">
        <f t="shared" si="10"/>
        <v>okay</v>
      </c>
      <c r="Y167" s="9">
        <v>44</v>
      </c>
      <c r="Z167">
        <v>85637.740319999997</v>
      </c>
      <c r="AA167">
        <v>54331.64</v>
      </c>
      <c r="AB167">
        <v>31306.100319999998</v>
      </c>
      <c r="AC167">
        <v>0.36556429680441616</v>
      </c>
    </row>
    <row r="168" spans="1:29" x14ac:dyDescent="0.3">
      <c r="A168" t="s">
        <v>181</v>
      </c>
      <c r="B168" s="3">
        <v>45034</v>
      </c>
      <c r="C168" s="3" t="str">
        <v>Apr-2023</v>
      </c>
      <c r="D168" s="11" t="str">
        <f t="shared" si="8"/>
        <v>Q2-2023</v>
      </c>
      <c r="E168" s="3">
        <v>45064</v>
      </c>
      <c r="F168" s="3">
        <v>45034</v>
      </c>
      <c r="G168" s="4">
        <f t="shared" si="9"/>
        <v>30</v>
      </c>
      <c r="H168" s="4" t="str">
        <v>delayed</v>
      </c>
      <c r="I168" s="4">
        <f t="shared" si="11"/>
        <v>0</v>
      </c>
      <c r="J168" t="s">
        <v>647</v>
      </c>
      <c r="K168" t="s">
        <v>659</v>
      </c>
      <c r="L168" t="s">
        <v>676</v>
      </c>
      <c r="M168" t="s">
        <v>703</v>
      </c>
      <c r="N168" t="s">
        <v>707</v>
      </c>
      <c r="O168" t="s">
        <v>722</v>
      </c>
      <c r="P168" t="s">
        <v>731</v>
      </c>
      <c r="Q168" t="str" cm="1">
        <f t="array" ref="Q168">_xlfn.IFS(U168&lt;=_xlfn.QUARTILE.INC($U$2:$U799,1),"Low",B168&lt;=_xlfn.QUARTILE.INC($U$2:$U$633,2),"Medium",TRUE,"High")</f>
        <v>Low</v>
      </c>
      <c r="R168" t="s">
        <v>900</v>
      </c>
      <c r="S168" s="4">
        <v>329.03</v>
      </c>
      <c r="T168">
        <v>391.15</v>
      </c>
      <c r="U168">
        <v>391.15</v>
      </c>
      <c r="V168" s="7">
        <v>0.19700000000000001</v>
      </c>
      <c r="W168" s="7">
        <v>0.19700000000000001</v>
      </c>
      <c r="X168" s="7" t="str">
        <f t="shared" si="10"/>
        <v>okay</v>
      </c>
      <c r="Y168" s="9">
        <v>46</v>
      </c>
      <c r="Z168">
        <v>14448.298699999998</v>
      </c>
      <c r="AA168">
        <v>15135.38</v>
      </c>
      <c r="AB168">
        <v>-687.08130000000165</v>
      </c>
      <c r="AC168">
        <v>-4.7554477815440081E-2</v>
      </c>
    </row>
    <row r="169" spans="1:29" x14ac:dyDescent="0.3">
      <c r="A169" t="s">
        <v>182</v>
      </c>
      <c r="B169" s="3">
        <v>45435</v>
      </c>
      <c r="C169" s="3" t="str">
        <v>May-2024</v>
      </c>
      <c r="D169" s="11" t="str">
        <f t="shared" si="8"/>
        <v>Q2-2024</v>
      </c>
      <c r="E169" s="3">
        <v>45457</v>
      </c>
      <c r="F169" s="3">
        <v>45435</v>
      </c>
      <c r="G169" s="4">
        <f t="shared" si="9"/>
        <v>22</v>
      </c>
      <c r="H169" s="4" t="str">
        <v>delayed</v>
      </c>
      <c r="I169" s="4">
        <f t="shared" si="11"/>
        <v>0</v>
      </c>
      <c r="J169" t="s">
        <v>649</v>
      </c>
      <c r="K169" t="s">
        <v>657</v>
      </c>
      <c r="L169" t="s">
        <v>673</v>
      </c>
      <c r="M169" t="s">
        <v>705</v>
      </c>
      <c r="N169" t="s">
        <v>708</v>
      </c>
      <c r="O169" t="s">
        <v>725</v>
      </c>
      <c r="P169" t="s">
        <v>732</v>
      </c>
      <c r="Q169" t="str" cm="1">
        <f t="array" ref="Q169">_xlfn.IFS(U169&lt;=_xlfn.QUARTILE.INC($U$2:$U800,1),"Low",B169&lt;=_xlfn.QUARTILE.INC($U$2:$U$633,2),"Medium",TRUE,"High")</f>
        <v>High</v>
      </c>
      <c r="R169" t="s">
        <v>901</v>
      </c>
      <c r="S169" s="4">
        <v>1481.74</v>
      </c>
      <c r="T169">
        <v>1848.97</v>
      </c>
      <c r="U169">
        <v>1848.97</v>
      </c>
      <c r="V169" s="7">
        <v>0.254</v>
      </c>
      <c r="W169" s="7">
        <v>0.254</v>
      </c>
      <c r="X169" s="7" t="str">
        <f t="shared" si="10"/>
        <v>High discount</v>
      </c>
      <c r="Y169" s="9">
        <v>9</v>
      </c>
      <c r="Z169">
        <v>12413.98458</v>
      </c>
      <c r="AA169">
        <v>13335.66</v>
      </c>
      <c r="AB169">
        <v>-921.67541999999958</v>
      </c>
      <c r="AC169">
        <v>-7.4244930309072407E-2</v>
      </c>
    </row>
    <row r="170" spans="1:29" x14ac:dyDescent="0.3">
      <c r="A170" t="s">
        <v>183</v>
      </c>
      <c r="B170" s="3">
        <v>45206</v>
      </c>
      <c r="C170" s="3" t="str">
        <v>Oct-2023</v>
      </c>
      <c r="D170" s="11" t="str">
        <f t="shared" si="8"/>
        <v>Q4-2023</v>
      </c>
      <c r="E170" s="3">
        <v>45222</v>
      </c>
      <c r="F170" s="3">
        <v>45206</v>
      </c>
      <c r="G170" s="4">
        <f t="shared" si="9"/>
        <v>16</v>
      </c>
      <c r="H170" s="4" t="str">
        <v>delayed</v>
      </c>
      <c r="I170" s="4">
        <f t="shared" si="11"/>
        <v>0</v>
      </c>
      <c r="J170" t="s">
        <v>647</v>
      </c>
      <c r="K170" t="s">
        <v>654</v>
      </c>
      <c r="L170" t="s">
        <v>696</v>
      </c>
      <c r="M170" t="s">
        <v>704</v>
      </c>
      <c r="N170" t="s">
        <v>707</v>
      </c>
      <c r="O170" t="s">
        <v>715</v>
      </c>
      <c r="P170" t="s">
        <v>732</v>
      </c>
      <c r="Q170" t="str" cm="1">
        <f t="array" ref="Q170">_xlfn.IFS(U170&lt;=_xlfn.QUARTILE.INC($U$2:$U801,1),"Low",B170&lt;=_xlfn.QUARTILE.INC($U$2:$U$633,2),"Medium",TRUE,"High")</f>
        <v>High</v>
      </c>
      <c r="R170" t="s">
        <v>902</v>
      </c>
      <c r="S170" s="4">
        <v>906.81</v>
      </c>
      <c r="T170">
        <v>1395.56</v>
      </c>
      <c r="U170">
        <v>1395.56</v>
      </c>
      <c r="V170" s="7">
        <v>0.185</v>
      </c>
      <c r="W170" s="7">
        <v>0.185</v>
      </c>
      <c r="X170" s="7" t="str">
        <f t="shared" si="10"/>
        <v>okay</v>
      </c>
      <c r="Y170" s="9">
        <v>6</v>
      </c>
      <c r="Z170">
        <v>6824.2884000000004</v>
      </c>
      <c r="AA170">
        <v>5440.86</v>
      </c>
      <c r="AB170">
        <v>1383.4284000000007</v>
      </c>
      <c r="AC170">
        <v>0.20272126834498974</v>
      </c>
    </row>
    <row r="171" spans="1:29" x14ac:dyDescent="0.3">
      <c r="A171" t="s">
        <v>184</v>
      </c>
      <c r="B171" s="3">
        <v>45574</v>
      </c>
      <c r="C171" s="3" t="str">
        <v>Oct-2024</v>
      </c>
      <c r="D171" s="11" t="str">
        <f t="shared" si="8"/>
        <v>Q4-2024</v>
      </c>
      <c r="E171" s="3">
        <v>45604</v>
      </c>
      <c r="F171" s="3">
        <v>45574</v>
      </c>
      <c r="G171" s="4">
        <f t="shared" si="9"/>
        <v>30</v>
      </c>
      <c r="H171" s="4" t="str">
        <v>delayed</v>
      </c>
      <c r="I171" s="4">
        <f t="shared" si="11"/>
        <v>0</v>
      </c>
      <c r="J171" t="s">
        <v>649</v>
      </c>
      <c r="K171" t="s">
        <v>658</v>
      </c>
      <c r="L171" t="s">
        <v>693</v>
      </c>
      <c r="M171" t="s">
        <v>705</v>
      </c>
      <c r="N171" t="s">
        <v>710</v>
      </c>
      <c r="O171" t="s">
        <v>713</v>
      </c>
      <c r="P171" t="s">
        <v>727</v>
      </c>
      <c r="Q171" t="str" cm="1">
        <f t="array" ref="Q171">_xlfn.IFS(U171&lt;=_xlfn.QUARTILE.INC($U$2:$U802,1),"Low",B171&lt;=_xlfn.QUARTILE.INC($U$2:$U$633,2),"Medium",TRUE,"High")</f>
        <v>Low</v>
      </c>
      <c r="R171" t="s">
        <v>903</v>
      </c>
      <c r="S171" s="4">
        <v>343.85</v>
      </c>
      <c r="T171">
        <v>538.04</v>
      </c>
      <c r="U171">
        <v>538.04</v>
      </c>
      <c r="V171" s="7">
        <v>0.13900000000000001</v>
      </c>
      <c r="W171" s="7">
        <v>0.13900000000000001</v>
      </c>
      <c r="X171" s="7" t="str">
        <f t="shared" si="10"/>
        <v>okay</v>
      </c>
      <c r="Y171" s="9">
        <v>5</v>
      </c>
      <c r="Z171">
        <v>2316.2621999999997</v>
      </c>
      <c r="AA171">
        <v>1719.25</v>
      </c>
      <c r="AB171">
        <v>597.01219999999967</v>
      </c>
      <c r="AC171">
        <v>0.25774810813732563</v>
      </c>
    </row>
    <row r="172" spans="1:29" x14ac:dyDescent="0.3">
      <c r="A172" t="s">
        <v>185</v>
      </c>
      <c r="B172" s="3">
        <v>45488</v>
      </c>
      <c r="C172" s="3" t="str">
        <v>Jul-2024</v>
      </c>
      <c r="D172" s="11" t="str">
        <f t="shared" si="8"/>
        <v>Q3-2024</v>
      </c>
      <c r="E172" s="3">
        <v>45488</v>
      </c>
      <c r="F172" s="3">
        <v>45488</v>
      </c>
      <c r="G172" s="4">
        <f t="shared" si="9"/>
        <v>0</v>
      </c>
      <c r="H172" s="4" t="str">
        <v>ontime</v>
      </c>
      <c r="I172" s="4">
        <f t="shared" si="11"/>
        <v>1</v>
      </c>
      <c r="J172" t="s">
        <v>647</v>
      </c>
      <c r="K172" t="s">
        <v>652</v>
      </c>
      <c r="L172" t="s">
        <v>689</v>
      </c>
      <c r="M172" t="s">
        <v>705</v>
      </c>
      <c r="N172" t="s">
        <v>709</v>
      </c>
      <c r="O172" t="s">
        <v>715</v>
      </c>
      <c r="P172" t="s">
        <v>733</v>
      </c>
      <c r="Q172" t="str" cm="1">
        <f t="array" ref="Q172">_xlfn.IFS(U172&lt;=_xlfn.QUARTILE.INC($U$2:$U803,1),"Low",B172&lt;=_xlfn.QUARTILE.INC($U$2:$U$633,2),"Medium",TRUE,"High")</f>
        <v>High</v>
      </c>
      <c r="R172" t="s">
        <v>904</v>
      </c>
      <c r="S172" s="4">
        <v>801.77</v>
      </c>
      <c r="T172">
        <v>1218.92</v>
      </c>
      <c r="U172">
        <v>1218.92</v>
      </c>
      <c r="V172" s="7">
        <v>0.254</v>
      </c>
      <c r="W172" s="7">
        <v>0.254</v>
      </c>
      <c r="X172" s="7" t="str">
        <f t="shared" si="10"/>
        <v>High discount</v>
      </c>
      <c r="Y172" s="9">
        <v>16</v>
      </c>
      <c r="Z172">
        <v>14549.029120000001</v>
      </c>
      <c r="AA172">
        <v>12828.32</v>
      </c>
      <c r="AB172">
        <v>1720.7091200000013</v>
      </c>
      <c r="AC172">
        <v>0.11826968698788344</v>
      </c>
    </row>
    <row r="173" spans="1:29" x14ac:dyDescent="0.3">
      <c r="A173" t="s">
        <v>186</v>
      </c>
      <c r="B173" s="3">
        <v>45190</v>
      </c>
      <c r="C173" s="3" t="str">
        <v>Sep-2023</v>
      </c>
      <c r="D173" s="11" t="str">
        <f t="shared" si="8"/>
        <v>Q3-2023</v>
      </c>
      <c r="E173" s="3">
        <v>45209</v>
      </c>
      <c r="F173" s="3">
        <v>45190</v>
      </c>
      <c r="G173" s="4">
        <f t="shared" si="9"/>
        <v>19</v>
      </c>
      <c r="H173" s="4" t="str">
        <v>delayed</v>
      </c>
      <c r="I173" s="4">
        <f t="shared" si="11"/>
        <v>0</v>
      </c>
      <c r="J173" t="s">
        <v>647</v>
      </c>
      <c r="K173" t="s">
        <v>652</v>
      </c>
      <c r="L173" t="s">
        <v>689</v>
      </c>
      <c r="M173" t="s">
        <v>702</v>
      </c>
      <c r="N173" t="s">
        <v>708</v>
      </c>
      <c r="O173" t="s">
        <v>726</v>
      </c>
      <c r="P173" t="s">
        <v>727</v>
      </c>
      <c r="Q173" t="str" cm="1">
        <f t="array" ref="Q173">_xlfn.IFS(U173&lt;=_xlfn.QUARTILE.INC($U$2:$U804,1),"Low",B173&lt;=_xlfn.QUARTILE.INC($U$2:$U$633,2),"Medium",TRUE,"High")</f>
        <v>High</v>
      </c>
      <c r="R173" t="s">
        <v>905</v>
      </c>
      <c r="S173" s="4">
        <v>845.63</v>
      </c>
      <c r="T173">
        <v>2062.12</v>
      </c>
      <c r="U173">
        <v>2062.12</v>
      </c>
      <c r="V173" s="7">
        <v>0.13400000000000001</v>
      </c>
      <c r="W173" s="7">
        <v>0.13400000000000001</v>
      </c>
      <c r="X173" s="7" t="str">
        <f t="shared" si="10"/>
        <v>okay</v>
      </c>
      <c r="Y173" s="9">
        <v>5</v>
      </c>
      <c r="Z173">
        <v>8928.9795999999988</v>
      </c>
      <c r="AA173">
        <v>4228.1499999999996</v>
      </c>
      <c r="AB173">
        <v>4700.8295999999991</v>
      </c>
      <c r="AC173">
        <v>0.52646884757133949</v>
      </c>
    </row>
    <row r="174" spans="1:29" x14ac:dyDescent="0.3">
      <c r="A174" t="s">
        <v>187</v>
      </c>
      <c r="B174" s="3">
        <v>44981</v>
      </c>
      <c r="C174" s="3" t="str">
        <v>Feb-2023</v>
      </c>
      <c r="D174" s="11" t="str">
        <f t="shared" si="8"/>
        <v>Q1-2023</v>
      </c>
      <c r="E174" s="3">
        <v>44994</v>
      </c>
      <c r="F174" s="3">
        <v>44981</v>
      </c>
      <c r="G174" s="4">
        <f t="shared" si="9"/>
        <v>13</v>
      </c>
      <c r="H174" s="4" t="str">
        <v>delayed</v>
      </c>
      <c r="I174" s="4">
        <f t="shared" si="11"/>
        <v>0</v>
      </c>
      <c r="J174" t="s">
        <v>648</v>
      </c>
      <c r="K174" t="s">
        <v>660</v>
      </c>
      <c r="L174" t="s">
        <v>700</v>
      </c>
      <c r="M174" t="s">
        <v>706</v>
      </c>
      <c r="N174" t="s">
        <v>708</v>
      </c>
      <c r="O174" t="s">
        <v>724</v>
      </c>
      <c r="P174" t="s">
        <v>727</v>
      </c>
      <c r="Q174" t="str" cm="1">
        <f t="array" ref="Q174">_xlfn.IFS(U174&lt;=_xlfn.QUARTILE.INC($U$2:$U805,1),"Low",B174&lt;=_xlfn.QUARTILE.INC($U$2:$U$633,2),"Medium",TRUE,"High")</f>
        <v>Low</v>
      </c>
      <c r="R174" t="s">
        <v>906</v>
      </c>
      <c r="S174" s="4">
        <v>6.85</v>
      </c>
      <c r="T174">
        <v>10.18</v>
      </c>
      <c r="U174">
        <v>10.18</v>
      </c>
      <c r="V174" s="7">
        <v>4.7E-2</v>
      </c>
      <c r="W174" s="7">
        <v>4.7E-2</v>
      </c>
      <c r="X174" s="7" t="str">
        <f t="shared" si="10"/>
        <v>okay</v>
      </c>
      <c r="Y174" s="9">
        <v>10</v>
      </c>
      <c r="Z174">
        <v>97.0154</v>
      </c>
      <c r="AA174">
        <v>68.5</v>
      </c>
      <c r="AB174">
        <v>28.5154</v>
      </c>
      <c r="AC174">
        <v>0.2939265312517394</v>
      </c>
    </row>
    <row r="175" spans="1:29" x14ac:dyDescent="0.3">
      <c r="A175" t="s">
        <v>188</v>
      </c>
      <c r="B175" s="3">
        <v>45798</v>
      </c>
      <c r="C175" s="3" t="str">
        <v>May-2025</v>
      </c>
      <c r="D175" s="11" t="str">
        <f t="shared" si="8"/>
        <v>Q2-2025</v>
      </c>
      <c r="E175" s="3">
        <v>45796</v>
      </c>
      <c r="F175" s="3">
        <v>45805</v>
      </c>
      <c r="G175" s="4">
        <f t="shared" si="9"/>
        <v>-9</v>
      </c>
      <c r="H175" s="4" t="str">
        <v>ontime</v>
      </c>
      <c r="I175" s="4">
        <f t="shared" si="11"/>
        <v>1</v>
      </c>
      <c r="J175" t="s">
        <v>646</v>
      </c>
      <c r="K175" t="s">
        <v>661</v>
      </c>
      <c r="L175" t="s">
        <v>682</v>
      </c>
      <c r="M175" t="s">
        <v>703</v>
      </c>
      <c r="N175" t="s">
        <v>710</v>
      </c>
      <c r="O175" t="s">
        <v>719</v>
      </c>
      <c r="P175" t="s">
        <v>731</v>
      </c>
      <c r="Q175" t="str" cm="1">
        <f t="array" ref="Q175">_xlfn.IFS(U175&lt;=_xlfn.QUARTILE.INC($U$2:$U806,1),"Low",B175&lt;=_xlfn.QUARTILE.INC($U$2:$U$633,2),"Medium",TRUE,"High")</f>
        <v>High</v>
      </c>
      <c r="R175" t="s">
        <v>907</v>
      </c>
      <c r="S175" s="4">
        <v>1263.8399999999999</v>
      </c>
      <c r="T175">
        <v>2281.7199999999998</v>
      </c>
      <c r="U175">
        <v>2281.7199999999998</v>
      </c>
      <c r="V175" s="7">
        <v>7.8E-2</v>
      </c>
      <c r="W175" s="7">
        <v>7.8E-2</v>
      </c>
      <c r="X175" s="7" t="str">
        <f t="shared" si="10"/>
        <v>okay</v>
      </c>
      <c r="Y175" s="9">
        <v>15</v>
      </c>
      <c r="Z175">
        <v>31556.187599999997</v>
      </c>
      <c r="AA175">
        <v>18957.599999999999</v>
      </c>
      <c r="AB175">
        <v>12598.587599999999</v>
      </c>
      <c r="AC175">
        <v>0.39924301882398494</v>
      </c>
    </row>
    <row r="176" spans="1:29" x14ac:dyDescent="0.3">
      <c r="A176" t="s">
        <v>189</v>
      </c>
      <c r="B176" s="3">
        <v>45435</v>
      </c>
      <c r="C176" s="3" t="str">
        <v>May-2024</v>
      </c>
      <c r="D176" s="11" t="str">
        <f t="shared" si="8"/>
        <v>Q2-2024</v>
      </c>
      <c r="E176" s="3">
        <v>45446</v>
      </c>
      <c r="F176" s="3">
        <v>45435</v>
      </c>
      <c r="G176" s="4">
        <f t="shared" si="9"/>
        <v>11</v>
      </c>
      <c r="H176" s="4" t="str">
        <v>delayed</v>
      </c>
      <c r="I176" s="4">
        <f t="shared" si="11"/>
        <v>0</v>
      </c>
      <c r="J176" t="s">
        <v>646</v>
      </c>
      <c r="K176" t="s">
        <v>661</v>
      </c>
      <c r="L176" t="s">
        <v>682</v>
      </c>
      <c r="M176" t="s">
        <v>705</v>
      </c>
      <c r="N176" t="s">
        <v>710</v>
      </c>
      <c r="O176" t="s">
        <v>721</v>
      </c>
      <c r="P176" t="s">
        <v>728</v>
      </c>
      <c r="Q176" t="str" cm="1">
        <f t="array" ref="Q176">_xlfn.IFS(U176&lt;=_xlfn.QUARTILE.INC($U$2:$U807,1),"Low",B176&lt;=_xlfn.QUARTILE.INC($U$2:$U$633,2),"Medium",TRUE,"High")</f>
        <v>Low</v>
      </c>
      <c r="R176" t="s">
        <v>908</v>
      </c>
      <c r="S176" s="4">
        <v>180.89</v>
      </c>
      <c r="T176">
        <v>249.57</v>
      </c>
      <c r="U176">
        <v>249.57</v>
      </c>
      <c r="V176" s="7">
        <v>2.1999999999999999E-2</v>
      </c>
      <c r="W176" s="7">
        <v>2.1999999999999999E-2</v>
      </c>
      <c r="X176" s="7" t="str">
        <f t="shared" si="10"/>
        <v>okay</v>
      </c>
      <c r="Y176" s="9">
        <v>8</v>
      </c>
      <c r="Z176">
        <v>1952.6356799999999</v>
      </c>
      <c r="AA176">
        <v>1447.12</v>
      </c>
      <c r="AB176">
        <v>505.51567999999997</v>
      </c>
      <c r="AC176">
        <v>0.25888888806948362</v>
      </c>
    </row>
    <row r="177" spans="1:29" x14ac:dyDescent="0.3">
      <c r="A177" t="s">
        <v>190</v>
      </c>
      <c r="B177" s="3">
        <v>45761</v>
      </c>
      <c r="C177" s="3" t="str">
        <v>Apr-2025</v>
      </c>
      <c r="D177" s="11" t="str">
        <f t="shared" si="8"/>
        <v>Q2-2025</v>
      </c>
      <c r="E177" s="3">
        <v>45781</v>
      </c>
      <c r="F177" s="3">
        <v>45761</v>
      </c>
      <c r="G177" s="4">
        <f t="shared" si="9"/>
        <v>20</v>
      </c>
      <c r="H177" s="4" t="str">
        <v>delayed</v>
      </c>
      <c r="I177" s="4">
        <f t="shared" si="11"/>
        <v>0</v>
      </c>
      <c r="J177" t="s">
        <v>649</v>
      </c>
      <c r="K177" t="s">
        <v>658</v>
      </c>
      <c r="L177" t="s">
        <v>674</v>
      </c>
      <c r="M177" t="s">
        <v>706</v>
      </c>
      <c r="N177" t="s">
        <v>709</v>
      </c>
      <c r="O177" t="s">
        <v>723</v>
      </c>
      <c r="P177" t="s">
        <v>732</v>
      </c>
      <c r="Q177" t="str" cm="1">
        <f t="array" ref="Q177">_xlfn.IFS(U177&lt;=_xlfn.QUARTILE.INC($U$2:$U808,1),"Low",B177&lt;=_xlfn.QUARTILE.INC($U$2:$U$633,2),"Medium",TRUE,"High")</f>
        <v>High</v>
      </c>
      <c r="R177" t="s">
        <v>909</v>
      </c>
      <c r="S177" s="4">
        <v>1413.87</v>
      </c>
      <c r="T177">
        <v>3275</v>
      </c>
      <c r="U177">
        <v>3275</v>
      </c>
      <c r="V177" s="7">
        <v>0.255</v>
      </c>
      <c r="W177" s="7">
        <v>0.255</v>
      </c>
      <c r="X177" s="7" t="str">
        <f t="shared" si="10"/>
        <v>High discount</v>
      </c>
      <c r="Y177" s="9">
        <v>38</v>
      </c>
      <c r="Z177">
        <v>92715.25</v>
      </c>
      <c r="AA177">
        <v>53727.06</v>
      </c>
      <c r="AB177">
        <v>38988.19</v>
      </c>
      <c r="AC177">
        <v>0.42051539525590453</v>
      </c>
    </row>
    <row r="178" spans="1:29" x14ac:dyDescent="0.3">
      <c r="A178" t="s">
        <v>191</v>
      </c>
      <c r="B178" s="3">
        <v>45165</v>
      </c>
      <c r="C178" s="3" t="str">
        <v>Aug-2023</v>
      </c>
      <c r="D178" s="11" t="str">
        <f t="shared" si="8"/>
        <v>Q3-2023</v>
      </c>
      <c r="E178" s="3">
        <v>45180</v>
      </c>
      <c r="F178" s="3">
        <v>45165</v>
      </c>
      <c r="G178" s="4">
        <f t="shared" si="9"/>
        <v>15</v>
      </c>
      <c r="H178" s="4" t="str">
        <v>delayed</v>
      </c>
      <c r="I178" s="4">
        <f t="shared" si="11"/>
        <v>0</v>
      </c>
      <c r="J178" t="s">
        <v>649</v>
      </c>
      <c r="K178" t="s">
        <v>658</v>
      </c>
      <c r="L178" t="s">
        <v>683</v>
      </c>
      <c r="M178" t="s">
        <v>704</v>
      </c>
      <c r="N178" t="s">
        <v>709</v>
      </c>
      <c r="O178" t="s">
        <v>725</v>
      </c>
      <c r="P178" t="s">
        <v>728</v>
      </c>
      <c r="Q178" t="str" cm="1">
        <f t="array" ref="Q178">_xlfn.IFS(U178&lt;=_xlfn.QUARTILE.INC($U$2:$U809,1),"Low",B178&lt;=_xlfn.QUARTILE.INC($U$2:$U$633,2),"Medium",TRUE,"High")</f>
        <v>High</v>
      </c>
      <c r="R178" t="s">
        <v>910</v>
      </c>
      <c r="S178" s="4">
        <v>943.79</v>
      </c>
      <c r="T178">
        <v>1913.76</v>
      </c>
      <c r="U178">
        <v>1913.76</v>
      </c>
      <c r="V178" s="7">
        <v>9.0999999999999998E-2</v>
      </c>
      <c r="W178" s="7">
        <v>9.0999999999999998E-2</v>
      </c>
      <c r="X178" s="7" t="str">
        <f t="shared" si="10"/>
        <v>okay</v>
      </c>
      <c r="Y178" s="9">
        <v>9</v>
      </c>
      <c r="Z178">
        <v>15656.47056</v>
      </c>
      <c r="AA178">
        <v>8494.11</v>
      </c>
      <c r="AB178">
        <v>7162.3605599999992</v>
      </c>
      <c r="AC178">
        <v>0.45746967891338081</v>
      </c>
    </row>
    <row r="179" spans="1:29" x14ac:dyDescent="0.3">
      <c r="A179" t="s">
        <v>192</v>
      </c>
      <c r="B179" s="3">
        <v>45325</v>
      </c>
      <c r="C179" s="3" t="str">
        <v>Feb-2024</v>
      </c>
      <c r="D179" s="11" t="str">
        <f t="shared" si="8"/>
        <v>Q1-2024</v>
      </c>
      <c r="E179" s="3">
        <v>45343</v>
      </c>
      <c r="F179" s="3">
        <v>45325</v>
      </c>
      <c r="G179" s="4">
        <f t="shared" si="9"/>
        <v>18</v>
      </c>
      <c r="H179" s="4" t="str">
        <v>delayed</v>
      </c>
      <c r="I179" s="4">
        <f t="shared" si="11"/>
        <v>0</v>
      </c>
      <c r="J179" t="s">
        <v>649</v>
      </c>
      <c r="K179" t="s">
        <v>656</v>
      </c>
      <c r="L179" t="s">
        <v>698</v>
      </c>
      <c r="M179" t="s">
        <v>701</v>
      </c>
      <c r="N179" t="s">
        <v>707</v>
      </c>
      <c r="O179" t="s">
        <v>722</v>
      </c>
      <c r="P179" t="s">
        <v>727</v>
      </c>
      <c r="Q179" t="str" cm="1">
        <f t="array" ref="Q179">_xlfn.IFS(U179&lt;=_xlfn.QUARTILE.INC($U$2:$U810,1),"Low",B179&lt;=_xlfn.QUARTILE.INC($U$2:$U$633,2),"Medium",TRUE,"High")</f>
        <v>Low</v>
      </c>
      <c r="R179" t="s">
        <v>911</v>
      </c>
      <c r="S179" s="4">
        <v>39.229999999999997</v>
      </c>
      <c r="T179">
        <v>30.09</v>
      </c>
      <c r="U179">
        <v>30.09</v>
      </c>
      <c r="V179" s="7">
        <v>0.17699999999999999</v>
      </c>
      <c r="W179" s="7">
        <v>0.17699999999999999</v>
      </c>
      <c r="X179" s="7" t="str">
        <f t="shared" si="10"/>
        <v>okay</v>
      </c>
      <c r="Y179" s="9">
        <v>13</v>
      </c>
      <c r="Z179">
        <v>321.93290999999999</v>
      </c>
      <c r="AA179">
        <v>509.98999999999995</v>
      </c>
      <c r="AB179">
        <v>-188.05708999999996</v>
      </c>
      <c r="AC179">
        <v>-0.58414993981199359</v>
      </c>
    </row>
    <row r="180" spans="1:29" x14ac:dyDescent="0.3">
      <c r="A180" t="s">
        <v>193</v>
      </c>
      <c r="B180" s="3">
        <v>45021</v>
      </c>
      <c r="C180" s="3" t="str">
        <v>Apr-2023</v>
      </c>
      <c r="D180" s="11" t="str">
        <f t="shared" si="8"/>
        <v>Q2-2023</v>
      </c>
      <c r="E180" s="3">
        <v>45032</v>
      </c>
      <c r="F180" s="3">
        <v>45021</v>
      </c>
      <c r="G180" s="4">
        <f t="shared" si="9"/>
        <v>11</v>
      </c>
      <c r="H180" s="4" t="str">
        <v>delayed</v>
      </c>
      <c r="I180" s="4">
        <f t="shared" si="11"/>
        <v>0</v>
      </c>
      <c r="J180" t="s">
        <v>648</v>
      </c>
      <c r="K180" t="s">
        <v>653</v>
      </c>
      <c r="L180" t="s">
        <v>688</v>
      </c>
      <c r="M180" t="s">
        <v>703</v>
      </c>
      <c r="N180" t="s">
        <v>708</v>
      </c>
      <c r="O180" t="s">
        <v>719</v>
      </c>
      <c r="P180" t="s">
        <v>732</v>
      </c>
      <c r="Q180" t="str" cm="1">
        <f t="array" ref="Q180">_xlfn.IFS(U180&lt;=_xlfn.QUARTILE.INC($U$2:$U811,1),"Low",B180&lt;=_xlfn.QUARTILE.INC($U$2:$U$633,2),"Medium",TRUE,"High")</f>
        <v>Low</v>
      </c>
      <c r="R180" t="s">
        <v>912</v>
      </c>
      <c r="S180" s="4">
        <v>213.1</v>
      </c>
      <c r="T180">
        <v>501.31</v>
      </c>
      <c r="U180">
        <v>501.31</v>
      </c>
      <c r="V180" s="7">
        <v>5.6000000000000001E-2</v>
      </c>
      <c r="W180" s="7">
        <v>5.6000000000000001E-2</v>
      </c>
      <c r="X180" s="7" t="str">
        <f t="shared" si="10"/>
        <v>okay</v>
      </c>
      <c r="Y180" s="9">
        <v>15</v>
      </c>
      <c r="Z180">
        <v>7098.5495999999994</v>
      </c>
      <c r="AA180">
        <v>3196.5</v>
      </c>
      <c r="AB180">
        <v>3902.0495999999994</v>
      </c>
      <c r="AC180">
        <v>0.54969674368409005</v>
      </c>
    </row>
    <row r="181" spans="1:29" x14ac:dyDescent="0.3">
      <c r="A181" t="s">
        <v>194</v>
      </c>
      <c r="B181" s="3">
        <v>45890</v>
      </c>
      <c r="C181" s="3" t="str">
        <v>Aug-2025</v>
      </c>
      <c r="D181" s="11" t="str">
        <f t="shared" si="8"/>
        <v>Q3-2025</v>
      </c>
      <c r="E181" s="3">
        <v>45912</v>
      </c>
      <c r="F181" s="3">
        <v>45890</v>
      </c>
      <c r="G181" s="4">
        <f t="shared" si="9"/>
        <v>22</v>
      </c>
      <c r="H181" s="4" t="str">
        <v>delayed</v>
      </c>
      <c r="I181" s="4">
        <f t="shared" si="11"/>
        <v>0</v>
      </c>
      <c r="J181" t="s">
        <v>647</v>
      </c>
      <c r="K181" t="s">
        <v>659</v>
      </c>
      <c r="L181" t="s">
        <v>676</v>
      </c>
      <c r="M181" t="s">
        <v>702</v>
      </c>
      <c r="N181" t="s">
        <v>707</v>
      </c>
      <c r="O181" t="s">
        <v>717</v>
      </c>
      <c r="P181" t="s">
        <v>728</v>
      </c>
      <c r="Q181" t="str" cm="1">
        <f t="array" ref="Q181">_xlfn.IFS(U181&lt;=_xlfn.QUARTILE.INC($U$2:$U812,1),"Low",B181&lt;=_xlfn.QUARTILE.INC($U$2:$U$633,2),"Medium",TRUE,"High")</f>
        <v>Low</v>
      </c>
      <c r="R181" t="s">
        <v>913</v>
      </c>
      <c r="S181" s="4">
        <v>352.66</v>
      </c>
      <c r="T181">
        <v>411.18</v>
      </c>
      <c r="U181">
        <v>411.18</v>
      </c>
      <c r="V181" s="7">
        <v>0.17299999999999999</v>
      </c>
      <c r="W181" s="7">
        <v>0.17299999999999999</v>
      </c>
      <c r="X181" s="7" t="str">
        <f t="shared" si="10"/>
        <v>okay</v>
      </c>
      <c r="Y181" s="9">
        <v>13</v>
      </c>
      <c r="Z181">
        <v>4420.5961799999995</v>
      </c>
      <c r="AA181">
        <v>4584.58</v>
      </c>
      <c r="AB181">
        <v>-163.98382000000038</v>
      </c>
      <c r="AC181">
        <v>-3.7095408248758066E-2</v>
      </c>
    </row>
    <row r="182" spans="1:29" x14ac:dyDescent="0.3">
      <c r="A182" t="s">
        <v>195</v>
      </c>
      <c r="B182" s="3">
        <v>45915</v>
      </c>
      <c r="C182" s="3" t="str">
        <v>Sep-2025</v>
      </c>
      <c r="D182" s="11" t="str">
        <f t="shared" si="8"/>
        <v>Q3-2025</v>
      </c>
      <c r="E182" s="3">
        <v>45918</v>
      </c>
      <c r="F182" s="3">
        <v>45915</v>
      </c>
      <c r="G182" s="4">
        <f t="shared" si="9"/>
        <v>3</v>
      </c>
      <c r="H182" s="4" t="str">
        <v>ontime</v>
      </c>
      <c r="I182" s="4">
        <f t="shared" si="11"/>
        <v>1</v>
      </c>
      <c r="J182" t="s">
        <v>648</v>
      </c>
      <c r="K182" t="s">
        <v>655</v>
      </c>
      <c r="L182" t="s">
        <v>692</v>
      </c>
      <c r="M182" t="s">
        <v>703</v>
      </c>
      <c r="N182" t="s">
        <v>711</v>
      </c>
      <c r="O182" t="s">
        <v>716</v>
      </c>
      <c r="P182" t="s">
        <v>733</v>
      </c>
      <c r="Q182" t="str" cm="1">
        <f t="array" ref="Q182">_xlfn.IFS(U182&lt;=_xlfn.QUARTILE.INC($U$2:$U813,1),"Low",B182&lt;=_xlfn.QUARTILE.INC($U$2:$U$633,2),"Medium",TRUE,"High")</f>
        <v>Low</v>
      </c>
      <c r="R182" t="s">
        <v>914</v>
      </c>
      <c r="S182" s="4">
        <v>5.5</v>
      </c>
      <c r="T182">
        <v>5.92</v>
      </c>
      <c r="U182">
        <v>5.92</v>
      </c>
      <c r="V182" s="7">
        <v>0.21199999999999999</v>
      </c>
      <c r="W182" s="7">
        <v>0.21199999999999999</v>
      </c>
      <c r="X182" s="7" t="str">
        <f t="shared" si="10"/>
        <v>High discount</v>
      </c>
      <c r="Y182" s="9">
        <v>4</v>
      </c>
      <c r="Z182">
        <v>18.659839999999999</v>
      </c>
      <c r="AA182">
        <v>22</v>
      </c>
      <c r="AB182">
        <v>-3.3401600000000009</v>
      </c>
      <c r="AC182">
        <v>-0.17900260666758133</v>
      </c>
    </row>
    <row r="183" spans="1:29" x14ac:dyDescent="0.3">
      <c r="A183" t="s">
        <v>196</v>
      </c>
      <c r="B183" s="3">
        <v>45568</v>
      </c>
      <c r="C183" s="3" t="str">
        <v>Oct-2024</v>
      </c>
      <c r="D183" s="11" t="str">
        <f t="shared" si="8"/>
        <v>Q4-2024</v>
      </c>
      <c r="E183" s="3">
        <v>45576</v>
      </c>
      <c r="F183" s="3">
        <v>45568</v>
      </c>
      <c r="G183" s="4">
        <f t="shared" si="9"/>
        <v>8</v>
      </c>
      <c r="H183" s="4" t="str">
        <v>delayed</v>
      </c>
      <c r="I183" s="4">
        <f t="shared" si="11"/>
        <v>0</v>
      </c>
      <c r="J183" t="s">
        <v>647</v>
      </c>
      <c r="K183" t="s">
        <v>659</v>
      </c>
      <c r="L183" t="s">
        <v>699</v>
      </c>
      <c r="M183" t="s">
        <v>706</v>
      </c>
      <c r="N183" t="s">
        <v>711</v>
      </c>
      <c r="O183" t="s">
        <v>717</v>
      </c>
      <c r="P183" t="s">
        <v>730</v>
      </c>
      <c r="Q183" t="str" cm="1">
        <f t="array" ref="Q183">_xlfn.IFS(U183&lt;=_xlfn.QUARTILE.INC($U$2:$U814,1),"Low",B183&lt;=_xlfn.QUARTILE.INC($U$2:$U$633,2),"Medium",TRUE,"High")</f>
        <v>High</v>
      </c>
      <c r="R183" t="s">
        <v>915</v>
      </c>
      <c r="S183" s="4">
        <v>1132.6099999999999</v>
      </c>
      <c r="T183">
        <v>2206.63</v>
      </c>
      <c r="U183">
        <v>2206.63</v>
      </c>
      <c r="V183" s="7">
        <v>6.3E-2</v>
      </c>
      <c r="W183" s="7">
        <v>6.3E-2</v>
      </c>
      <c r="X183" s="7" t="str">
        <f t="shared" si="10"/>
        <v>okay</v>
      </c>
      <c r="Y183" s="9">
        <v>20</v>
      </c>
      <c r="Z183">
        <v>41352.246200000009</v>
      </c>
      <c r="AA183">
        <v>22652.199999999997</v>
      </c>
      <c r="AB183">
        <v>18700.046200000012</v>
      </c>
      <c r="AC183">
        <v>0.45221355351671338</v>
      </c>
    </row>
    <row r="184" spans="1:29" x14ac:dyDescent="0.3">
      <c r="A184" t="s">
        <v>197</v>
      </c>
      <c r="B184" s="3">
        <v>45690</v>
      </c>
      <c r="C184" s="3" t="str">
        <v>Feb-2025</v>
      </c>
      <c r="D184" s="11" t="str">
        <f t="shared" si="8"/>
        <v>Q1-2025</v>
      </c>
      <c r="E184" s="3">
        <v>45720</v>
      </c>
      <c r="F184" s="3">
        <v>45690</v>
      </c>
      <c r="G184" s="4">
        <f t="shared" si="9"/>
        <v>30</v>
      </c>
      <c r="H184" s="4" t="str">
        <v>delayed</v>
      </c>
      <c r="I184" s="4">
        <f t="shared" si="11"/>
        <v>0</v>
      </c>
      <c r="J184" t="s">
        <v>647</v>
      </c>
      <c r="K184" t="s">
        <v>652</v>
      </c>
      <c r="L184" t="s">
        <v>666</v>
      </c>
      <c r="M184" t="s">
        <v>702</v>
      </c>
      <c r="N184" t="s">
        <v>710</v>
      </c>
      <c r="O184" t="s">
        <v>716</v>
      </c>
      <c r="P184" t="s">
        <v>733</v>
      </c>
      <c r="Q184" t="str" cm="1">
        <f t="array" ref="Q184">_xlfn.IFS(U184&lt;=_xlfn.QUARTILE.INC($U$2:$U815,1),"Low",B184&lt;=_xlfn.QUARTILE.INC($U$2:$U$633,2),"Medium",TRUE,"High")</f>
        <v>High</v>
      </c>
      <c r="R184" t="s">
        <v>916</v>
      </c>
      <c r="S184" s="4">
        <v>766.59</v>
      </c>
      <c r="T184">
        <v>1912.8</v>
      </c>
      <c r="U184">
        <v>1912.8</v>
      </c>
      <c r="V184" s="7">
        <v>0.19600000000000001</v>
      </c>
      <c r="W184" s="7">
        <v>0.19600000000000001</v>
      </c>
      <c r="X184" s="7" t="str">
        <f t="shared" si="10"/>
        <v>okay</v>
      </c>
      <c r="Y184" s="9">
        <v>5</v>
      </c>
      <c r="Z184">
        <v>7689.4560000000001</v>
      </c>
      <c r="AA184">
        <v>3832.9500000000003</v>
      </c>
      <c r="AB184">
        <v>3856.5059999999999</v>
      </c>
      <c r="AC184">
        <v>0.50153170783472845</v>
      </c>
    </row>
    <row r="185" spans="1:29" x14ac:dyDescent="0.3">
      <c r="A185" t="s">
        <v>198</v>
      </c>
      <c r="B185" s="3">
        <v>45157</v>
      </c>
      <c r="C185" s="3" t="str">
        <v>Aug-2023</v>
      </c>
      <c r="D185" s="11" t="str">
        <f t="shared" si="8"/>
        <v>Q3-2023</v>
      </c>
      <c r="E185" s="3">
        <v>45161</v>
      </c>
      <c r="F185" s="3">
        <v>45157</v>
      </c>
      <c r="G185" s="4">
        <f t="shared" si="9"/>
        <v>4</v>
      </c>
      <c r="H185" s="4" t="str">
        <v>ontime</v>
      </c>
      <c r="I185" s="4">
        <f t="shared" si="11"/>
        <v>1</v>
      </c>
      <c r="J185" t="s">
        <v>646</v>
      </c>
      <c r="K185" t="s">
        <v>651</v>
      </c>
      <c r="L185" t="s">
        <v>669</v>
      </c>
      <c r="M185" t="s">
        <v>705</v>
      </c>
      <c r="N185" t="s">
        <v>708</v>
      </c>
      <c r="O185" t="s">
        <v>713</v>
      </c>
      <c r="P185" t="s">
        <v>732</v>
      </c>
      <c r="Q185" t="str" cm="1">
        <f t="array" ref="Q185">_xlfn.IFS(U185&lt;=_xlfn.QUARTILE.INC($U$2:$U816,1),"Low",B185&lt;=_xlfn.QUARTILE.INC($U$2:$U$633,2),"Medium",TRUE,"High")</f>
        <v>High</v>
      </c>
      <c r="R185" t="s">
        <v>917</v>
      </c>
      <c r="S185" s="4">
        <v>790.63</v>
      </c>
      <c r="T185">
        <v>1382.31</v>
      </c>
      <c r="U185">
        <v>1382.31</v>
      </c>
      <c r="V185" s="7">
        <v>0.10100000000000001</v>
      </c>
      <c r="W185" s="7">
        <v>0.10100000000000001</v>
      </c>
      <c r="X185" s="7" t="str">
        <f t="shared" si="10"/>
        <v>okay</v>
      </c>
      <c r="Y185" s="9">
        <v>7</v>
      </c>
      <c r="Z185">
        <v>8698.8768300000011</v>
      </c>
      <c r="AA185">
        <v>5534.41</v>
      </c>
      <c r="AB185">
        <v>3164.4668300000012</v>
      </c>
      <c r="AC185">
        <v>0.36377878338116448</v>
      </c>
    </row>
    <row r="186" spans="1:29" x14ac:dyDescent="0.3">
      <c r="A186" t="s">
        <v>199</v>
      </c>
      <c r="B186" s="3">
        <v>45587</v>
      </c>
      <c r="C186" s="3" t="str">
        <v>Oct-2024</v>
      </c>
      <c r="D186" s="11" t="str">
        <f t="shared" si="8"/>
        <v>Q4-2024</v>
      </c>
      <c r="E186" s="3">
        <v>45594</v>
      </c>
      <c r="F186" s="3">
        <v>45587</v>
      </c>
      <c r="G186" s="4">
        <f t="shared" si="9"/>
        <v>7</v>
      </c>
      <c r="H186" s="4" t="str">
        <v>ontime</v>
      </c>
      <c r="I186" s="4">
        <f t="shared" si="11"/>
        <v>1</v>
      </c>
      <c r="J186" t="s">
        <v>646</v>
      </c>
      <c r="K186" t="s">
        <v>651</v>
      </c>
      <c r="L186" t="s">
        <v>663</v>
      </c>
      <c r="M186" t="s">
        <v>706</v>
      </c>
      <c r="N186" t="s">
        <v>710</v>
      </c>
      <c r="O186" t="s">
        <v>724</v>
      </c>
      <c r="P186" t="s">
        <v>732</v>
      </c>
      <c r="Q186" t="str" cm="1">
        <f t="array" ref="Q186">_xlfn.IFS(U186&lt;=_xlfn.QUARTILE.INC($U$2:$U817,1),"Low",B186&lt;=_xlfn.QUARTILE.INC($U$2:$U$633,2),"Medium",TRUE,"High")</f>
        <v>High</v>
      </c>
      <c r="R186" t="s">
        <v>918</v>
      </c>
      <c r="S186" s="4">
        <v>1023.06</v>
      </c>
      <c r="T186">
        <v>1355.61</v>
      </c>
      <c r="U186">
        <v>1355.61</v>
      </c>
      <c r="V186" s="7">
        <v>0.153</v>
      </c>
      <c r="W186" s="7">
        <v>0.153</v>
      </c>
      <c r="X186" s="7" t="str">
        <f t="shared" si="10"/>
        <v>okay</v>
      </c>
      <c r="Y186" s="9">
        <v>23</v>
      </c>
      <c r="Z186">
        <v>26408.63841</v>
      </c>
      <c r="AA186">
        <v>23530.379999999997</v>
      </c>
      <c r="AB186">
        <v>2878.2584100000022</v>
      </c>
      <c r="AC186">
        <v>0.10898927711888809</v>
      </c>
    </row>
    <row r="187" spans="1:29" x14ac:dyDescent="0.3">
      <c r="A187" t="s">
        <v>200</v>
      </c>
      <c r="B187" s="3">
        <v>45099</v>
      </c>
      <c r="C187" s="3" t="str">
        <v>Jun-2023</v>
      </c>
      <c r="D187" s="11" t="str">
        <f t="shared" si="8"/>
        <v>Q2-2023</v>
      </c>
      <c r="E187" s="3">
        <v>45128</v>
      </c>
      <c r="F187" s="3">
        <v>45099</v>
      </c>
      <c r="G187" s="4">
        <f t="shared" si="9"/>
        <v>29</v>
      </c>
      <c r="H187" s="4" t="str">
        <v>delayed</v>
      </c>
      <c r="I187" s="4">
        <f t="shared" si="11"/>
        <v>0</v>
      </c>
      <c r="J187" t="s">
        <v>649</v>
      </c>
      <c r="K187" t="s">
        <v>657</v>
      </c>
      <c r="L187" t="s">
        <v>679</v>
      </c>
      <c r="M187" t="s">
        <v>701</v>
      </c>
      <c r="N187" t="s">
        <v>707</v>
      </c>
      <c r="O187" t="s">
        <v>713</v>
      </c>
      <c r="P187" t="s">
        <v>733</v>
      </c>
      <c r="Q187" t="str" cm="1">
        <f t="array" ref="Q187">_xlfn.IFS(U187&lt;=_xlfn.QUARTILE.INC($U$2:$U818,1),"Low",B187&lt;=_xlfn.QUARTILE.INC($U$2:$U$633,2),"Medium",TRUE,"High")</f>
        <v>High</v>
      </c>
      <c r="R187" t="s">
        <v>919</v>
      </c>
      <c r="S187" s="4">
        <v>734.34</v>
      </c>
      <c r="T187">
        <v>887.9</v>
      </c>
      <c r="U187">
        <v>887.9</v>
      </c>
      <c r="V187" s="7">
        <v>2.5000000000000001E-2</v>
      </c>
      <c r="W187" s="7">
        <v>2.5000000000000001E-2</v>
      </c>
      <c r="X187" s="7" t="str">
        <f t="shared" si="10"/>
        <v>okay</v>
      </c>
      <c r="Y187" s="9">
        <v>12</v>
      </c>
      <c r="Z187">
        <v>10388.429999999998</v>
      </c>
      <c r="AA187">
        <v>8812.08</v>
      </c>
      <c r="AB187">
        <v>1576.3499999999985</v>
      </c>
      <c r="AC187">
        <v>0.15174092716608753</v>
      </c>
    </row>
    <row r="188" spans="1:29" x14ac:dyDescent="0.3">
      <c r="A188" t="s">
        <v>201</v>
      </c>
      <c r="B188" s="3">
        <v>45670</v>
      </c>
      <c r="C188" s="3" t="str">
        <v>Jan-2025</v>
      </c>
      <c r="D188" s="11" t="str">
        <f t="shared" si="8"/>
        <v>Q1-2025</v>
      </c>
      <c r="E188" s="3">
        <v>45696</v>
      </c>
      <c r="F188" s="3">
        <v>45670</v>
      </c>
      <c r="G188" s="4">
        <f t="shared" si="9"/>
        <v>26</v>
      </c>
      <c r="H188" s="4" t="str">
        <v>delayed</v>
      </c>
      <c r="I188" s="4">
        <f t="shared" si="11"/>
        <v>0</v>
      </c>
      <c r="J188" t="s">
        <v>649</v>
      </c>
      <c r="K188" t="s">
        <v>657</v>
      </c>
      <c r="L188" t="s">
        <v>690</v>
      </c>
      <c r="M188" t="s">
        <v>703</v>
      </c>
      <c r="N188" t="s">
        <v>1421</v>
      </c>
      <c r="O188" t="s">
        <v>718</v>
      </c>
      <c r="P188" t="s">
        <v>732</v>
      </c>
      <c r="Q188" t="str" cm="1">
        <f t="array" ref="Q188">_xlfn.IFS(U188&lt;=_xlfn.QUARTILE.INC($U$2:$U819,1),"Low",B188&lt;=_xlfn.QUARTILE.INC($U$2:$U$633,2),"Medium",TRUE,"High")</f>
        <v>High</v>
      </c>
      <c r="R188" t="s">
        <v>920</v>
      </c>
      <c r="S188" s="4">
        <v>594.74</v>
      </c>
      <c r="T188">
        <v>1020.69</v>
      </c>
      <c r="U188">
        <v>1020.69</v>
      </c>
      <c r="V188" s="7">
        <v>0.21099999999999999</v>
      </c>
      <c r="W188" s="7">
        <v>0.21099999999999999</v>
      </c>
      <c r="X188" s="7" t="str">
        <f t="shared" si="10"/>
        <v>High discount</v>
      </c>
      <c r="Y188" s="9">
        <v>6</v>
      </c>
      <c r="Z188">
        <v>4831.9464600000001</v>
      </c>
      <c r="AA188">
        <v>3568.44</v>
      </c>
      <c r="AB188">
        <v>1263.5064600000001</v>
      </c>
      <c r="AC188">
        <v>0.26149016146176424</v>
      </c>
    </row>
    <row r="189" spans="1:29" x14ac:dyDescent="0.3">
      <c r="A189" t="s">
        <v>144</v>
      </c>
      <c r="B189" s="3">
        <v>44955</v>
      </c>
      <c r="C189" s="3" t="str">
        <v>Jan-2023</v>
      </c>
      <c r="D189" s="11" t="str">
        <f t="shared" si="8"/>
        <v>Q1-2023</v>
      </c>
      <c r="E189" s="3">
        <v>44985</v>
      </c>
      <c r="F189" s="3">
        <v>44955</v>
      </c>
      <c r="G189" s="4">
        <f t="shared" si="9"/>
        <v>30</v>
      </c>
      <c r="H189" s="4" t="str">
        <v>delayed</v>
      </c>
      <c r="I189" s="4">
        <f t="shared" si="11"/>
        <v>0</v>
      </c>
      <c r="J189" t="s">
        <v>647</v>
      </c>
      <c r="K189" t="s">
        <v>654</v>
      </c>
      <c r="L189" t="s">
        <v>668</v>
      </c>
      <c r="M189" t="s">
        <v>703</v>
      </c>
      <c r="N189" t="s">
        <v>707</v>
      </c>
      <c r="O189" t="s">
        <v>717</v>
      </c>
      <c r="P189" t="s">
        <v>733</v>
      </c>
      <c r="Q189" t="str" cm="1">
        <f t="array" ref="Q189">_xlfn.IFS(U189&lt;=_xlfn.QUARTILE.INC($U$2:$U820,1),"Low",B189&lt;=_xlfn.QUARTILE.INC($U$2:$U$633,2),"Medium",TRUE,"High")</f>
        <v>High</v>
      </c>
      <c r="R189" t="s">
        <v>921</v>
      </c>
      <c r="S189" s="4">
        <v>1262.0999999999999</v>
      </c>
      <c r="T189">
        <v>1395.53</v>
      </c>
      <c r="U189">
        <v>1395.53</v>
      </c>
      <c r="V189" s="7">
        <v>0.23300000000000001</v>
      </c>
      <c r="W189" s="7">
        <v>0.23300000000000001</v>
      </c>
      <c r="X189" s="7" t="str">
        <f t="shared" si="10"/>
        <v>High discount</v>
      </c>
      <c r="Y189" s="9">
        <v>25</v>
      </c>
      <c r="Z189">
        <v>26759.28775</v>
      </c>
      <c r="AA189">
        <v>31552.499999999996</v>
      </c>
      <c r="AB189">
        <v>-4793.2122499999969</v>
      </c>
      <c r="AC189">
        <v>-0.17912331205452198</v>
      </c>
    </row>
    <row r="190" spans="1:29" x14ac:dyDescent="0.3">
      <c r="A190" t="s">
        <v>202</v>
      </c>
      <c r="B190" s="3">
        <v>45126</v>
      </c>
      <c r="C190" s="3" t="str">
        <v>Jul-2023</v>
      </c>
      <c r="D190" s="11" t="str">
        <f t="shared" si="8"/>
        <v>Q3-2023</v>
      </c>
      <c r="E190" s="3">
        <v>45138</v>
      </c>
      <c r="F190" s="3">
        <v>45126</v>
      </c>
      <c r="G190" s="4">
        <f t="shared" si="9"/>
        <v>12</v>
      </c>
      <c r="H190" s="4" t="str">
        <v>delayed</v>
      </c>
      <c r="I190" s="4">
        <f t="shared" si="11"/>
        <v>0</v>
      </c>
      <c r="J190" t="s">
        <v>648</v>
      </c>
      <c r="K190" t="s">
        <v>655</v>
      </c>
      <c r="L190" t="s">
        <v>692</v>
      </c>
      <c r="M190" t="s">
        <v>701</v>
      </c>
      <c r="N190" t="s">
        <v>707</v>
      </c>
      <c r="O190" t="s">
        <v>712</v>
      </c>
      <c r="P190" t="s">
        <v>732</v>
      </c>
      <c r="Q190" t="str" cm="1">
        <f t="array" ref="Q190">_xlfn.IFS(U190&lt;=_xlfn.QUARTILE.INC($U$2:$U821,1),"Low",B190&lt;=_xlfn.QUARTILE.INC($U$2:$U$633,2),"Medium",TRUE,"High")</f>
        <v>High</v>
      </c>
      <c r="R190" t="s">
        <v>922</v>
      </c>
      <c r="S190" s="4">
        <v>1334.64</v>
      </c>
      <c r="T190">
        <v>2273.42</v>
      </c>
      <c r="U190">
        <v>2273.42</v>
      </c>
      <c r="V190" s="7">
        <v>0.11799999999999999</v>
      </c>
      <c r="W190" s="7">
        <v>0.11799999999999999</v>
      </c>
      <c r="X190" s="7" t="str">
        <f t="shared" si="10"/>
        <v>okay</v>
      </c>
      <c r="Y190" s="9">
        <v>14</v>
      </c>
      <c r="Z190">
        <v>28072.190160000002</v>
      </c>
      <c r="AA190">
        <v>18684.960000000003</v>
      </c>
      <c r="AB190">
        <v>9387.2301599999992</v>
      </c>
      <c r="AC190">
        <v>0.33439607335575267</v>
      </c>
    </row>
    <row r="191" spans="1:29" x14ac:dyDescent="0.3">
      <c r="A191" t="s">
        <v>203</v>
      </c>
      <c r="B191" s="3">
        <v>45431</v>
      </c>
      <c r="C191" s="3" t="str">
        <v>May-2024</v>
      </c>
      <c r="D191" s="11" t="str">
        <f t="shared" si="8"/>
        <v>Q2-2024</v>
      </c>
      <c r="E191" s="3">
        <v>45451</v>
      </c>
      <c r="F191" s="3">
        <v>45431</v>
      </c>
      <c r="G191" s="4">
        <f t="shared" si="9"/>
        <v>20</v>
      </c>
      <c r="H191" s="4" t="str">
        <v>delayed</v>
      </c>
      <c r="I191" s="4">
        <f t="shared" si="11"/>
        <v>0</v>
      </c>
      <c r="J191" t="s">
        <v>648</v>
      </c>
      <c r="K191" t="s">
        <v>655</v>
      </c>
      <c r="L191" t="s">
        <v>672</v>
      </c>
      <c r="M191" t="s">
        <v>705</v>
      </c>
      <c r="N191" t="s">
        <v>707</v>
      </c>
      <c r="O191" t="s">
        <v>718</v>
      </c>
      <c r="P191" t="s">
        <v>732</v>
      </c>
      <c r="Q191" t="str" cm="1">
        <f t="array" ref="Q191">_xlfn.IFS(U191&lt;=_xlfn.QUARTILE.INC($U$2:$U822,1),"Low",B191&lt;=_xlfn.QUARTILE.INC($U$2:$U$633,2),"Medium",TRUE,"High")</f>
        <v>High</v>
      </c>
      <c r="R191" t="s">
        <v>923</v>
      </c>
      <c r="S191" s="4">
        <v>1075.9000000000001</v>
      </c>
      <c r="T191">
        <v>1242.1500000000001</v>
      </c>
      <c r="U191">
        <v>1242.1500000000001</v>
      </c>
      <c r="V191" s="7">
        <v>1.2E-2</v>
      </c>
      <c r="W191" s="7">
        <v>1.2E-2</v>
      </c>
      <c r="X191" s="7" t="str">
        <f t="shared" si="10"/>
        <v>okay</v>
      </c>
      <c r="Y191" s="9">
        <v>7</v>
      </c>
      <c r="Z191">
        <v>8590.7094000000016</v>
      </c>
      <c r="AA191">
        <v>7531.3000000000011</v>
      </c>
      <c r="AB191">
        <v>1059.4094000000005</v>
      </c>
      <c r="AC191">
        <v>0.12332036280961853</v>
      </c>
    </row>
    <row r="192" spans="1:29" x14ac:dyDescent="0.3">
      <c r="A192" t="s">
        <v>204</v>
      </c>
      <c r="B192" s="3">
        <v>45325</v>
      </c>
      <c r="C192" s="3" t="str">
        <v>Feb-2024</v>
      </c>
      <c r="D192" s="11" t="str">
        <f t="shared" si="8"/>
        <v>Q1-2024</v>
      </c>
      <c r="E192" s="3">
        <v>45341</v>
      </c>
      <c r="F192" s="3">
        <v>45325</v>
      </c>
      <c r="G192" s="4">
        <f t="shared" si="9"/>
        <v>16</v>
      </c>
      <c r="H192" s="4" t="str">
        <v>delayed</v>
      </c>
      <c r="I192" s="4">
        <f t="shared" si="11"/>
        <v>0</v>
      </c>
      <c r="J192" t="s">
        <v>647</v>
      </c>
      <c r="K192" t="s">
        <v>659</v>
      </c>
      <c r="L192" t="s">
        <v>676</v>
      </c>
      <c r="M192" t="s">
        <v>705</v>
      </c>
      <c r="N192" t="s">
        <v>708</v>
      </c>
      <c r="O192" t="s">
        <v>722</v>
      </c>
      <c r="P192" t="s">
        <v>731</v>
      </c>
      <c r="Q192" t="str" cm="1">
        <f t="array" ref="Q192">_xlfn.IFS(U192&lt;=_xlfn.QUARTILE.INC($U$2:$U823,1),"Low",B192&lt;=_xlfn.QUARTILE.INC($U$2:$U$633,2),"Medium",TRUE,"High")</f>
        <v>High</v>
      </c>
      <c r="R192" t="s">
        <v>924</v>
      </c>
      <c r="S192" s="4">
        <v>993.75</v>
      </c>
      <c r="T192">
        <v>1310.29</v>
      </c>
      <c r="U192">
        <v>1310.29</v>
      </c>
      <c r="V192" s="7">
        <v>0.215</v>
      </c>
      <c r="W192" s="7">
        <v>0.215</v>
      </c>
      <c r="X192" s="7" t="str">
        <f t="shared" si="10"/>
        <v>High discount</v>
      </c>
      <c r="Y192" s="9">
        <v>19</v>
      </c>
      <c r="Z192">
        <v>19542.975350000001</v>
      </c>
      <c r="AA192">
        <v>18881.25</v>
      </c>
      <c r="AB192">
        <v>661.72535000000062</v>
      </c>
      <c r="AC192">
        <v>3.3860010471742245E-2</v>
      </c>
    </row>
    <row r="193" spans="1:29" x14ac:dyDescent="0.3">
      <c r="A193" t="s">
        <v>205</v>
      </c>
      <c r="B193" s="3">
        <v>45146</v>
      </c>
      <c r="C193" s="3" t="str">
        <v>Aug-2023</v>
      </c>
      <c r="D193" s="11" t="str">
        <f t="shared" si="8"/>
        <v>Q3-2023</v>
      </c>
      <c r="E193" s="3">
        <v>45160</v>
      </c>
      <c r="F193" s="3">
        <v>45146</v>
      </c>
      <c r="G193" s="4">
        <f t="shared" si="9"/>
        <v>14</v>
      </c>
      <c r="H193" s="4" t="str">
        <v>delayed</v>
      </c>
      <c r="I193" s="4">
        <f t="shared" si="11"/>
        <v>0</v>
      </c>
      <c r="J193" t="s">
        <v>649</v>
      </c>
      <c r="K193" t="s">
        <v>658</v>
      </c>
      <c r="L193" t="s">
        <v>674</v>
      </c>
      <c r="M193" t="s">
        <v>703</v>
      </c>
      <c r="N193" t="s">
        <v>711</v>
      </c>
      <c r="O193" t="s">
        <v>725</v>
      </c>
      <c r="P193" t="s">
        <v>732</v>
      </c>
      <c r="Q193" t="str" cm="1">
        <f t="array" ref="Q193">_xlfn.IFS(U193&lt;=_xlfn.QUARTILE.INC($U$2:$U824,1),"Low",B193&lt;=_xlfn.QUARTILE.INC($U$2:$U$633,2),"Medium",TRUE,"High")</f>
        <v>High</v>
      </c>
      <c r="R193" t="s">
        <v>925</v>
      </c>
      <c r="S193" s="4">
        <v>446.69</v>
      </c>
      <c r="T193">
        <v>967.25</v>
      </c>
      <c r="U193">
        <v>967.25</v>
      </c>
      <c r="V193" s="7">
        <v>9.4E-2</v>
      </c>
      <c r="W193" s="7">
        <v>9.4E-2</v>
      </c>
      <c r="X193" s="7" t="str">
        <f t="shared" si="10"/>
        <v>okay</v>
      </c>
      <c r="Y193" s="9">
        <v>10</v>
      </c>
      <c r="Z193">
        <v>8763.2849999999999</v>
      </c>
      <c r="AA193">
        <v>4466.8999999999996</v>
      </c>
      <c r="AB193">
        <v>4296.3850000000002</v>
      </c>
      <c r="AC193">
        <v>0.49027105702941309</v>
      </c>
    </row>
    <row r="194" spans="1:29" x14ac:dyDescent="0.3">
      <c r="A194" t="s">
        <v>206</v>
      </c>
      <c r="B194" s="3">
        <v>45516</v>
      </c>
      <c r="C194" s="3" t="str">
        <v>Aug-2024</v>
      </c>
      <c r="D194" s="11" t="str">
        <f t="shared" si="8"/>
        <v>Q3-2024</v>
      </c>
      <c r="E194" s="3">
        <v>45538</v>
      </c>
      <c r="F194" s="3">
        <v>45516</v>
      </c>
      <c r="G194" s="4">
        <f t="shared" si="9"/>
        <v>22</v>
      </c>
      <c r="H194" s="4" t="str">
        <v>delayed</v>
      </c>
      <c r="I194" s="4">
        <f t="shared" si="11"/>
        <v>0</v>
      </c>
      <c r="J194" t="s">
        <v>648</v>
      </c>
      <c r="K194" t="s">
        <v>660</v>
      </c>
      <c r="L194" t="s">
        <v>697</v>
      </c>
      <c r="M194" t="s">
        <v>704</v>
      </c>
      <c r="N194" t="s">
        <v>710</v>
      </c>
      <c r="O194" t="s">
        <v>714</v>
      </c>
      <c r="P194" t="s">
        <v>731</v>
      </c>
      <c r="Q194" t="str" cm="1">
        <f t="array" ref="Q194">_xlfn.IFS(U194&lt;=_xlfn.QUARTILE.INC($U$2:$U825,1),"Low",B194&lt;=_xlfn.QUARTILE.INC($U$2:$U$633,2),"Medium",TRUE,"High")</f>
        <v>High</v>
      </c>
      <c r="R194" t="s">
        <v>926</v>
      </c>
      <c r="S194" s="4">
        <v>797.8</v>
      </c>
      <c r="T194">
        <v>886.22</v>
      </c>
      <c r="U194">
        <v>886.22</v>
      </c>
      <c r="V194" s="7">
        <v>0.23599999999999999</v>
      </c>
      <c r="W194" s="7">
        <v>0.23599999999999999</v>
      </c>
      <c r="X194" s="7" t="str">
        <f t="shared" si="10"/>
        <v>High discount</v>
      </c>
      <c r="Y194" s="9">
        <v>36</v>
      </c>
      <c r="Z194">
        <v>24374.594880000001</v>
      </c>
      <c r="AA194">
        <v>28720.799999999999</v>
      </c>
      <c r="AB194">
        <v>-4346.2051199999987</v>
      </c>
      <c r="AC194">
        <v>-0.17830881462428633</v>
      </c>
    </row>
    <row r="195" spans="1:29" x14ac:dyDescent="0.3">
      <c r="A195" t="s">
        <v>207</v>
      </c>
      <c r="B195" s="3">
        <v>45214</v>
      </c>
      <c r="C195" s="3" t="str">
        <v>Oct-2023</v>
      </c>
      <c r="D195" s="11" t="str">
        <f t="shared" ref="D195:D258" si="12">"Q" &amp; ROUNDUP(MONTH(C195)/3,0) &amp; "-" &amp; YEAR(C195)</f>
        <v>Q4-2023</v>
      </c>
      <c r="E195" s="3">
        <v>45243</v>
      </c>
      <c r="F195" s="3">
        <v>45214</v>
      </c>
      <c r="G195" s="4">
        <f t="shared" ref="G195:G258" si="13">(E195-F195)</f>
        <v>29</v>
      </c>
      <c r="H195" s="4" t="str">
        <v>delayed</v>
      </c>
      <c r="I195" s="4">
        <f t="shared" si="11"/>
        <v>0</v>
      </c>
      <c r="J195" t="s">
        <v>647</v>
      </c>
      <c r="K195" t="s">
        <v>659</v>
      </c>
      <c r="L195" t="s">
        <v>676</v>
      </c>
      <c r="M195" t="s">
        <v>703</v>
      </c>
      <c r="N195" t="s">
        <v>710</v>
      </c>
      <c r="O195" t="s">
        <v>713</v>
      </c>
      <c r="P195" t="s">
        <v>728</v>
      </c>
      <c r="Q195" t="str" cm="1">
        <f t="array" ref="Q195">_xlfn.IFS(U195&lt;=_xlfn.QUARTILE.INC($U$2:$U826,1),"Low",B195&lt;=_xlfn.QUARTILE.INC($U$2:$U$633,2),"Medium",TRUE,"High")</f>
        <v>High</v>
      </c>
      <c r="R195" t="s">
        <v>927</v>
      </c>
      <c r="S195" s="4">
        <v>986.44</v>
      </c>
      <c r="T195">
        <v>790.61</v>
      </c>
      <c r="U195">
        <v>790.61</v>
      </c>
      <c r="V195" s="7">
        <v>7.1999999999999995E-2</v>
      </c>
      <c r="W195" s="7">
        <v>7.1999999999999995E-2</v>
      </c>
      <c r="X195" s="7" t="str">
        <f t="shared" ref="X195:X258" si="14">IF(V195&gt;0.2, "High discount","okay")</f>
        <v>okay</v>
      </c>
      <c r="Y195" s="9">
        <v>6</v>
      </c>
      <c r="Z195">
        <v>4402.1164799999997</v>
      </c>
      <c r="AA195">
        <v>5918.64</v>
      </c>
      <c r="AB195">
        <v>-1516.5235200000006</v>
      </c>
      <c r="AC195">
        <v>-0.34449872621271499</v>
      </c>
    </row>
    <row r="196" spans="1:29" x14ac:dyDescent="0.3">
      <c r="A196" t="s">
        <v>208</v>
      </c>
      <c r="B196" s="3">
        <v>45050</v>
      </c>
      <c r="C196" s="3" t="str">
        <v>May-2023</v>
      </c>
      <c r="D196" s="11" t="str">
        <f t="shared" si="12"/>
        <v>Q2-2023</v>
      </c>
      <c r="E196" s="3">
        <v>45072</v>
      </c>
      <c r="F196" s="3">
        <v>45050</v>
      </c>
      <c r="G196" s="4">
        <f t="shared" si="13"/>
        <v>22</v>
      </c>
      <c r="H196" s="4" t="str">
        <v>delayed</v>
      </c>
      <c r="I196" s="4">
        <f t="shared" si="11"/>
        <v>0</v>
      </c>
      <c r="J196" t="s">
        <v>648</v>
      </c>
      <c r="K196" t="s">
        <v>660</v>
      </c>
      <c r="L196" t="s">
        <v>686</v>
      </c>
      <c r="M196" t="s">
        <v>706</v>
      </c>
      <c r="N196" t="s">
        <v>708</v>
      </c>
      <c r="O196" t="s">
        <v>713</v>
      </c>
      <c r="P196" t="s">
        <v>729</v>
      </c>
      <c r="Q196" t="str" cm="1">
        <f t="array" ref="Q196">_xlfn.IFS(U196&lt;=_xlfn.QUARTILE.INC($U$2:$U827,1),"Low",B196&lt;=_xlfn.QUARTILE.INC($U$2:$U$633,2),"Medium",TRUE,"High")</f>
        <v>Low</v>
      </c>
      <c r="R196" t="s">
        <v>928</v>
      </c>
      <c r="S196" s="4">
        <v>249.71</v>
      </c>
      <c r="T196">
        <v>361.33</v>
      </c>
      <c r="U196">
        <v>361.33</v>
      </c>
      <c r="V196" s="7">
        <v>9.4E-2</v>
      </c>
      <c r="W196" s="7">
        <v>9.4E-2</v>
      </c>
      <c r="X196" s="7" t="str">
        <f t="shared" si="14"/>
        <v>okay</v>
      </c>
      <c r="Y196" s="9">
        <v>12</v>
      </c>
      <c r="Z196">
        <v>3928.3797600000003</v>
      </c>
      <c r="AA196">
        <v>2996.52</v>
      </c>
      <c r="AB196">
        <v>931.85976000000028</v>
      </c>
      <c r="AC196">
        <v>0.23721223937881206</v>
      </c>
    </row>
    <row r="197" spans="1:29" x14ac:dyDescent="0.3">
      <c r="A197" t="s">
        <v>209</v>
      </c>
      <c r="B197" s="3">
        <v>45557</v>
      </c>
      <c r="C197" s="3" t="str">
        <v>Sep-2024</v>
      </c>
      <c r="D197" s="11" t="str">
        <f t="shared" si="12"/>
        <v>Q3-2024</v>
      </c>
      <c r="E197" s="3">
        <v>45566</v>
      </c>
      <c r="F197" s="3">
        <v>45557</v>
      </c>
      <c r="G197" s="4">
        <f t="shared" si="13"/>
        <v>9</v>
      </c>
      <c r="H197" s="4" t="str">
        <v>delayed</v>
      </c>
      <c r="I197" s="4">
        <f t="shared" si="11"/>
        <v>0</v>
      </c>
      <c r="J197" t="s">
        <v>648</v>
      </c>
      <c r="K197" t="s">
        <v>655</v>
      </c>
      <c r="L197" t="s">
        <v>670</v>
      </c>
      <c r="M197" t="s">
        <v>703</v>
      </c>
      <c r="N197" t="s">
        <v>708</v>
      </c>
      <c r="O197" t="s">
        <v>723</v>
      </c>
      <c r="P197" t="s">
        <v>732</v>
      </c>
      <c r="Q197" t="str" cm="1">
        <f t="array" ref="Q197">_xlfn.IFS(U197&lt;=_xlfn.QUARTILE.INC($U$2:$U828,1),"Low",B197&lt;=_xlfn.QUARTILE.INC($U$2:$U$633,2),"Medium",TRUE,"High")</f>
        <v>High</v>
      </c>
      <c r="R197" t="s">
        <v>929</v>
      </c>
      <c r="S197" s="4">
        <v>1378.8</v>
      </c>
      <c r="T197">
        <v>1952.04</v>
      </c>
      <c r="U197">
        <v>1952.04</v>
      </c>
      <c r="V197" s="7">
        <v>0.159</v>
      </c>
      <c r="W197" s="7">
        <v>0.159</v>
      </c>
      <c r="X197" s="7" t="str">
        <f t="shared" si="14"/>
        <v>okay</v>
      </c>
      <c r="Y197" s="9">
        <v>19</v>
      </c>
      <c r="Z197">
        <v>31191.64716</v>
      </c>
      <c r="AA197">
        <v>26197.200000000001</v>
      </c>
      <c r="AB197">
        <v>4994.4471599999997</v>
      </c>
      <c r="AC197">
        <v>0.16012130216723058</v>
      </c>
    </row>
    <row r="198" spans="1:29" x14ac:dyDescent="0.3">
      <c r="A198" t="s">
        <v>210</v>
      </c>
      <c r="B198" s="3">
        <v>45588</v>
      </c>
      <c r="C198" s="3" t="str">
        <v>Oct-2024</v>
      </c>
      <c r="D198" s="11" t="str">
        <f t="shared" si="12"/>
        <v>Q4-2024</v>
      </c>
      <c r="E198" s="3">
        <v>45610</v>
      </c>
      <c r="F198" s="3">
        <v>45588</v>
      </c>
      <c r="G198" s="4">
        <f t="shared" si="13"/>
        <v>22</v>
      </c>
      <c r="H198" s="4" t="str">
        <v>delayed</v>
      </c>
      <c r="I198" s="4">
        <f t="shared" si="11"/>
        <v>0</v>
      </c>
      <c r="J198" t="s">
        <v>647</v>
      </c>
      <c r="K198" t="s">
        <v>652</v>
      </c>
      <c r="L198" t="s">
        <v>666</v>
      </c>
      <c r="M198" t="s">
        <v>703</v>
      </c>
      <c r="N198" t="s">
        <v>711</v>
      </c>
      <c r="O198" t="s">
        <v>717</v>
      </c>
      <c r="P198" t="s">
        <v>730</v>
      </c>
      <c r="Q198" t="str" cm="1">
        <f t="array" ref="Q198">_xlfn.IFS(U198&lt;=_xlfn.QUARTILE.INC($U$2:$U829,1),"Low",B198&lt;=_xlfn.QUARTILE.INC($U$2:$U$633,2),"Medium",TRUE,"High")</f>
        <v>High</v>
      </c>
      <c r="R198" t="s">
        <v>930</v>
      </c>
      <c r="S198" s="4">
        <v>1406.4</v>
      </c>
      <c r="T198">
        <v>1564.76</v>
      </c>
      <c r="U198">
        <v>1564.76</v>
      </c>
      <c r="V198" s="7">
        <v>0.185</v>
      </c>
      <c r="W198" s="7">
        <v>0.185</v>
      </c>
      <c r="X198" s="7" t="str">
        <f t="shared" si="14"/>
        <v>okay</v>
      </c>
      <c r="Y198" s="9">
        <v>17</v>
      </c>
      <c r="Z198">
        <v>21679.749799999998</v>
      </c>
      <c r="AA198">
        <v>23908.800000000003</v>
      </c>
      <c r="AB198">
        <v>-2229.0502000000051</v>
      </c>
      <c r="AC198">
        <v>-0.10281715520536151</v>
      </c>
    </row>
    <row r="199" spans="1:29" x14ac:dyDescent="0.3">
      <c r="A199" t="s">
        <v>211</v>
      </c>
      <c r="B199" s="3">
        <v>45333</v>
      </c>
      <c r="C199" s="3" t="str">
        <v>Feb-2024</v>
      </c>
      <c r="D199" s="11" t="str">
        <f t="shared" si="12"/>
        <v>Q1-2024</v>
      </c>
      <c r="E199" s="3">
        <v>45354</v>
      </c>
      <c r="F199" s="3">
        <v>45333</v>
      </c>
      <c r="G199" s="4">
        <f t="shared" si="13"/>
        <v>21</v>
      </c>
      <c r="H199" s="4" t="str">
        <v>delayed</v>
      </c>
      <c r="I199" s="4">
        <f t="shared" si="11"/>
        <v>0</v>
      </c>
      <c r="J199" t="s">
        <v>646</v>
      </c>
      <c r="K199" t="s">
        <v>650</v>
      </c>
      <c r="L199" t="s">
        <v>662</v>
      </c>
      <c r="M199" t="s">
        <v>706</v>
      </c>
      <c r="N199" t="s">
        <v>708</v>
      </c>
      <c r="O199" t="s">
        <v>717</v>
      </c>
      <c r="P199" t="s">
        <v>730</v>
      </c>
      <c r="Q199" t="str" cm="1">
        <f t="array" ref="Q199">_xlfn.IFS(U199&lt;=_xlfn.QUARTILE.INC($U$2:$U830,1),"Low",B199&lt;=_xlfn.QUARTILE.INC($U$2:$U$633,2),"Medium",TRUE,"High")</f>
        <v>High</v>
      </c>
      <c r="R199" t="s">
        <v>931</v>
      </c>
      <c r="S199" s="4">
        <v>516.86</v>
      </c>
      <c r="T199">
        <v>852.54</v>
      </c>
      <c r="U199">
        <v>852.54</v>
      </c>
      <c r="V199" s="7">
        <v>5.0999999999999997E-2</v>
      </c>
      <c r="W199" s="7">
        <v>5.0999999999999997E-2</v>
      </c>
      <c r="X199" s="7" t="str">
        <f t="shared" si="14"/>
        <v>okay</v>
      </c>
      <c r="Y199" s="9">
        <v>14</v>
      </c>
      <c r="Z199">
        <v>11326.846439999999</v>
      </c>
      <c r="AA199">
        <v>7236.04</v>
      </c>
      <c r="AB199">
        <v>4090.8064399999994</v>
      </c>
      <c r="AC199">
        <v>0.36116022775355994</v>
      </c>
    </row>
    <row r="200" spans="1:29" x14ac:dyDescent="0.3">
      <c r="A200" t="s">
        <v>212</v>
      </c>
      <c r="B200" s="3">
        <v>44956</v>
      </c>
      <c r="C200" s="3" t="str">
        <v>Jan-2023</v>
      </c>
      <c r="D200" s="11" t="str">
        <f t="shared" si="12"/>
        <v>Q1-2023</v>
      </c>
      <c r="E200" s="3">
        <v>44978</v>
      </c>
      <c r="F200" s="3">
        <v>44956</v>
      </c>
      <c r="G200" s="4">
        <f t="shared" si="13"/>
        <v>22</v>
      </c>
      <c r="H200" s="4" t="str">
        <v>delayed</v>
      </c>
      <c r="I200" s="4">
        <f t="shared" ref="I200:I263" si="15">IF(G200&lt;=7,1,0)</f>
        <v>0</v>
      </c>
      <c r="J200" t="s">
        <v>649</v>
      </c>
      <c r="K200" t="s">
        <v>656</v>
      </c>
      <c r="L200" t="s">
        <v>684</v>
      </c>
      <c r="M200" t="s">
        <v>705</v>
      </c>
      <c r="N200" t="s">
        <v>709</v>
      </c>
      <c r="O200" t="s">
        <v>715</v>
      </c>
      <c r="P200" t="s">
        <v>729</v>
      </c>
      <c r="Q200" t="str" cm="1">
        <f t="array" ref="Q200">_xlfn.IFS(U200&lt;=_xlfn.QUARTILE.INC($U$2:$U831,1),"Low",B200&lt;=_xlfn.QUARTILE.INC($U$2:$U$633,2),"Medium",TRUE,"High")</f>
        <v>High</v>
      </c>
      <c r="R200" t="s">
        <v>932</v>
      </c>
      <c r="S200" s="4">
        <v>1142.8800000000001</v>
      </c>
      <c r="T200">
        <v>1465.29</v>
      </c>
      <c r="U200">
        <v>1465.29</v>
      </c>
      <c r="V200" s="7">
        <v>0.186</v>
      </c>
      <c r="W200" s="7">
        <v>0.186</v>
      </c>
      <c r="X200" s="7" t="str">
        <f t="shared" si="14"/>
        <v>okay</v>
      </c>
      <c r="Y200" s="9">
        <v>7</v>
      </c>
      <c r="Z200">
        <v>8349.2224200000001</v>
      </c>
      <c r="AA200">
        <v>8000.1600000000008</v>
      </c>
      <c r="AB200">
        <v>349.06241999999929</v>
      </c>
      <c r="AC200">
        <v>4.1807775915017401E-2</v>
      </c>
    </row>
    <row r="201" spans="1:29" x14ac:dyDescent="0.3">
      <c r="A201" t="s">
        <v>213</v>
      </c>
      <c r="B201" s="3">
        <v>45030</v>
      </c>
      <c r="C201" s="3" t="str">
        <v>Apr-2023</v>
      </c>
      <c r="D201" s="11" t="str">
        <f t="shared" si="12"/>
        <v>Q2-2023</v>
      </c>
      <c r="E201" s="3">
        <v>45059</v>
      </c>
      <c r="F201" s="3">
        <v>45030</v>
      </c>
      <c r="G201" s="4">
        <f t="shared" si="13"/>
        <v>29</v>
      </c>
      <c r="H201" s="4" t="str">
        <v>delayed</v>
      </c>
      <c r="I201" s="4">
        <f t="shared" si="15"/>
        <v>0</v>
      </c>
      <c r="J201" t="s">
        <v>649</v>
      </c>
      <c r="K201" t="s">
        <v>656</v>
      </c>
      <c r="L201" t="s">
        <v>698</v>
      </c>
      <c r="M201" t="s">
        <v>704</v>
      </c>
      <c r="N201" t="s">
        <v>711</v>
      </c>
      <c r="O201" t="s">
        <v>713</v>
      </c>
      <c r="P201" t="s">
        <v>728</v>
      </c>
      <c r="Q201" t="str" cm="1">
        <f t="array" ref="Q201">_xlfn.IFS(U201&lt;=_xlfn.QUARTILE.INC($U$2:$U832,1),"Low",B201&lt;=_xlfn.QUARTILE.INC($U$2:$U$633,2),"Medium",TRUE,"High")</f>
        <v>High</v>
      </c>
      <c r="R201" t="s">
        <v>933</v>
      </c>
      <c r="S201" s="4">
        <v>1320.33</v>
      </c>
      <c r="T201">
        <v>2645.23</v>
      </c>
      <c r="U201">
        <v>2645.23</v>
      </c>
      <c r="V201" s="7">
        <v>0.155</v>
      </c>
      <c r="W201" s="7">
        <v>0.155</v>
      </c>
      <c r="X201" s="7" t="str">
        <f t="shared" si="14"/>
        <v>okay</v>
      </c>
      <c r="Y201" s="9">
        <v>25</v>
      </c>
      <c r="Z201">
        <v>55880.483749999999</v>
      </c>
      <c r="AA201">
        <v>33008.25</v>
      </c>
      <c r="AB201">
        <v>22872.233749999999</v>
      </c>
      <c r="AC201">
        <v>0.40930629470436536</v>
      </c>
    </row>
    <row r="202" spans="1:29" x14ac:dyDescent="0.3">
      <c r="A202" t="s">
        <v>214</v>
      </c>
      <c r="B202" s="3">
        <v>44939</v>
      </c>
      <c r="C202" s="3" t="str">
        <v>Jan-2023</v>
      </c>
      <c r="D202" s="11" t="str">
        <f t="shared" si="12"/>
        <v>Q1-2023</v>
      </c>
      <c r="E202" s="3">
        <v>44945</v>
      </c>
      <c r="F202" s="3">
        <v>44939</v>
      </c>
      <c r="G202" s="4">
        <f t="shared" si="13"/>
        <v>6</v>
      </c>
      <c r="H202" s="4" t="str">
        <v>ontime</v>
      </c>
      <c r="I202" s="4">
        <f t="shared" si="15"/>
        <v>1</v>
      </c>
      <c r="J202" t="s">
        <v>648</v>
      </c>
      <c r="K202" t="s">
        <v>660</v>
      </c>
      <c r="L202" t="s">
        <v>677</v>
      </c>
      <c r="M202" t="s">
        <v>701</v>
      </c>
      <c r="N202" t="s">
        <v>711</v>
      </c>
      <c r="O202" t="s">
        <v>722</v>
      </c>
      <c r="P202" t="s">
        <v>730</v>
      </c>
      <c r="Q202" t="str" cm="1">
        <f t="array" ref="Q202">_xlfn.IFS(U202&lt;=_xlfn.QUARTILE.INC($U$2:$U833,1),"Low",B202&lt;=_xlfn.QUARTILE.INC($U$2:$U$633,2),"Medium",TRUE,"High")</f>
        <v>High</v>
      </c>
      <c r="R202" t="s">
        <v>934</v>
      </c>
      <c r="S202" s="4">
        <v>833.57</v>
      </c>
      <c r="T202">
        <v>881.57</v>
      </c>
      <c r="U202">
        <v>881.57</v>
      </c>
      <c r="V202" s="7">
        <v>5.7000000000000002E-2</v>
      </c>
      <c r="W202" s="7">
        <v>5.7000000000000002E-2</v>
      </c>
      <c r="X202" s="7" t="str">
        <f t="shared" si="14"/>
        <v>okay</v>
      </c>
      <c r="Y202" s="9">
        <v>18</v>
      </c>
      <c r="Z202">
        <v>14963.769179999999</v>
      </c>
      <c r="AA202">
        <v>15004.26</v>
      </c>
      <c r="AB202">
        <v>-40.490820000000895</v>
      </c>
      <c r="AC202">
        <v>-2.7059238560107821E-3</v>
      </c>
    </row>
    <row r="203" spans="1:29" x14ac:dyDescent="0.3">
      <c r="A203" t="s">
        <v>215</v>
      </c>
      <c r="B203" s="3">
        <v>45303</v>
      </c>
      <c r="C203" s="3" t="str">
        <v>Jan-2024</v>
      </c>
      <c r="D203" s="11" t="str">
        <f t="shared" si="12"/>
        <v>Q1-2024</v>
      </c>
      <c r="E203" s="3">
        <v>45320</v>
      </c>
      <c r="F203" s="3">
        <v>45303</v>
      </c>
      <c r="G203" s="4">
        <f t="shared" si="13"/>
        <v>17</v>
      </c>
      <c r="H203" s="4" t="str">
        <v>delayed</v>
      </c>
      <c r="I203" s="4">
        <f t="shared" si="15"/>
        <v>0</v>
      </c>
      <c r="J203" t="s">
        <v>648</v>
      </c>
      <c r="K203" t="s">
        <v>660</v>
      </c>
      <c r="L203" t="s">
        <v>677</v>
      </c>
      <c r="M203" t="s">
        <v>702</v>
      </c>
      <c r="N203" t="s">
        <v>710</v>
      </c>
      <c r="O203" t="s">
        <v>720</v>
      </c>
      <c r="P203" t="s">
        <v>728</v>
      </c>
      <c r="Q203" t="str" cm="1">
        <f t="array" ref="Q203">_xlfn.IFS(U203&lt;=_xlfn.QUARTILE.INC($U$2:$U834,1),"Low",B203&lt;=_xlfn.QUARTILE.INC($U$2:$U$633,2),"Medium",TRUE,"High")</f>
        <v>High</v>
      </c>
      <c r="R203" t="s">
        <v>935</v>
      </c>
      <c r="S203" s="4">
        <v>493.76</v>
      </c>
      <c r="T203">
        <v>625.04</v>
      </c>
      <c r="U203">
        <v>625.04</v>
      </c>
      <c r="V203" s="7">
        <v>0.25800000000000001</v>
      </c>
      <c r="W203" s="7">
        <v>0.25800000000000001</v>
      </c>
      <c r="X203" s="7" t="str">
        <f t="shared" si="14"/>
        <v>High discount</v>
      </c>
      <c r="Y203" s="9">
        <v>10</v>
      </c>
      <c r="Z203">
        <v>4637.7968000000001</v>
      </c>
      <c r="AA203">
        <v>4937.6000000000004</v>
      </c>
      <c r="AB203">
        <v>-299.80320000000029</v>
      </c>
      <c r="AC203">
        <v>-6.464345311549663E-2</v>
      </c>
    </row>
    <row r="204" spans="1:29" x14ac:dyDescent="0.3">
      <c r="A204" t="s">
        <v>216</v>
      </c>
      <c r="B204" s="3">
        <v>45153</v>
      </c>
      <c r="C204" s="3" t="str">
        <v>Aug-2023</v>
      </c>
      <c r="D204" s="11" t="str">
        <f t="shared" si="12"/>
        <v>Q3-2023</v>
      </c>
      <c r="E204" s="3">
        <v>45176</v>
      </c>
      <c r="F204" s="3">
        <v>45153</v>
      </c>
      <c r="G204" s="4">
        <f t="shared" si="13"/>
        <v>23</v>
      </c>
      <c r="H204" s="4" t="str">
        <v>delayed</v>
      </c>
      <c r="I204" s="4">
        <f t="shared" si="15"/>
        <v>0</v>
      </c>
      <c r="J204" t="s">
        <v>648</v>
      </c>
      <c r="K204" t="s">
        <v>660</v>
      </c>
      <c r="L204" t="s">
        <v>700</v>
      </c>
      <c r="M204" t="s">
        <v>706</v>
      </c>
      <c r="N204" t="s">
        <v>708</v>
      </c>
      <c r="O204" t="s">
        <v>723</v>
      </c>
      <c r="P204" t="s">
        <v>730</v>
      </c>
      <c r="Q204" t="str" cm="1">
        <f t="array" ref="Q204">_xlfn.IFS(U204&lt;=_xlfn.QUARTILE.INC($U$2:$U835,1),"Low",B204&lt;=_xlfn.QUARTILE.INC($U$2:$U$633,2),"Medium",TRUE,"High")</f>
        <v>High</v>
      </c>
      <c r="R204" t="s">
        <v>936</v>
      </c>
      <c r="S204" s="4">
        <v>590.33000000000004</v>
      </c>
      <c r="T204">
        <v>973.04</v>
      </c>
      <c r="U204">
        <v>973.04</v>
      </c>
      <c r="V204" s="7">
        <v>0</v>
      </c>
      <c r="W204" s="7">
        <v>0</v>
      </c>
      <c r="X204" s="7" t="str">
        <f t="shared" si="14"/>
        <v>okay</v>
      </c>
      <c r="Y204" s="9">
        <v>26</v>
      </c>
      <c r="Z204">
        <v>25299.040000000001</v>
      </c>
      <c r="AA204">
        <v>15348.580000000002</v>
      </c>
      <c r="AB204">
        <v>9950.4599999999991</v>
      </c>
      <c r="AC204">
        <v>0.39331373838691108</v>
      </c>
    </row>
    <row r="205" spans="1:29" x14ac:dyDescent="0.3">
      <c r="A205" t="s">
        <v>217</v>
      </c>
      <c r="B205" s="3">
        <v>44946</v>
      </c>
      <c r="C205" s="3" t="str">
        <v>Jan-2023</v>
      </c>
      <c r="D205" s="11" t="str">
        <f t="shared" si="12"/>
        <v>Q1-2023</v>
      </c>
      <c r="E205" s="3">
        <v>44960</v>
      </c>
      <c r="F205" s="3">
        <v>44946</v>
      </c>
      <c r="G205" s="4">
        <f t="shared" si="13"/>
        <v>14</v>
      </c>
      <c r="H205" s="4" t="str">
        <v>delayed</v>
      </c>
      <c r="I205" s="4">
        <f t="shared" si="15"/>
        <v>0</v>
      </c>
      <c r="J205" t="s">
        <v>646</v>
      </c>
      <c r="K205" t="s">
        <v>650</v>
      </c>
      <c r="L205" t="s">
        <v>662</v>
      </c>
      <c r="M205" t="s">
        <v>701</v>
      </c>
      <c r="N205" t="s">
        <v>707</v>
      </c>
      <c r="O205" t="s">
        <v>724</v>
      </c>
      <c r="P205" t="s">
        <v>729</v>
      </c>
      <c r="Q205" t="str" cm="1">
        <f t="array" ref="Q205">_xlfn.IFS(U205&lt;=_xlfn.QUARTILE.INC($U$2:$U836,1),"Low",B205&lt;=_xlfn.QUARTILE.INC($U$2:$U$633,2),"Medium",TRUE,"High")</f>
        <v>High</v>
      </c>
      <c r="R205" t="s">
        <v>937</v>
      </c>
      <c r="S205" s="4">
        <v>884.36</v>
      </c>
      <c r="T205">
        <v>1545.34</v>
      </c>
      <c r="U205">
        <v>1545.34</v>
      </c>
      <c r="V205" s="7">
        <v>0.24299999999999999</v>
      </c>
      <c r="W205" s="7">
        <v>0.24299999999999999</v>
      </c>
      <c r="X205" s="7" t="str">
        <f t="shared" si="14"/>
        <v>High discount</v>
      </c>
      <c r="Y205" s="9">
        <v>41</v>
      </c>
      <c r="Z205">
        <v>47962.717579999997</v>
      </c>
      <c r="AA205">
        <v>36258.76</v>
      </c>
      <c r="AB205">
        <v>11703.957579999995</v>
      </c>
      <c r="AC205">
        <v>0.24402198562827965</v>
      </c>
    </row>
    <row r="206" spans="1:29" x14ac:dyDescent="0.3">
      <c r="A206" t="s">
        <v>218</v>
      </c>
      <c r="B206" s="3">
        <v>45692</v>
      </c>
      <c r="C206" s="3" t="str">
        <v>Feb-2025</v>
      </c>
      <c r="D206" s="11" t="str">
        <f t="shared" si="12"/>
        <v>Q1-2025</v>
      </c>
      <c r="E206" s="3">
        <v>45713</v>
      </c>
      <c r="F206" s="3">
        <v>45692</v>
      </c>
      <c r="G206" s="4">
        <f t="shared" si="13"/>
        <v>21</v>
      </c>
      <c r="H206" s="4" t="str">
        <v>delayed</v>
      </c>
      <c r="I206" s="4">
        <f t="shared" si="15"/>
        <v>0</v>
      </c>
      <c r="J206" t="s">
        <v>649</v>
      </c>
      <c r="K206" t="s">
        <v>658</v>
      </c>
      <c r="L206" t="s">
        <v>674</v>
      </c>
      <c r="M206" t="s">
        <v>701</v>
      </c>
      <c r="N206" t="s">
        <v>709</v>
      </c>
      <c r="O206" t="s">
        <v>726</v>
      </c>
      <c r="P206" t="s">
        <v>732</v>
      </c>
      <c r="Q206" t="str" cm="1">
        <f t="array" ref="Q206">_xlfn.IFS(U206&lt;=_xlfn.QUARTILE.INC($U$2:$U837,1),"Low",B206&lt;=_xlfn.QUARTILE.INC($U$2:$U$633,2),"Medium",TRUE,"High")</f>
        <v>High</v>
      </c>
      <c r="R206" t="s">
        <v>938</v>
      </c>
      <c r="S206" s="4">
        <v>1016.32</v>
      </c>
      <c r="T206">
        <v>2253.42</v>
      </c>
      <c r="U206">
        <v>2253.42</v>
      </c>
      <c r="V206" s="7">
        <v>5.5E-2</v>
      </c>
      <c r="W206" s="7">
        <v>5.5E-2</v>
      </c>
      <c r="X206" s="7" t="str">
        <f t="shared" si="14"/>
        <v>okay</v>
      </c>
      <c r="Y206" s="9">
        <v>12</v>
      </c>
      <c r="Z206">
        <v>25553.782800000001</v>
      </c>
      <c r="AA206">
        <v>12195.84</v>
      </c>
      <c r="AB206">
        <v>13357.942800000001</v>
      </c>
      <c r="AC206">
        <v>0.52273837124419797</v>
      </c>
    </row>
    <row r="207" spans="1:29" x14ac:dyDescent="0.3">
      <c r="A207" t="s">
        <v>219</v>
      </c>
      <c r="B207" s="3">
        <v>45035</v>
      </c>
      <c r="C207" s="3" t="str">
        <v>Apr-2023</v>
      </c>
      <c r="D207" s="11" t="str">
        <f t="shared" si="12"/>
        <v>Q2-2023</v>
      </c>
      <c r="E207" s="3">
        <v>45044</v>
      </c>
      <c r="F207" s="3">
        <v>45035</v>
      </c>
      <c r="G207" s="4">
        <f t="shared" si="13"/>
        <v>9</v>
      </c>
      <c r="H207" s="4" t="str">
        <v>delayed</v>
      </c>
      <c r="I207" s="4">
        <f t="shared" si="15"/>
        <v>0</v>
      </c>
      <c r="J207" t="s">
        <v>649</v>
      </c>
      <c r="K207" t="s">
        <v>656</v>
      </c>
      <c r="L207" t="s">
        <v>671</v>
      </c>
      <c r="M207" t="s">
        <v>702</v>
      </c>
      <c r="N207" t="s">
        <v>708</v>
      </c>
      <c r="O207" t="s">
        <v>718</v>
      </c>
      <c r="P207" t="s">
        <v>732</v>
      </c>
      <c r="Q207" t="str" cm="1">
        <f t="array" ref="Q207">_xlfn.IFS(U207&lt;=_xlfn.QUARTILE.INC($U$2:$U838,1),"Low",B207&lt;=_xlfn.QUARTILE.INC($U$2:$U$633,2),"Medium",TRUE,"High")</f>
        <v>High</v>
      </c>
      <c r="R207" t="s">
        <v>939</v>
      </c>
      <c r="S207" s="4">
        <v>1178.42</v>
      </c>
      <c r="T207">
        <v>2446.56</v>
      </c>
      <c r="U207">
        <v>2446.56</v>
      </c>
      <c r="V207" s="7">
        <v>2.9000000000000001E-2</v>
      </c>
      <c r="W207" s="7">
        <v>2.9000000000000001E-2</v>
      </c>
      <c r="X207" s="7" t="str">
        <f t="shared" si="14"/>
        <v>okay</v>
      </c>
      <c r="Y207" s="9">
        <v>11</v>
      </c>
      <c r="Z207">
        <v>26131.70736</v>
      </c>
      <c r="AA207">
        <v>12962.62</v>
      </c>
      <c r="AB207">
        <v>13169.08736</v>
      </c>
      <c r="AC207">
        <v>0.5039505141618883</v>
      </c>
    </row>
    <row r="208" spans="1:29" x14ac:dyDescent="0.3">
      <c r="A208" t="s">
        <v>220</v>
      </c>
      <c r="B208" s="3">
        <v>45109</v>
      </c>
      <c r="C208" s="3" t="str">
        <v>Jul-2023</v>
      </c>
      <c r="D208" s="11" t="str">
        <f t="shared" si="12"/>
        <v>Q3-2023</v>
      </c>
      <c r="E208" s="3">
        <v>45139</v>
      </c>
      <c r="F208" s="3">
        <v>45109</v>
      </c>
      <c r="G208" s="4">
        <f t="shared" si="13"/>
        <v>30</v>
      </c>
      <c r="H208" s="4" t="str">
        <v>delayed</v>
      </c>
      <c r="I208" s="4">
        <f t="shared" si="15"/>
        <v>0</v>
      </c>
      <c r="J208" t="s">
        <v>649</v>
      </c>
      <c r="K208" t="s">
        <v>658</v>
      </c>
      <c r="L208" t="s">
        <v>674</v>
      </c>
      <c r="M208" t="s">
        <v>705</v>
      </c>
      <c r="N208" t="s">
        <v>707</v>
      </c>
      <c r="O208" t="s">
        <v>717</v>
      </c>
      <c r="P208" t="s">
        <v>727</v>
      </c>
      <c r="Q208" t="str" cm="1">
        <f t="array" ref="Q208">_xlfn.IFS(U208&lt;=_xlfn.QUARTILE.INC($U$2:$U839,1),"Low",B208&lt;=_xlfn.QUARTILE.INC($U$2:$U$633,2),"Medium",TRUE,"High")</f>
        <v>Low</v>
      </c>
      <c r="R208" t="s">
        <v>940</v>
      </c>
      <c r="S208" s="4">
        <v>137.46</v>
      </c>
      <c r="T208">
        <v>188.3</v>
      </c>
      <c r="U208">
        <v>188.3</v>
      </c>
      <c r="V208" s="7">
        <v>3.7999999999999999E-2</v>
      </c>
      <c r="W208" s="7">
        <v>3.7999999999999999E-2</v>
      </c>
      <c r="X208" s="7" t="str">
        <f t="shared" si="14"/>
        <v>okay</v>
      </c>
      <c r="Y208" s="9">
        <v>37</v>
      </c>
      <c r="Z208">
        <v>6702.3501999999999</v>
      </c>
      <c r="AA208">
        <v>5086.0200000000004</v>
      </c>
      <c r="AB208">
        <v>1616.3301999999994</v>
      </c>
      <c r="AC208">
        <v>0.24115872071262398</v>
      </c>
    </row>
    <row r="209" spans="1:29" x14ac:dyDescent="0.3">
      <c r="A209" t="s">
        <v>221</v>
      </c>
      <c r="B209" s="3">
        <v>45678</v>
      </c>
      <c r="C209" s="3" t="str">
        <v>Jan-2025</v>
      </c>
      <c r="D209" s="11" t="str">
        <f t="shared" si="12"/>
        <v>Q1-2025</v>
      </c>
      <c r="E209" s="3">
        <v>45702</v>
      </c>
      <c r="F209" s="3">
        <v>45678</v>
      </c>
      <c r="G209" s="4">
        <f t="shared" si="13"/>
        <v>24</v>
      </c>
      <c r="H209" s="4" t="str">
        <v>delayed</v>
      </c>
      <c r="I209" s="4">
        <f t="shared" si="15"/>
        <v>0</v>
      </c>
      <c r="J209" t="s">
        <v>646</v>
      </c>
      <c r="K209" t="s">
        <v>650</v>
      </c>
      <c r="L209" t="s">
        <v>664</v>
      </c>
      <c r="M209" t="s">
        <v>705</v>
      </c>
      <c r="N209" t="s">
        <v>707</v>
      </c>
      <c r="O209" t="s">
        <v>713</v>
      </c>
      <c r="P209" t="s">
        <v>733</v>
      </c>
      <c r="Q209" t="str" cm="1">
        <f t="array" ref="Q209">_xlfn.IFS(U209&lt;=_xlfn.QUARTILE.INC($U$2:$U840,1),"Low",B209&lt;=_xlfn.QUARTILE.INC($U$2:$U$633,2),"Medium",TRUE,"High")</f>
        <v>High</v>
      </c>
      <c r="R209" t="s">
        <v>941</v>
      </c>
      <c r="S209" s="4">
        <v>1030.44</v>
      </c>
      <c r="T209">
        <v>2562.84</v>
      </c>
      <c r="U209">
        <v>2562.84</v>
      </c>
      <c r="V209" s="7">
        <v>0.14799999999999999</v>
      </c>
      <c r="W209" s="7">
        <v>0.14799999999999999</v>
      </c>
      <c r="X209" s="7" t="str">
        <f t="shared" si="14"/>
        <v>okay</v>
      </c>
      <c r="Y209" s="9">
        <v>13</v>
      </c>
      <c r="Z209">
        <v>28386.015839999996</v>
      </c>
      <c r="AA209">
        <v>13395.720000000001</v>
      </c>
      <c r="AB209">
        <v>14990.295839999995</v>
      </c>
      <c r="AC209">
        <v>0.52808734852027039</v>
      </c>
    </row>
    <row r="210" spans="1:29" x14ac:dyDescent="0.3">
      <c r="A210" t="s">
        <v>222</v>
      </c>
      <c r="B210" s="3">
        <v>45545</v>
      </c>
      <c r="C210" s="3" t="str">
        <v>Sep-2024</v>
      </c>
      <c r="D210" s="11" t="str">
        <f t="shared" si="12"/>
        <v>Q3-2024</v>
      </c>
      <c r="E210" s="3">
        <v>45572</v>
      </c>
      <c r="F210" s="3">
        <v>45545</v>
      </c>
      <c r="G210" s="4">
        <f t="shared" si="13"/>
        <v>27</v>
      </c>
      <c r="H210" s="4" t="str">
        <v>delayed</v>
      </c>
      <c r="I210" s="4">
        <f t="shared" si="15"/>
        <v>0</v>
      </c>
      <c r="J210" t="s">
        <v>646</v>
      </c>
      <c r="K210" t="s">
        <v>650</v>
      </c>
      <c r="L210" t="s">
        <v>662</v>
      </c>
      <c r="M210" t="s">
        <v>704</v>
      </c>
      <c r="N210" t="s">
        <v>707</v>
      </c>
      <c r="O210" t="s">
        <v>716</v>
      </c>
      <c r="P210" t="s">
        <v>728</v>
      </c>
      <c r="Q210" t="str" cm="1">
        <f t="array" ref="Q210">_xlfn.IFS(U210&lt;=_xlfn.QUARTILE.INC($U$2:$U841,1),"Low",B210&lt;=_xlfn.QUARTILE.INC($U$2:$U$633,2),"Medium",TRUE,"High")</f>
        <v>High</v>
      </c>
      <c r="R210" t="s">
        <v>942</v>
      </c>
      <c r="S210" s="4">
        <v>1248.3900000000001</v>
      </c>
      <c r="T210">
        <v>1805.11</v>
      </c>
      <c r="U210">
        <v>1805.11</v>
      </c>
      <c r="V210" s="7">
        <v>0.20300000000000001</v>
      </c>
      <c r="W210" s="7">
        <v>0.20300000000000001</v>
      </c>
      <c r="X210" s="7" t="str">
        <f t="shared" si="14"/>
        <v>High discount</v>
      </c>
      <c r="Y210" s="9">
        <v>11</v>
      </c>
      <c r="Z210">
        <v>15825.399369999997</v>
      </c>
      <c r="AA210">
        <v>13732.29</v>
      </c>
      <c r="AB210">
        <v>2093.1093699999965</v>
      </c>
      <c r="AC210">
        <v>0.13226265707820786</v>
      </c>
    </row>
    <row r="211" spans="1:29" x14ac:dyDescent="0.3">
      <c r="A211" t="s">
        <v>223</v>
      </c>
      <c r="B211" s="3">
        <v>45859</v>
      </c>
      <c r="C211" s="3" t="str">
        <v>Jul-2025</v>
      </c>
      <c r="D211" s="11" t="str">
        <f t="shared" si="12"/>
        <v>Q3-2025</v>
      </c>
      <c r="E211" s="3">
        <v>45876</v>
      </c>
      <c r="F211" s="3">
        <v>45859</v>
      </c>
      <c r="G211" s="4">
        <f t="shared" si="13"/>
        <v>17</v>
      </c>
      <c r="H211" s="4" t="str">
        <v>delayed</v>
      </c>
      <c r="I211" s="4">
        <f t="shared" si="15"/>
        <v>0</v>
      </c>
      <c r="J211" t="s">
        <v>646</v>
      </c>
      <c r="K211" t="s">
        <v>651</v>
      </c>
      <c r="L211" t="s">
        <v>665</v>
      </c>
      <c r="M211" t="s">
        <v>706</v>
      </c>
      <c r="N211" t="s">
        <v>711</v>
      </c>
      <c r="O211" t="s">
        <v>724</v>
      </c>
      <c r="P211" t="s">
        <v>733</v>
      </c>
      <c r="Q211" t="str" cm="1">
        <f t="array" ref="Q211">_xlfn.IFS(U211&lt;=_xlfn.QUARTILE.INC($U$2:$U842,1),"Low",B211&lt;=_xlfn.QUARTILE.INC($U$2:$U$633,2),"Medium",TRUE,"High")</f>
        <v>High</v>
      </c>
      <c r="R211" t="s">
        <v>943</v>
      </c>
      <c r="S211" s="4">
        <v>1204.95</v>
      </c>
      <c r="T211">
        <v>2065.73</v>
      </c>
      <c r="U211">
        <v>2065.73</v>
      </c>
      <c r="V211" s="7">
        <v>0.13600000000000001</v>
      </c>
      <c r="W211" s="7">
        <v>0.13600000000000001</v>
      </c>
      <c r="X211" s="7" t="str">
        <f t="shared" si="14"/>
        <v>okay</v>
      </c>
      <c r="Y211" s="9">
        <v>10</v>
      </c>
      <c r="Z211">
        <v>17847.907199999998</v>
      </c>
      <c r="AA211">
        <v>12049.5</v>
      </c>
      <c r="AB211">
        <v>5798.4071999999978</v>
      </c>
      <c r="AC211">
        <v>0.32487882949100039</v>
      </c>
    </row>
    <row r="212" spans="1:29" x14ac:dyDescent="0.3">
      <c r="A212" t="s">
        <v>224</v>
      </c>
      <c r="B212" s="3">
        <v>45567</v>
      </c>
      <c r="C212" s="3" t="str">
        <v>Oct-2024</v>
      </c>
      <c r="D212" s="11" t="str">
        <f t="shared" si="12"/>
        <v>Q4-2024</v>
      </c>
      <c r="E212" s="3">
        <v>45588</v>
      </c>
      <c r="F212" s="3">
        <v>45567</v>
      </c>
      <c r="G212" s="4">
        <f t="shared" si="13"/>
        <v>21</v>
      </c>
      <c r="H212" s="4" t="str">
        <v>delayed</v>
      </c>
      <c r="I212" s="4">
        <f t="shared" si="15"/>
        <v>0</v>
      </c>
      <c r="J212" t="s">
        <v>646</v>
      </c>
      <c r="K212" t="s">
        <v>661</v>
      </c>
      <c r="L212" t="s">
        <v>687</v>
      </c>
      <c r="M212" t="s">
        <v>701</v>
      </c>
      <c r="N212" t="s">
        <v>709</v>
      </c>
      <c r="O212" t="s">
        <v>720</v>
      </c>
      <c r="P212" t="s">
        <v>727</v>
      </c>
      <c r="Q212" t="str" cm="1">
        <f t="array" ref="Q212">_xlfn.IFS(U212&lt;=_xlfn.QUARTILE.INC($U$2:$U843,1),"Low",B212&lt;=_xlfn.QUARTILE.INC($U$2:$U$633,2),"Medium",TRUE,"High")</f>
        <v>High</v>
      </c>
      <c r="R212" t="s">
        <v>944</v>
      </c>
      <c r="S212" s="4">
        <v>1095.6099999999999</v>
      </c>
      <c r="T212">
        <v>2366.5100000000002</v>
      </c>
      <c r="U212">
        <v>2366.5100000000002</v>
      </c>
      <c r="V212" s="7">
        <v>0.152</v>
      </c>
      <c r="W212" s="7">
        <v>0.152</v>
      </c>
      <c r="X212" s="7" t="str">
        <f t="shared" si="14"/>
        <v>okay</v>
      </c>
      <c r="Y212" s="9">
        <v>9</v>
      </c>
      <c r="Z212">
        <v>18061.204320000004</v>
      </c>
      <c r="AA212">
        <v>9860.49</v>
      </c>
      <c r="AB212">
        <v>8200.7143200000046</v>
      </c>
      <c r="AC212">
        <v>0.4540513564158607</v>
      </c>
    </row>
    <row r="213" spans="1:29" x14ac:dyDescent="0.3">
      <c r="A213" t="s">
        <v>225</v>
      </c>
      <c r="B213" s="3">
        <v>45852</v>
      </c>
      <c r="C213" s="3" t="str">
        <v>Jul-2025</v>
      </c>
      <c r="D213" s="11" t="str">
        <f t="shared" si="12"/>
        <v>Q3-2025</v>
      </c>
      <c r="E213" s="3">
        <v>45873</v>
      </c>
      <c r="F213" s="3">
        <v>45852</v>
      </c>
      <c r="G213" s="4">
        <f t="shared" si="13"/>
        <v>21</v>
      </c>
      <c r="H213" s="4" t="str">
        <v>delayed</v>
      </c>
      <c r="I213" s="4">
        <f t="shared" si="15"/>
        <v>0</v>
      </c>
      <c r="J213" t="s">
        <v>648</v>
      </c>
      <c r="K213" t="s">
        <v>653</v>
      </c>
      <c r="L213" t="s">
        <v>681</v>
      </c>
      <c r="M213" t="s">
        <v>704</v>
      </c>
      <c r="N213" t="s">
        <v>708</v>
      </c>
      <c r="O213" t="s">
        <v>722</v>
      </c>
      <c r="P213" t="s">
        <v>732</v>
      </c>
      <c r="Q213" t="str" cm="1">
        <f t="array" ref="Q213">_xlfn.IFS(U213&lt;=_xlfn.QUARTILE.INC($U$2:$U844,1),"Low",B213&lt;=_xlfn.QUARTILE.INC($U$2:$U$633,2),"Medium",TRUE,"High")</f>
        <v>Low</v>
      </c>
      <c r="R213" t="s">
        <v>945</v>
      </c>
      <c r="S213" s="4">
        <v>90.3</v>
      </c>
      <c r="T213">
        <v>131.76</v>
      </c>
      <c r="U213">
        <v>131.76</v>
      </c>
      <c r="V213" s="7">
        <v>0.10199999999999999</v>
      </c>
      <c r="W213" s="7">
        <v>0.10199999999999999</v>
      </c>
      <c r="X213" s="7" t="str">
        <f t="shared" si="14"/>
        <v>okay</v>
      </c>
      <c r="Y213" s="9">
        <v>15</v>
      </c>
      <c r="Z213">
        <v>1774.8072</v>
      </c>
      <c r="AA213">
        <v>1354.5</v>
      </c>
      <c r="AB213">
        <v>420.30719999999997</v>
      </c>
      <c r="AC213">
        <v>0.23681851189244668</v>
      </c>
    </row>
    <row r="214" spans="1:29" x14ac:dyDescent="0.3">
      <c r="A214" t="s">
        <v>226</v>
      </c>
      <c r="B214" s="3">
        <v>45544</v>
      </c>
      <c r="C214" s="3" t="str">
        <v>Sep-2024</v>
      </c>
      <c r="D214" s="11" t="str">
        <f t="shared" si="12"/>
        <v>Q3-2024</v>
      </c>
      <c r="E214" s="3">
        <v>45566</v>
      </c>
      <c r="F214" s="3">
        <v>45544</v>
      </c>
      <c r="G214" s="4">
        <f t="shared" si="13"/>
        <v>22</v>
      </c>
      <c r="H214" s="4" t="str">
        <v>delayed</v>
      </c>
      <c r="I214" s="4">
        <f t="shared" si="15"/>
        <v>0</v>
      </c>
      <c r="J214" t="s">
        <v>647</v>
      </c>
      <c r="K214" t="s">
        <v>659</v>
      </c>
      <c r="L214" t="s">
        <v>676</v>
      </c>
      <c r="M214" t="s">
        <v>704</v>
      </c>
      <c r="N214" t="s">
        <v>711</v>
      </c>
      <c r="O214" t="s">
        <v>716</v>
      </c>
      <c r="P214" t="s">
        <v>728</v>
      </c>
      <c r="Q214" t="str" cm="1">
        <f t="array" ref="Q214">_xlfn.IFS(U214&lt;=_xlfn.QUARTILE.INC($U$2:$U845,1),"Low",B214&lt;=_xlfn.QUARTILE.INC($U$2:$U$633,2),"Medium",TRUE,"High")</f>
        <v>High</v>
      </c>
      <c r="R214" t="s">
        <v>946</v>
      </c>
      <c r="S214" s="4">
        <v>1166.18</v>
      </c>
      <c r="T214">
        <v>1335.02</v>
      </c>
      <c r="U214">
        <v>1335.02</v>
      </c>
      <c r="V214" s="7">
        <v>0.128</v>
      </c>
      <c r="W214" s="7">
        <v>0.128</v>
      </c>
      <c r="X214" s="7" t="str">
        <f t="shared" si="14"/>
        <v>okay</v>
      </c>
      <c r="Y214" s="9">
        <v>6</v>
      </c>
      <c r="Z214">
        <v>6984.8246399999998</v>
      </c>
      <c r="AA214">
        <v>6997.08</v>
      </c>
      <c r="AB214">
        <v>-12.25536000000011</v>
      </c>
      <c r="AC214">
        <v>-1.7545694604582242E-3</v>
      </c>
    </row>
    <row r="215" spans="1:29" x14ac:dyDescent="0.3">
      <c r="A215" t="s">
        <v>227</v>
      </c>
      <c r="B215" s="3">
        <v>45686</v>
      </c>
      <c r="C215" s="3" t="str">
        <v>Jan-2025</v>
      </c>
      <c r="D215" s="11" t="str">
        <f t="shared" si="12"/>
        <v>Q1-2025</v>
      </c>
      <c r="E215" s="3">
        <v>45694</v>
      </c>
      <c r="F215" s="3">
        <v>45686</v>
      </c>
      <c r="G215" s="4">
        <f t="shared" si="13"/>
        <v>8</v>
      </c>
      <c r="H215" s="4" t="str">
        <v>delayed</v>
      </c>
      <c r="I215" s="4">
        <f t="shared" si="15"/>
        <v>0</v>
      </c>
      <c r="J215" t="s">
        <v>646</v>
      </c>
      <c r="K215" t="s">
        <v>650</v>
      </c>
      <c r="L215" t="s">
        <v>662</v>
      </c>
      <c r="M215" t="s">
        <v>702</v>
      </c>
      <c r="N215" t="s">
        <v>707</v>
      </c>
      <c r="O215" t="s">
        <v>717</v>
      </c>
      <c r="P215" t="s">
        <v>730</v>
      </c>
      <c r="Q215" t="str" cm="1">
        <f t="array" ref="Q215">_xlfn.IFS(U215&lt;=_xlfn.QUARTILE.INC($U$2:$U846,1),"Low",B215&lt;=_xlfn.QUARTILE.INC($U$2:$U$633,2),"Medium",TRUE,"High")</f>
        <v>High</v>
      </c>
      <c r="R215" t="s">
        <v>947</v>
      </c>
      <c r="S215" s="4">
        <v>1445.27</v>
      </c>
      <c r="T215">
        <v>2691.45</v>
      </c>
      <c r="U215">
        <v>2691.45</v>
      </c>
      <c r="V215" s="7">
        <v>0</v>
      </c>
      <c r="W215" s="7">
        <v>0</v>
      </c>
      <c r="X215" s="7" t="str">
        <f t="shared" si="14"/>
        <v>okay</v>
      </c>
      <c r="Y215" s="9">
        <v>9</v>
      </c>
      <c r="Z215">
        <v>24223.05</v>
      </c>
      <c r="AA215">
        <v>13007.43</v>
      </c>
      <c r="AB215">
        <v>11215.619999999999</v>
      </c>
      <c r="AC215">
        <v>0.46301436028906351</v>
      </c>
    </row>
    <row r="216" spans="1:29" x14ac:dyDescent="0.3">
      <c r="A216" t="s">
        <v>228</v>
      </c>
      <c r="B216" s="3">
        <v>45240</v>
      </c>
      <c r="C216" s="3" t="str">
        <v>Nov-2023</v>
      </c>
      <c r="D216" s="11" t="str">
        <f t="shared" si="12"/>
        <v>Q4-2023</v>
      </c>
      <c r="E216" s="3">
        <v>45258</v>
      </c>
      <c r="F216" s="3">
        <v>45240</v>
      </c>
      <c r="G216" s="4">
        <f t="shared" si="13"/>
        <v>18</v>
      </c>
      <c r="H216" s="4" t="str">
        <v>delayed</v>
      </c>
      <c r="I216" s="4">
        <f t="shared" si="15"/>
        <v>0</v>
      </c>
      <c r="J216" t="s">
        <v>648</v>
      </c>
      <c r="K216" t="s">
        <v>655</v>
      </c>
      <c r="L216" t="s">
        <v>672</v>
      </c>
      <c r="M216" t="s">
        <v>702</v>
      </c>
      <c r="N216" t="s">
        <v>709</v>
      </c>
      <c r="O216" t="s">
        <v>716</v>
      </c>
      <c r="P216" t="s">
        <v>733</v>
      </c>
      <c r="Q216" t="str" cm="1">
        <f t="array" ref="Q216">_xlfn.IFS(U216&lt;=_xlfn.QUARTILE.INC($U$2:$U847,1),"Low",B216&lt;=_xlfn.QUARTILE.INC($U$2:$U$633,2),"Medium",TRUE,"High")</f>
        <v>High</v>
      </c>
      <c r="R216" t="s">
        <v>948</v>
      </c>
      <c r="S216" s="4">
        <v>388.51</v>
      </c>
      <c r="T216">
        <v>776.46</v>
      </c>
      <c r="U216">
        <v>776.46</v>
      </c>
      <c r="V216" s="7">
        <v>0.157</v>
      </c>
      <c r="W216" s="7">
        <v>0.157</v>
      </c>
      <c r="X216" s="7" t="str">
        <f t="shared" si="14"/>
        <v>okay</v>
      </c>
      <c r="Y216" s="9">
        <v>12</v>
      </c>
      <c r="Z216">
        <v>7854.6693599999999</v>
      </c>
      <c r="AA216">
        <v>4662.12</v>
      </c>
      <c r="AB216">
        <v>3192.54936</v>
      </c>
      <c r="AC216">
        <v>0.40645241876864946</v>
      </c>
    </row>
    <row r="217" spans="1:29" x14ac:dyDescent="0.3">
      <c r="A217" t="s">
        <v>229</v>
      </c>
      <c r="B217" s="3">
        <v>45351</v>
      </c>
      <c r="C217" s="3" t="str">
        <v>Feb-2024</v>
      </c>
      <c r="D217" s="11" t="str">
        <f t="shared" si="12"/>
        <v>Q1-2024</v>
      </c>
      <c r="E217" s="3">
        <v>45381</v>
      </c>
      <c r="F217" s="3">
        <v>45351</v>
      </c>
      <c r="G217" s="4">
        <f t="shared" si="13"/>
        <v>30</v>
      </c>
      <c r="H217" s="4" t="str">
        <v>delayed</v>
      </c>
      <c r="I217" s="4">
        <f t="shared" si="15"/>
        <v>0</v>
      </c>
      <c r="J217" t="s">
        <v>647</v>
      </c>
      <c r="K217" t="s">
        <v>652</v>
      </c>
      <c r="L217" t="s">
        <v>694</v>
      </c>
      <c r="M217" t="s">
        <v>705</v>
      </c>
      <c r="N217" t="s">
        <v>711</v>
      </c>
      <c r="O217" t="s">
        <v>714</v>
      </c>
      <c r="P217" t="s">
        <v>729</v>
      </c>
      <c r="Q217" t="str" cm="1">
        <f t="array" ref="Q217">_xlfn.IFS(U217&lt;=_xlfn.QUARTILE.INC($U$2:$U848,1),"Low",B217&lt;=_xlfn.QUARTILE.INC($U$2:$U$633,2),"Medium",TRUE,"High")</f>
        <v>Low</v>
      </c>
      <c r="R217" t="s">
        <v>949</v>
      </c>
      <c r="S217" s="4">
        <v>231.11</v>
      </c>
      <c r="T217">
        <v>318.17</v>
      </c>
      <c r="U217">
        <v>318.17</v>
      </c>
      <c r="V217" s="7">
        <v>0.20100000000000001</v>
      </c>
      <c r="W217" s="7">
        <v>0.20100000000000001</v>
      </c>
      <c r="X217" s="7" t="str">
        <f t="shared" si="14"/>
        <v>High discount</v>
      </c>
      <c r="Y217" s="9">
        <v>60</v>
      </c>
      <c r="Z217">
        <v>15253.069799999999</v>
      </c>
      <c r="AA217">
        <v>13866.6</v>
      </c>
      <c r="AB217">
        <v>1386.4697999999989</v>
      </c>
      <c r="AC217">
        <v>9.0897754889969692E-2</v>
      </c>
    </row>
    <row r="218" spans="1:29" x14ac:dyDescent="0.3">
      <c r="A218" t="s">
        <v>230</v>
      </c>
      <c r="B218" s="3">
        <v>45280</v>
      </c>
      <c r="C218" s="3" t="str">
        <v>Dec-2023</v>
      </c>
      <c r="D218" s="11" t="str">
        <f t="shared" si="12"/>
        <v>Q4-2023</v>
      </c>
      <c r="E218" s="3">
        <v>45305</v>
      </c>
      <c r="F218" s="3">
        <v>45280</v>
      </c>
      <c r="G218" s="4">
        <f t="shared" si="13"/>
        <v>25</v>
      </c>
      <c r="H218" s="4" t="str">
        <v>delayed</v>
      </c>
      <c r="I218" s="4">
        <f t="shared" si="15"/>
        <v>0</v>
      </c>
      <c r="J218" t="s">
        <v>647</v>
      </c>
      <c r="K218" t="s">
        <v>654</v>
      </c>
      <c r="L218" t="s">
        <v>691</v>
      </c>
      <c r="M218" t="s">
        <v>703</v>
      </c>
      <c r="N218" t="s">
        <v>709</v>
      </c>
      <c r="O218" t="s">
        <v>716</v>
      </c>
      <c r="P218" t="s">
        <v>732</v>
      </c>
      <c r="Q218" t="str" cm="1">
        <f t="array" ref="Q218">_xlfn.IFS(U218&lt;=_xlfn.QUARTILE.INC($U$2:$U849,1),"Low",B218&lt;=_xlfn.QUARTILE.INC($U$2:$U$633,2),"Medium",TRUE,"High")</f>
        <v>High</v>
      </c>
      <c r="R218" t="s">
        <v>950</v>
      </c>
      <c r="S218" s="4">
        <v>1085.6099999999999</v>
      </c>
      <c r="T218">
        <v>1246.4100000000001</v>
      </c>
      <c r="U218">
        <v>1246.4100000000001</v>
      </c>
      <c r="V218" s="7">
        <v>0.113</v>
      </c>
      <c r="W218" s="7">
        <v>0.113</v>
      </c>
      <c r="X218" s="7" t="str">
        <f t="shared" si="14"/>
        <v>okay</v>
      </c>
      <c r="Y218" s="9">
        <v>7</v>
      </c>
      <c r="Z218">
        <v>7738.9596900000006</v>
      </c>
      <c r="AA218">
        <v>7599.2699999999995</v>
      </c>
      <c r="AB218">
        <v>139.68969000000106</v>
      </c>
      <c r="AC218">
        <v>1.8050189637310417E-2</v>
      </c>
    </row>
    <row r="219" spans="1:29" x14ac:dyDescent="0.3">
      <c r="A219" t="s">
        <v>231</v>
      </c>
      <c r="B219" s="3">
        <v>44948</v>
      </c>
      <c r="C219" s="3" t="str">
        <v>Jan-2023</v>
      </c>
      <c r="D219" s="11" t="str">
        <f t="shared" si="12"/>
        <v>Q1-2023</v>
      </c>
      <c r="E219" s="3">
        <v>44947</v>
      </c>
      <c r="F219" s="3">
        <v>44955</v>
      </c>
      <c r="G219" s="4">
        <f t="shared" si="13"/>
        <v>-8</v>
      </c>
      <c r="H219" s="4" t="str">
        <v>ontime</v>
      </c>
      <c r="I219" s="4">
        <f t="shared" si="15"/>
        <v>1</v>
      </c>
      <c r="J219" t="s">
        <v>649</v>
      </c>
      <c r="K219" t="s">
        <v>656</v>
      </c>
      <c r="L219" t="s">
        <v>684</v>
      </c>
      <c r="M219" t="s">
        <v>701</v>
      </c>
      <c r="N219" t="s">
        <v>711</v>
      </c>
      <c r="O219" t="s">
        <v>721</v>
      </c>
      <c r="P219" t="s">
        <v>732</v>
      </c>
      <c r="Q219" t="str" cm="1">
        <f t="array" ref="Q219">_xlfn.IFS(U219&lt;=_xlfn.QUARTILE.INC($U$2:$U850,1),"Low",B219&lt;=_xlfn.QUARTILE.INC($U$2:$U$633,2),"Medium",TRUE,"High")</f>
        <v>Low</v>
      </c>
      <c r="R219" t="s">
        <v>951</v>
      </c>
      <c r="S219" s="4">
        <v>150.86000000000001</v>
      </c>
      <c r="T219">
        <v>346.96</v>
      </c>
      <c r="U219">
        <v>346.96</v>
      </c>
      <c r="V219" s="7">
        <v>0.19600000000000001</v>
      </c>
      <c r="W219" s="7">
        <v>0.19600000000000001</v>
      </c>
      <c r="X219" s="7" t="str">
        <f t="shared" si="14"/>
        <v>okay</v>
      </c>
      <c r="Y219" s="9">
        <v>8</v>
      </c>
      <c r="Z219">
        <v>2231.6467200000002</v>
      </c>
      <c r="AA219">
        <v>1206.8800000000001</v>
      </c>
      <c r="AB219">
        <v>1024.7667200000001</v>
      </c>
      <c r="AC219">
        <v>0.45919755614365343</v>
      </c>
    </row>
    <row r="220" spans="1:29" x14ac:dyDescent="0.3">
      <c r="A220" t="s">
        <v>232</v>
      </c>
      <c r="B220" s="3">
        <v>45576</v>
      </c>
      <c r="C220" s="3" t="str">
        <v>Oct-2024</v>
      </c>
      <c r="D220" s="11" t="str">
        <f t="shared" si="12"/>
        <v>Q4-2024</v>
      </c>
      <c r="E220" s="3">
        <v>45605</v>
      </c>
      <c r="F220" s="3">
        <v>45576</v>
      </c>
      <c r="G220" s="4">
        <f t="shared" si="13"/>
        <v>29</v>
      </c>
      <c r="H220" s="4" t="str">
        <v>delayed</v>
      </c>
      <c r="I220" s="4">
        <f t="shared" si="15"/>
        <v>0</v>
      </c>
      <c r="J220" t="s">
        <v>647</v>
      </c>
      <c r="K220" t="s">
        <v>659</v>
      </c>
      <c r="L220" t="s">
        <v>685</v>
      </c>
      <c r="M220" t="s">
        <v>703</v>
      </c>
      <c r="N220" t="s">
        <v>708</v>
      </c>
      <c r="O220" t="s">
        <v>721</v>
      </c>
      <c r="P220" t="s">
        <v>728</v>
      </c>
      <c r="Q220" t="str" cm="1">
        <f t="array" ref="Q220">_xlfn.IFS(U220&lt;=_xlfn.QUARTILE.INC($U$2:$U851,1),"Low",B220&lt;=_xlfn.QUARTILE.INC($U$2:$U$633,2),"Medium",TRUE,"High")</f>
        <v>Low</v>
      </c>
      <c r="R220" t="s">
        <v>952</v>
      </c>
      <c r="S220" s="4">
        <v>391.64</v>
      </c>
      <c r="T220">
        <v>504.76</v>
      </c>
      <c r="U220">
        <v>504.76</v>
      </c>
      <c r="V220" s="7">
        <v>4.0000000000000001E-3</v>
      </c>
      <c r="W220" s="7">
        <v>4.0000000000000001E-3</v>
      </c>
      <c r="X220" s="7" t="str">
        <f t="shared" si="14"/>
        <v>okay</v>
      </c>
      <c r="Y220" s="9">
        <v>13</v>
      </c>
      <c r="Z220">
        <v>6535.6324800000002</v>
      </c>
      <c r="AA220">
        <v>5091.32</v>
      </c>
      <c r="AB220">
        <v>1444.3124800000005</v>
      </c>
      <c r="AC220">
        <v>0.22099046793402319</v>
      </c>
    </row>
    <row r="221" spans="1:29" x14ac:dyDescent="0.3">
      <c r="A221" t="s">
        <v>233</v>
      </c>
      <c r="B221" s="3">
        <v>45554</v>
      </c>
      <c r="C221" s="3" t="str">
        <v>Sep-2024</v>
      </c>
      <c r="D221" s="11" t="str">
        <f t="shared" si="12"/>
        <v>Q3-2024</v>
      </c>
      <c r="E221" s="3">
        <v>45579</v>
      </c>
      <c r="F221" s="3">
        <v>45554</v>
      </c>
      <c r="G221" s="4">
        <f t="shared" si="13"/>
        <v>25</v>
      </c>
      <c r="H221" s="4" t="str">
        <v>delayed</v>
      </c>
      <c r="I221" s="4">
        <f t="shared" si="15"/>
        <v>0</v>
      </c>
      <c r="J221" t="s">
        <v>648</v>
      </c>
      <c r="K221" t="s">
        <v>655</v>
      </c>
      <c r="L221" t="s">
        <v>692</v>
      </c>
      <c r="M221" t="s">
        <v>705</v>
      </c>
      <c r="N221" t="s">
        <v>707</v>
      </c>
      <c r="O221" t="s">
        <v>723</v>
      </c>
      <c r="P221" t="s">
        <v>728</v>
      </c>
      <c r="Q221" t="str" cm="1">
        <f t="array" ref="Q221">_xlfn.IFS(U221&lt;=_xlfn.QUARTILE.INC($U$2:$U852,1),"Low",B221&lt;=_xlfn.QUARTILE.INC($U$2:$U$633,2),"Medium",TRUE,"High")</f>
        <v>High</v>
      </c>
      <c r="R221" t="s">
        <v>953</v>
      </c>
      <c r="S221" s="4">
        <v>386.96</v>
      </c>
      <c r="T221">
        <v>937.46</v>
      </c>
      <c r="U221">
        <v>937.46</v>
      </c>
      <c r="V221" s="7">
        <v>0.26600000000000001</v>
      </c>
      <c r="W221" s="7">
        <v>0.26600000000000001</v>
      </c>
      <c r="X221" s="7" t="str">
        <f t="shared" si="14"/>
        <v>High discount</v>
      </c>
      <c r="Y221" s="9">
        <v>41</v>
      </c>
      <c r="Z221">
        <v>28211.92124</v>
      </c>
      <c r="AA221">
        <v>15865.359999999999</v>
      </c>
      <c r="AB221">
        <v>12346.561240000001</v>
      </c>
      <c r="AC221">
        <v>0.43763631462626335</v>
      </c>
    </row>
    <row r="222" spans="1:29" x14ac:dyDescent="0.3">
      <c r="A222" t="s">
        <v>234</v>
      </c>
      <c r="B222" s="3">
        <v>45894</v>
      </c>
      <c r="C222" s="3" t="str">
        <v>Aug-2025</v>
      </c>
      <c r="D222" s="11" t="str">
        <f t="shared" si="12"/>
        <v>Q3-2025</v>
      </c>
      <c r="E222" s="3">
        <v>45924</v>
      </c>
      <c r="F222" s="3">
        <v>45894</v>
      </c>
      <c r="G222" s="4">
        <f t="shared" si="13"/>
        <v>30</v>
      </c>
      <c r="H222" s="4" t="str">
        <v>delayed</v>
      </c>
      <c r="I222" s="4">
        <f t="shared" si="15"/>
        <v>0</v>
      </c>
      <c r="J222" t="s">
        <v>646</v>
      </c>
      <c r="K222" t="s">
        <v>650</v>
      </c>
      <c r="L222" t="s">
        <v>664</v>
      </c>
      <c r="M222" t="s">
        <v>704</v>
      </c>
      <c r="N222" t="s">
        <v>711</v>
      </c>
      <c r="O222" t="s">
        <v>717</v>
      </c>
      <c r="P222" t="s">
        <v>727</v>
      </c>
      <c r="Q222" t="str" cm="1">
        <f t="array" ref="Q222">_xlfn.IFS(U222&lt;=_xlfn.QUARTILE.INC($U$2:$U853,1),"Low",B222&lt;=_xlfn.QUARTILE.INC($U$2:$U$633,2),"Medium",TRUE,"High")</f>
        <v>High</v>
      </c>
      <c r="R222" t="s">
        <v>954</v>
      </c>
      <c r="S222" s="4">
        <v>589.14</v>
      </c>
      <c r="T222">
        <v>1300.58</v>
      </c>
      <c r="U222">
        <v>1300.58</v>
      </c>
      <c r="V222" s="7">
        <v>5.5E-2</v>
      </c>
      <c r="W222" s="7">
        <v>5.5E-2</v>
      </c>
      <c r="X222" s="7" t="str">
        <f t="shared" si="14"/>
        <v>okay</v>
      </c>
      <c r="Y222" s="9">
        <v>11</v>
      </c>
      <c r="Z222">
        <v>13519.529099999998</v>
      </c>
      <c r="AA222">
        <v>6480.54</v>
      </c>
      <c r="AB222">
        <v>7038.989099999998</v>
      </c>
      <c r="AC222">
        <v>0.52065342275863724</v>
      </c>
    </row>
    <row r="223" spans="1:29" x14ac:dyDescent="0.3">
      <c r="A223" t="s">
        <v>235</v>
      </c>
      <c r="B223" s="3">
        <v>45194</v>
      </c>
      <c r="C223" s="3" t="str">
        <v>Sep-2023</v>
      </c>
      <c r="D223" s="11" t="str">
        <f t="shared" si="12"/>
        <v>Q3-2023</v>
      </c>
      <c r="E223" s="3">
        <v>45201</v>
      </c>
      <c r="F223" s="3">
        <v>45194</v>
      </c>
      <c r="G223" s="4">
        <f t="shared" si="13"/>
        <v>7</v>
      </c>
      <c r="H223" s="4" t="str">
        <v>ontime</v>
      </c>
      <c r="I223" s="4">
        <f t="shared" si="15"/>
        <v>1</v>
      </c>
      <c r="J223" t="s">
        <v>648</v>
      </c>
      <c r="K223" t="s">
        <v>660</v>
      </c>
      <c r="L223" t="s">
        <v>700</v>
      </c>
      <c r="M223" t="s">
        <v>702</v>
      </c>
      <c r="N223" t="s">
        <v>709</v>
      </c>
      <c r="O223" t="s">
        <v>714</v>
      </c>
      <c r="P223" t="s">
        <v>733</v>
      </c>
      <c r="Q223" t="str" cm="1">
        <f t="array" ref="Q223">_xlfn.IFS(U223&lt;=_xlfn.QUARTILE.INC($U$2:$U854,1),"Low",B223&lt;=_xlfn.QUARTILE.INC($U$2:$U$633,2),"Medium",TRUE,"High")</f>
        <v>Low</v>
      </c>
      <c r="R223" t="s">
        <v>955</v>
      </c>
      <c r="S223" s="4">
        <v>145.58000000000001</v>
      </c>
      <c r="T223">
        <v>228.15</v>
      </c>
      <c r="U223">
        <v>228.15</v>
      </c>
      <c r="V223" s="7">
        <v>0.20399999999999999</v>
      </c>
      <c r="W223" s="7">
        <v>0.20399999999999999</v>
      </c>
      <c r="X223" s="7" t="str">
        <f t="shared" si="14"/>
        <v>High discount</v>
      </c>
      <c r="Y223" s="9">
        <v>5</v>
      </c>
      <c r="Z223">
        <v>908.03700000000003</v>
      </c>
      <c r="AA223">
        <v>727.90000000000009</v>
      </c>
      <c r="AB223">
        <v>180.13699999999994</v>
      </c>
      <c r="AC223">
        <v>0.19838068272548359</v>
      </c>
    </row>
    <row r="224" spans="1:29" x14ac:dyDescent="0.3">
      <c r="A224" t="s">
        <v>236</v>
      </c>
      <c r="B224" s="3">
        <v>45164</v>
      </c>
      <c r="C224" s="3" t="str">
        <v>Aug-2023</v>
      </c>
      <c r="D224" s="11" t="str">
        <f t="shared" si="12"/>
        <v>Q3-2023</v>
      </c>
      <c r="E224" s="3">
        <v>45179</v>
      </c>
      <c r="F224" s="3">
        <v>45164</v>
      </c>
      <c r="G224" s="4">
        <f t="shared" si="13"/>
        <v>15</v>
      </c>
      <c r="H224" s="4" t="str">
        <v>delayed</v>
      </c>
      <c r="I224" s="4">
        <f t="shared" si="15"/>
        <v>0</v>
      </c>
      <c r="J224" t="s">
        <v>646</v>
      </c>
      <c r="K224" t="s">
        <v>661</v>
      </c>
      <c r="L224" t="s">
        <v>695</v>
      </c>
      <c r="M224" t="s">
        <v>703</v>
      </c>
      <c r="N224" t="s">
        <v>711</v>
      </c>
      <c r="O224" t="s">
        <v>725</v>
      </c>
      <c r="P224" t="s">
        <v>727</v>
      </c>
      <c r="Q224" t="str" cm="1">
        <f t="array" ref="Q224">_xlfn.IFS(U224&lt;=_xlfn.QUARTILE.INC($U$2:$U855,1),"Low",B224&lt;=_xlfn.QUARTILE.INC($U$2:$U$633,2),"Medium",TRUE,"High")</f>
        <v>Low</v>
      </c>
      <c r="R224" t="s">
        <v>956</v>
      </c>
      <c r="S224" s="4">
        <v>241.14</v>
      </c>
      <c r="T224">
        <v>496.52</v>
      </c>
      <c r="U224">
        <v>496.52</v>
      </c>
      <c r="V224" s="7">
        <v>9.2999999999999999E-2</v>
      </c>
      <c r="W224" s="7">
        <v>9.2999999999999999E-2</v>
      </c>
      <c r="X224" s="7" t="str">
        <f t="shared" si="14"/>
        <v>okay</v>
      </c>
      <c r="Y224" s="9">
        <v>10</v>
      </c>
      <c r="Z224">
        <v>4503.4363999999996</v>
      </c>
      <c r="AA224">
        <v>2411.3999999999996</v>
      </c>
      <c r="AB224">
        <v>2092.0364</v>
      </c>
      <c r="AC224">
        <v>0.46454223268257994</v>
      </c>
    </row>
    <row r="225" spans="1:29" x14ac:dyDescent="0.3">
      <c r="A225" t="s">
        <v>237</v>
      </c>
      <c r="B225" s="3">
        <v>45854</v>
      </c>
      <c r="C225" s="3" t="str">
        <v>Jul-2025</v>
      </c>
      <c r="D225" s="11" t="str">
        <f t="shared" si="12"/>
        <v>Q3-2025</v>
      </c>
      <c r="E225" s="3">
        <v>45855</v>
      </c>
      <c r="F225" s="3">
        <v>45854</v>
      </c>
      <c r="G225" s="4">
        <f t="shared" si="13"/>
        <v>1</v>
      </c>
      <c r="H225" s="4" t="str">
        <v>ontime</v>
      </c>
      <c r="I225" s="4">
        <f t="shared" si="15"/>
        <v>1</v>
      </c>
      <c r="J225" t="s">
        <v>646</v>
      </c>
      <c r="K225" t="s">
        <v>661</v>
      </c>
      <c r="L225" t="s">
        <v>687</v>
      </c>
      <c r="M225" t="s">
        <v>705</v>
      </c>
      <c r="N225" t="s">
        <v>710</v>
      </c>
      <c r="O225" t="s">
        <v>717</v>
      </c>
      <c r="P225" t="s">
        <v>729</v>
      </c>
      <c r="Q225" t="str" cm="1">
        <f t="array" ref="Q225">_xlfn.IFS(U225&lt;=_xlfn.QUARTILE.INC($U$2:$U856,1),"Low",B225&lt;=_xlfn.QUARTILE.INC($U$2:$U$633,2),"Medium",TRUE,"High")</f>
        <v>High</v>
      </c>
      <c r="R225" t="s">
        <v>957</v>
      </c>
      <c r="S225" s="4">
        <v>1198.9000000000001</v>
      </c>
      <c r="T225">
        <v>2941.2</v>
      </c>
      <c r="U225">
        <v>2941.2</v>
      </c>
      <c r="V225" s="7">
        <v>5.0999999999999997E-2</v>
      </c>
      <c r="W225" s="7">
        <v>5.0999999999999997E-2</v>
      </c>
      <c r="X225" s="7" t="str">
        <f t="shared" si="14"/>
        <v>okay</v>
      </c>
      <c r="Y225" s="9">
        <v>24</v>
      </c>
      <c r="Z225">
        <v>66988.771199999988</v>
      </c>
      <c r="AA225">
        <v>28773.600000000002</v>
      </c>
      <c r="AB225">
        <v>38215.171199999982</v>
      </c>
      <c r="AC225">
        <v>0.57047129713583977</v>
      </c>
    </row>
    <row r="226" spans="1:29" x14ac:dyDescent="0.3">
      <c r="A226" t="s">
        <v>238</v>
      </c>
      <c r="B226" s="3">
        <v>45035</v>
      </c>
      <c r="C226" s="3" t="str">
        <v>Apr-2023</v>
      </c>
      <c r="D226" s="11" t="str">
        <f t="shared" si="12"/>
        <v>Q2-2023</v>
      </c>
      <c r="E226" s="3">
        <v>45053</v>
      </c>
      <c r="F226" s="3">
        <v>45035</v>
      </c>
      <c r="G226" s="4">
        <f t="shared" si="13"/>
        <v>18</v>
      </c>
      <c r="H226" s="4" t="str">
        <v>delayed</v>
      </c>
      <c r="I226" s="4">
        <f t="shared" si="15"/>
        <v>0</v>
      </c>
      <c r="J226" t="s">
        <v>649</v>
      </c>
      <c r="K226" t="s">
        <v>658</v>
      </c>
      <c r="L226" t="s">
        <v>674</v>
      </c>
      <c r="M226" t="s">
        <v>706</v>
      </c>
      <c r="N226" t="s">
        <v>707</v>
      </c>
      <c r="O226" t="s">
        <v>725</v>
      </c>
      <c r="P226" t="s">
        <v>731</v>
      </c>
      <c r="Q226" t="str" cm="1">
        <f t="array" ref="Q226">_xlfn.IFS(U226&lt;=_xlfn.QUARTILE.INC($U$2:$U857,1),"Low",B226&lt;=_xlfn.QUARTILE.INC($U$2:$U$633,2),"Medium",TRUE,"High")</f>
        <v>High</v>
      </c>
      <c r="R226" t="s">
        <v>958</v>
      </c>
      <c r="S226" s="4">
        <v>1089.1500000000001</v>
      </c>
      <c r="T226">
        <v>1088.2</v>
      </c>
      <c r="U226">
        <v>1088.2</v>
      </c>
      <c r="V226" s="7">
        <v>5.0999999999999997E-2</v>
      </c>
      <c r="W226" s="7">
        <v>5.0999999999999997E-2</v>
      </c>
      <c r="X226" s="7" t="str">
        <f t="shared" si="14"/>
        <v>okay</v>
      </c>
      <c r="Y226" s="9">
        <v>15</v>
      </c>
      <c r="Z226">
        <v>15490.527</v>
      </c>
      <c r="AA226">
        <v>16337.250000000002</v>
      </c>
      <c r="AB226">
        <v>-846.72300000000178</v>
      </c>
      <c r="AC226">
        <v>-5.4660696824582002E-2</v>
      </c>
    </row>
    <row r="227" spans="1:29" x14ac:dyDescent="0.3">
      <c r="A227" t="s">
        <v>239</v>
      </c>
      <c r="B227" s="3">
        <v>45279</v>
      </c>
      <c r="C227" s="3" t="str">
        <v>Dec-2023</v>
      </c>
      <c r="D227" s="11" t="str">
        <f t="shared" si="12"/>
        <v>Q4-2023</v>
      </c>
      <c r="E227" s="3">
        <v>45280</v>
      </c>
      <c r="F227" s="3">
        <v>45279</v>
      </c>
      <c r="G227" s="4">
        <f t="shared" si="13"/>
        <v>1</v>
      </c>
      <c r="H227" s="4" t="str">
        <v>ontime</v>
      </c>
      <c r="I227" s="4">
        <f t="shared" si="15"/>
        <v>1</v>
      </c>
      <c r="J227" t="s">
        <v>648</v>
      </c>
      <c r="K227" t="s">
        <v>655</v>
      </c>
      <c r="L227" t="s">
        <v>692</v>
      </c>
      <c r="M227" t="s">
        <v>704</v>
      </c>
      <c r="N227" t="s">
        <v>710</v>
      </c>
      <c r="O227" t="s">
        <v>713</v>
      </c>
      <c r="P227" t="s">
        <v>730</v>
      </c>
      <c r="Q227" t="str" cm="1">
        <f t="array" ref="Q227">_xlfn.IFS(U227&lt;=_xlfn.QUARTILE.INC($U$2:$U858,1),"Low",B227&lt;=_xlfn.QUARTILE.INC($U$2:$U$633,2),"Medium",TRUE,"High")</f>
        <v>High</v>
      </c>
      <c r="R227" t="s">
        <v>959</v>
      </c>
      <c r="S227" s="4">
        <v>1080.43</v>
      </c>
      <c r="T227">
        <v>2529.15</v>
      </c>
      <c r="U227">
        <v>2529.15</v>
      </c>
      <c r="V227" s="7">
        <v>0.14699999999999999</v>
      </c>
      <c r="W227" s="7">
        <v>0.14699999999999999</v>
      </c>
      <c r="X227" s="7" t="str">
        <f t="shared" si="14"/>
        <v>okay</v>
      </c>
      <c r="Y227" s="9">
        <v>10</v>
      </c>
      <c r="Z227">
        <v>21573.6495</v>
      </c>
      <c r="AA227">
        <v>10804.300000000001</v>
      </c>
      <c r="AB227">
        <v>10769.349499999998</v>
      </c>
      <c r="AC227">
        <v>0.49918997247081437</v>
      </c>
    </row>
    <row r="228" spans="1:29" x14ac:dyDescent="0.3">
      <c r="A228" t="s">
        <v>240</v>
      </c>
      <c r="B228" s="3">
        <v>45137</v>
      </c>
      <c r="C228" s="3" t="str">
        <v>Jul-2023</v>
      </c>
      <c r="D228" s="11" t="str">
        <f t="shared" si="12"/>
        <v>Q3-2023</v>
      </c>
      <c r="E228" s="3">
        <v>45145</v>
      </c>
      <c r="F228" s="3">
        <v>45137</v>
      </c>
      <c r="G228" s="4">
        <f t="shared" si="13"/>
        <v>8</v>
      </c>
      <c r="H228" s="4" t="str">
        <v>delayed</v>
      </c>
      <c r="I228" s="4">
        <f t="shared" si="15"/>
        <v>0</v>
      </c>
      <c r="J228" t="s">
        <v>647</v>
      </c>
      <c r="K228" t="s">
        <v>652</v>
      </c>
      <c r="L228" t="s">
        <v>694</v>
      </c>
      <c r="M228" t="s">
        <v>702</v>
      </c>
      <c r="N228" t="s">
        <v>709</v>
      </c>
      <c r="O228" t="s">
        <v>720</v>
      </c>
      <c r="P228" t="s">
        <v>729</v>
      </c>
      <c r="Q228" t="str" cm="1">
        <f t="array" ref="Q228">_xlfn.IFS(U228&lt;=_xlfn.QUARTILE.INC($U$2:$U859,1),"Low",B228&lt;=_xlfn.QUARTILE.INC($U$2:$U$633,2),"Medium",TRUE,"High")</f>
        <v>High</v>
      </c>
      <c r="R228" t="s">
        <v>960</v>
      </c>
      <c r="S228" s="4">
        <v>1352.44</v>
      </c>
      <c r="T228">
        <v>2698.01</v>
      </c>
      <c r="U228">
        <v>2698.01</v>
      </c>
      <c r="V228" s="7">
        <v>0.13100000000000001</v>
      </c>
      <c r="W228" s="7">
        <v>0.13100000000000001</v>
      </c>
      <c r="X228" s="7" t="str">
        <f t="shared" si="14"/>
        <v>okay</v>
      </c>
      <c r="Y228" s="9">
        <v>13</v>
      </c>
      <c r="Z228">
        <v>30479.418970000002</v>
      </c>
      <c r="AA228">
        <v>17581.72</v>
      </c>
      <c r="AB228">
        <v>12897.698970000001</v>
      </c>
      <c r="AC228">
        <v>0.42316091992090887</v>
      </c>
    </row>
    <row r="229" spans="1:29" x14ac:dyDescent="0.3">
      <c r="A229" t="s">
        <v>241</v>
      </c>
      <c r="B229" s="3">
        <v>45203</v>
      </c>
      <c r="C229" s="3" t="str">
        <v>Oct-2023</v>
      </c>
      <c r="D229" s="11" t="str">
        <f t="shared" si="12"/>
        <v>Q4-2023</v>
      </c>
      <c r="E229" s="3">
        <v>45228</v>
      </c>
      <c r="F229" s="3">
        <v>45203</v>
      </c>
      <c r="G229" s="4">
        <f t="shared" si="13"/>
        <v>25</v>
      </c>
      <c r="H229" s="4" t="str">
        <v>delayed</v>
      </c>
      <c r="I229" s="4">
        <f t="shared" si="15"/>
        <v>0</v>
      </c>
      <c r="J229" t="s">
        <v>648</v>
      </c>
      <c r="K229" t="s">
        <v>660</v>
      </c>
      <c r="L229" t="s">
        <v>686</v>
      </c>
      <c r="M229" t="s">
        <v>705</v>
      </c>
      <c r="N229" t="s">
        <v>710</v>
      </c>
      <c r="O229" t="s">
        <v>719</v>
      </c>
      <c r="P229" t="s">
        <v>733</v>
      </c>
      <c r="Q229" t="str" cm="1">
        <f t="array" ref="Q229">_xlfn.IFS(U229&lt;=_xlfn.QUARTILE.INC($U$2:$U860,1),"Low",B229&lt;=_xlfn.QUARTILE.INC($U$2:$U$633,2),"Medium",TRUE,"High")</f>
        <v>High</v>
      </c>
      <c r="R229" t="s">
        <v>961</v>
      </c>
      <c r="S229" s="4">
        <v>1239.8399999999999</v>
      </c>
      <c r="T229">
        <v>1482.75</v>
      </c>
      <c r="U229">
        <v>1482.75</v>
      </c>
      <c r="V229" s="7">
        <v>6.7000000000000004E-2</v>
      </c>
      <c r="W229" s="7">
        <v>6.7000000000000004E-2</v>
      </c>
      <c r="X229" s="7" t="str">
        <f t="shared" si="14"/>
        <v>okay</v>
      </c>
      <c r="Y229" s="9">
        <v>4</v>
      </c>
      <c r="Z229">
        <v>5533.6230000000005</v>
      </c>
      <c r="AA229">
        <v>4959.3599999999997</v>
      </c>
      <c r="AB229">
        <v>574.26300000000083</v>
      </c>
      <c r="AC229">
        <v>0.10377703721413634</v>
      </c>
    </row>
    <row r="230" spans="1:29" x14ac:dyDescent="0.3">
      <c r="A230" t="s">
        <v>242</v>
      </c>
      <c r="B230" s="3">
        <v>45879</v>
      </c>
      <c r="C230" s="3" t="str">
        <v>Aug-2025</v>
      </c>
      <c r="D230" s="11" t="str">
        <f t="shared" si="12"/>
        <v>Q3-2025</v>
      </c>
      <c r="E230" s="3">
        <v>45899</v>
      </c>
      <c r="F230" s="3">
        <v>45879</v>
      </c>
      <c r="G230" s="4">
        <f t="shared" si="13"/>
        <v>20</v>
      </c>
      <c r="H230" s="4" t="str">
        <v>delayed</v>
      </c>
      <c r="I230" s="4">
        <f t="shared" si="15"/>
        <v>0</v>
      </c>
      <c r="J230" t="s">
        <v>648</v>
      </c>
      <c r="K230" t="s">
        <v>660</v>
      </c>
      <c r="L230" t="s">
        <v>686</v>
      </c>
      <c r="M230" t="s">
        <v>701</v>
      </c>
      <c r="N230" t="s">
        <v>709</v>
      </c>
      <c r="O230" t="s">
        <v>723</v>
      </c>
      <c r="P230" t="s">
        <v>728</v>
      </c>
      <c r="Q230" t="str" cm="1">
        <f t="array" ref="Q230">_xlfn.IFS(U230&lt;=_xlfn.QUARTILE.INC($U$2:$U861,1),"Low",B230&lt;=_xlfn.QUARTILE.INC($U$2:$U$633,2),"Medium",TRUE,"High")</f>
        <v>High</v>
      </c>
      <c r="R230" t="s">
        <v>962</v>
      </c>
      <c r="S230" s="4">
        <v>933.29</v>
      </c>
      <c r="T230">
        <v>1456.81</v>
      </c>
      <c r="U230">
        <v>1456.81</v>
      </c>
      <c r="V230" s="7">
        <v>0.123</v>
      </c>
      <c r="W230" s="7">
        <v>0.123</v>
      </c>
      <c r="X230" s="7" t="str">
        <f t="shared" si="14"/>
        <v>okay</v>
      </c>
      <c r="Y230" s="9">
        <v>13</v>
      </c>
      <c r="Z230">
        <v>16609.090809999998</v>
      </c>
      <c r="AA230">
        <v>12132.77</v>
      </c>
      <c r="AB230">
        <v>4476.3208099999974</v>
      </c>
      <c r="AC230">
        <v>0.26951028573489977</v>
      </c>
    </row>
    <row r="231" spans="1:29" x14ac:dyDescent="0.3">
      <c r="A231" t="s">
        <v>243</v>
      </c>
      <c r="B231" s="3">
        <v>44992</v>
      </c>
      <c r="C231" s="3" t="str">
        <v>Mar-2023</v>
      </c>
      <c r="D231" s="11" t="str">
        <f t="shared" si="12"/>
        <v>Q1-2023</v>
      </c>
      <c r="E231" s="3">
        <v>45017</v>
      </c>
      <c r="F231" s="3">
        <v>44992</v>
      </c>
      <c r="G231" s="4">
        <f t="shared" si="13"/>
        <v>25</v>
      </c>
      <c r="H231" s="4" t="str">
        <v>delayed</v>
      </c>
      <c r="I231" s="4">
        <f t="shared" si="15"/>
        <v>0</v>
      </c>
      <c r="J231" t="s">
        <v>646</v>
      </c>
      <c r="K231" t="s">
        <v>650</v>
      </c>
      <c r="L231" t="s">
        <v>664</v>
      </c>
      <c r="M231" t="s">
        <v>704</v>
      </c>
      <c r="N231" t="s">
        <v>709</v>
      </c>
      <c r="O231" t="s">
        <v>726</v>
      </c>
      <c r="P231" t="s">
        <v>728</v>
      </c>
      <c r="Q231" t="str" cm="1">
        <f t="array" ref="Q231">_xlfn.IFS(U231&lt;=_xlfn.QUARTILE.INC($U$2:$U862,1),"Low",B231&lt;=_xlfn.QUARTILE.INC($U$2:$U$633,2),"Medium",TRUE,"High")</f>
        <v>High</v>
      </c>
      <c r="R231" t="s">
        <v>963</v>
      </c>
      <c r="S231" s="4">
        <v>1024.0999999999999</v>
      </c>
      <c r="T231">
        <v>918.19</v>
      </c>
      <c r="U231">
        <v>918.19</v>
      </c>
      <c r="V231" s="7">
        <v>0.189</v>
      </c>
      <c r="W231" s="7">
        <v>0.189</v>
      </c>
      <c r="X231" s="7" t="str">
        <f t="shared" si="14"/>
        <v>okay</v>
      </c>
      <c r="Y231" s="9">
        <v>10</v>
      </c>
      <c r="Z231">
        <v>7446.5209000000004</v>
      </c>
      <c r="AA231">
        <v>10241</v>
      </c>
      <c r="AB231">
        <v>-2794.4790999999996</v>
      </c>
      <c r="AC231">
        <v>-0.37527311579827827</v>
      </c>
    </row>
    <row r="232" spans="1:29" x14ac:dyDescent="0.3">
      <c r="A232" t="s">
        <v>244</v>
      </c>
      <c r="B232" s="3">
        <v>45069</v>
      </c>
      <c r="C232" s="3" t="str">
        <v>May-2023</v>
      </c>
      <c r="D232" s="11" t="str">
        <f t="shared" si="12"/>
        <v>Q2-2023</v>
      </c>
      <c r="E232" s="3">
        <v>45087</v>
      </c>
      <c r="F232" s="3">
        <v>45069</v>
      </c>
      <c r="G232" s="4">
        <f t="shared" si="13"/>
        <v>18</v>
      </c>
      <c r="H232" s="4" t="str">
        <v>delayed</v>
      </c>
      <c r="I232" s="4">
        <f t="shared" si="15"/>
        <v>0</v>
      </c>
      <c r="J232" t="s">
        <v>647</v>
      </c>
      <c r="K232" t="s">
        <v>659</v>
      </c>
      <c r="L232" t="s">
        <v>685</v>
      </c>
      <c r="M232" t="s">
        <v>701</v>
      </c>
      <c r="N232" t="s">
        <v>710</v>
      </c>
      <c r="O232" t="s">
        <v>718</v>
      </c>
      <c r="P232" t="s">
        <v>727</v>
      </c>
      <c r="Q232" t="str" cm="1">
        <f t="array" ref="Q232">_xlfn.IFS(U232&lt;=_xlfn.QUARTILE.INC($U$2:$U863,1),"Low",B232&lt;=_xlfn.QUARTILE.INC($U$2:$U$633,2),"Medium",TRUE,"High")</f>
        <v>Low</v>
      </c>
      <c r="R232" t="s">
        <v>964</v>
      </c>
      <c r="S232" s="4">
        <v>54.62</v>
      </c>
      <c r="T232">
        <v>48.94</v>
      </c>
      <c r="U232">
        <v>48.94</v>
      </c>
      <c r="V232" s="7">
        <v>0.14799999999999999</v>
      </c>
      <c r="W232" s="7">
        <v>0.14799999999999999</v>
      </c>
      <c r="X232" s="7" t="str">
        <f t="shared" si="14"/>
        <v>okay</v>
      </c>
      <c r="Y232" s="9">
        <v>16</v>
      </c>
      <c r="Z232">
        <v>667.15008</v>
      </c>
      <c r="AA232">
        <v>873.92</v>
      </c>
      <c r="AB232">
        <v>-206.76991999999996</v>
      </c>
      <c r="AC232">
        <v>-0.3099301434543783</v>
      </c>
    </row>
    <row r="233" spans="1:29" x14ac:dyDescent="0.3">
      <c r="A233" t="s">
        <v>245</v>
      </c>
      <c r="B233" s="3">
        <v>45771</v>
      </c>
      <c r="C233" s="3" t="str">
        <v>Apr-2025</v>
      </c>
      <c r="D233" s="11" t="str">
        <f t="shared" si="12"/>
        <v>Q2-2025</v>
      </c>
      <c r="E233" s="3">
        <v>45783</v>
      </c>
      <c r="F233" s="3">
        <v>45771</v>
      </c>
      <c r="G233" s="4">
        <f t="shared" si="13"/>
        <v>12</v>
      </c>
      <c r="H233" s="4" t="str">
        <v>delayed</v>
      </c>
      <c r="I233" s="4">
        <f t="shared" si="15"/>
        <v>0</v>
      </c>
      <c r="J233" t="s">
        <v>648</v>
      </c>
      <c r="K233" t="s">
        <v>655</v>
      </c>
      <c r="L233" t="s">
        <v>672</v>
      </c>
      <c r="M233" t="s">
        <v>704</v>
      </c>
      <c r="N233" t="s">
        <v>708</v>
      </c>
      <c r="O233" t="s">
        <v>712</v>
      </c>
      <c r="P233" t="s">
        <v>730</v>
      </c>
      <c r="Q233" t="str" cm="1">
        <f t="array" ref="Q233">_xlfn.IFS(U233&lt;=_xlfn.QUARTILE.INC($U$2:$U864,1),"Low",B233&lt;=_xlfn.QUARTILE.INC($U$2:$U$633,2),"Medium",TRUE,"High")</f>
        <v>High</v>
      </c>
      <c r="R233" t="s">
        <v>965</v>
      </c>
      <c r="S233" s="4">
        <v>394.13</v>
      </c>
      <c r="T233">
        <v>932.29</v>
      </c>
      <c r="U233">
        <v>932.29</v>
      </c>
      <c r="V233" s="7">
        <v>0.109</v>
      </c>
      <c r="W233" s="7">
        <v>0.109</v>
      </c>
      <c r="X233" s="7" t="str">
        <f t="shared" si="14"/>
        <v>okay</v>
      </c>
      <c r="Y233" s="9">
        <v>7</v>
      </c>
      <c r="Z233">
        <v>5814.6927299999998</v>
      </c>
      <c r="AA233">
        <v>2758.91</v>
      </c>
      <c r="AB233">
        <v>3055.7827299999999</v>
      </c>
      <c r="AC233">
        <v>0.5255278089303268</v>
      </c>
    </row>
    <row r="234" spans="1:29" x14ac:dyDescent="0.3">
      <c r="A234" t="s">
        <v>246</v>
      </c>
      <c r="B234" s="3">
        <v>45538</v>
      </c>
      <c r="C234" s="3" t="str">
        <v>Sep-2024</v>
      </c>
      <c r="D234" s="11" t="str">
        <f t="shared" si="12"/>
        <v>Q3-2024</v>
      </c>
      <c r="E234" s="3">
        <v>45543</v>
      </c>
      <c r="F234" s="3">
        <v>45538</v>
      </c>
      <c r="G234" s="4">
        <f t="shared" si="13"/>
        <v>5</v>
      </c>
      <c r="H234" s="4" t="str">
        <v>ontime</v>
      </c>
      <c r="I234" s="4">
        <f t="shared" si="15"/>
        <v>1</v>
      </c>
      <c r="J234" t="s">
        <v>646</v>
      </c>
      <c r="K234" t="s">
        <v>651</v>
      </c>
      <c r="L234" t="s">
        <v>665</v>
      </c>
      <c r="M234" t="s">
        <v>705</v>
      </c>
      <c r="N234" t="s">
        <v>711</v>
      </c>
      <c r="O234" t="s">
        <v>723</v>
      </c>
      <c r="P234" t="s">
        <v>728</v>
      </c>
      <c r="Q234" t="str" cm="1">
        <f t="array" ref="Q234">_xlfn.IFS(U234&lt;=_xlfn.QUARTILE.INC($U$2:$U865,1),"Low",B234&lt;=_xlfn.QUARTILE.INC($U$2:$U$633,2),"Medium",TRUE,"High")</f>
        <v>Low</v>
      </c>
      <c r="R234" t="s">
        <v>966</v>
      </c>
      <c r="S234" s="4">
        <v>197.63</v>
      </c>
      <c r="T234">
        <v>325.79000000000002</v>
      </c>
      <c r="U234">
        <v>325.79000000000002</v>
      </c>
      <c r="V234" s="7">
        <v>0.11600000000000001</v>
      </c>
      <c r="W234" s="7">
        <v>0.11600000000000001</v>
      </c>
      <c r="X234" s="7" t="str">
        <f t="shared" si="14"/>
        <v>okay</v>
      </c>
      <c r="Y234" s="9">
        <v>10</v>
      </c>
      <c r="Z234">
        <v>2879.9836</v>
      </c>
      <c r="AA234">
        <v>1976.3</v>
      </c>
      <c r="AB234">
        <v>903.68360000000007</v>
      </c>
      <c r="AC234">
        <v>0.31378081458519419</v>
      </c>
    </row>
    <row r="235" spans="1:29" x14ac:dyDescent="0.3">
      <c r="A235" t="s">
        <v>247</v>
      </c>
      <c r="B235" s="3">
        <v>45540</v>
      </c>
      <c r="C235" s="3" t="str">
        <v>Sep-2024</v>
      </c>
      <c r="D235" s="11" t="str">
        <f t="shared" si="12"/>
        <v>Q3-2024</v>
      </c>
      <c r="E235" s="3">
        <v>45560</v>
      </c>
      <c r="F235" s="3">
        <v>45540</v>
      </c>
      <c r="G235" s="4">
        <f t="shared" si="13"/>
        <v>20</v>
      </c>
      <c r="H235" s="4" t="str">
        <v>delayed</v>
      </c>
      <c r="I235" s="4">
        <f t="shared" si="15"/>
        <v>0</v>
      </c>
      <c r="J235" t="s">
        <v>647</v>
      </c>
      <c r="K235" t="s">
        <v>652</v>
      </c>
      <c r="L235" t="s">
        <v>666</v>
      </c>
      <c r="M235" t="s">
        <v>706</v>
      </c>
      <c r="N235" t="s">
        <v>710</v>
      </c>
      <c r="O235" t="s">
        <v>726</v>
      </c>
      <c r="P235" t="s">
        <v>732</v>
      </c>
      <c r="Q235" t="str" cm="1">
        <f t="array" ref="Q235">_xlfn.IFS(U235&lt;=_xlfn.QUARTILE.INC($U$2:$U866,1),"Low",B235&lt;=_xlfn.QUARTILE.INC($U$2:$U$633,2),"Medium",TRUE,"High")</f>
        <v>Low</v>
      </c>
      <c r="R235" t="s">
        <v>967</v>
      </c>
      <c r="S235" s="4">
        <v>195.54</v>
      </c>
      <c r="T235">
        <v>405.97</v>
      </c>
      <c r="U235">
        <v>405.97</v>
      </c>
      <c r="V235" s="7">
        <v>0.187</v>
      </c>
      <c r="W235" s="7">
        <v>0.187</v>
      </c>
      <c r="X235" s="7" t="str">
        <f t="shared" si="14"/>
        <v>okay</v>
      </c>
      <c r="Y235" s="9">
        <v>16</v>
      </c>
      <c r="Z235">
        <v>5280.8577599999999</v>
      </c>
      <c r="AA235">
        <v>3128.64</v>
      </c>
      <c r="AB235">
        <v>2152.21776</v>
      </c>
      <c r="AC235">
        <v>0.40755079152141377</v>
      </c>
    </row>
    <row r="236" spans="1:29" x14ac:dyDescent="0.3">
      <c r="A236" t="s">
        <v>248</v>
      </c>
      <c r="B236" s="3">
        <v>44999</v>
      </c>
      <c r="C236" s="3" t="str">
        <v>Mar-2023</v>
      </c>
      <c r="D236" s="11" t="str">
        <f t="shared" si="12"/>
        <v>Q1-2023</v>
      </c>
      <c r="E236" s="3">
        <v>45015</v>
      </c>
      <c r="F236" s="3">
        <v>44999</v>
      </c>
      <c r="G236" s="4">
        <f t="shared" si="13"/>
        <v>16</v>
      </c>
      <c r="H236" s="4" t="str">
        <v>delayed</v>
      </c>
      <c r="I236" s="4">
        <f t="shared" si="15"/>
        <v>0</v>
      </c>
      <c r="J236" t="s">
        <v>646</v>
      </c>
      <c r="K236" t="s">
        <v>661</v>
      </c>
      <c r="L236" t="s">
        <v>695</v>
      </c>
      <c r="M236" t="s">
        <v>704</v>
      </c>
      <c r="N236" t="s">
        <v>710</v>
      </c>
      <c r="O236" t="s">
        <v>723</v>
      </c>
      <c r="P236" t="s">
        <v>727</v>
      </c>
      <c r="Q236" t="str" cm="1">
        <f t="array" ref="Q236">_xlfn.IFS(U236&lt;=_xlfn.QUARTILE.INC($U$2:$U867,1),"Low",B236&lt;=_xlfn.QUARTILE.INC($U$2:$U$633,2),"Medium",TRUE,"High")</f>
        <v>High</v>
      </c>
      <c r="R236" t="s">
        <v>968</v>
      </c>
      <c r="S236" s="4">
        <v>1309.77</v>
      </c>
      <c r="T236">
        <v>1589.07</v>
      </c>
      <c r="U236">
        <v>1589.07</v>
      </c>
      <c r="V236" s="7">
        <v>0.10199999999999999</v>
      </c>
      <c r="W236" s="7">
        <v>0.10199999999999999</v>
      </c>
      <c r="X236" s="7" t="str">
        <f t="shared" si="14"/>
        <v>okay</v>
      </c>
      <c r="Y236" s="9">
        <v>10</v>
      </c>
      <c r="Z236">
        <v>14269.848599999999</v>
      </c>
      <c r="AA236">
        <v>13097.7</v>
      </c>
      <c r="AB236">
        <v>1172.1485999999986</v>
      </c>
      <c r="AC236">
        <v>8.2141628328137886E-2</v>
      </c>
    </row>
    <row r="237" spans="1:29" x14ac:dyDescent="0.3">
      <c r="A237" t="s">
        <v>249</v>
      </c>
      <c r="B237" s="3">
        <v>45302</v>
      </c>
      <c r="C237" s="3" t="str">
        <v>Jan-2024</v>
      </c>
      <c r="D237" s="11" t="str">
        <f t="shared" si="12"/>
        <v>Q1-2024</v>
      </c>
      <c r="E237" s="3">
        <v>45324</v>
      </c>
      <c r="F237" s="3">
        <v>45302</v>
      </c>
      <c r="G237" s="4">
        <f t="shared" si="13"/>
        <v>22</v>
      </c>
      <c r="H237" s="4" t="str">
        <v>delayed</v>
      </c>
      <c r="I237" s="4">
        <f t="shared" si="15"/>
        <v>0</v>
      </c>
      <c r="J237" t="s">
        <v>647</v>
      </c>
      <c r="K237" t="s">
        <v>652</v>
      </c>
      <c r="L237" t="s">
        <v>694</v>
      </c>
      <c r="M237" t="s">
        <v>705</v>
      </c>
      <c r="N237" t="s">
        <v>708</v>
      </c>
      <c r="O237" t="s">
        <v>1421</v>
      </c>
      <c r="P237" t="s">
        <v>728</v>
      </c>
      <c r="Q237" t="str" cm="1">
        <f t="array" ref="Q237">_xlfn.IFS(U237&lt;=_xlfn.QUARTILE.INC($U$2:$U868,1),"Low",B237&lt;=_xlfn.QUARTILE.INC($U$2:$U$633,2),"Medium",TRUE,"High")</f>
        <v>High</v>
      </c>
      <c r="R237" t="s">
        <v>969</v>
      </c>
      <c r="S237" s="4">
        <v>1237.68</v>
      </c>
      <c r="T237">
        <v>1432.8</v>
      </c>
      <c r="U237">
        <v>1432.8</v>
      </c>
      <c r="V237" s="7">
        <v>6.8000000000000005E-2</v>
      </c>
      <c r="W237" s="7">
        <v>6.8000000000000005E-2</v>
      </c>
      <c r="X237" s="7" t="str">
        <f t="shared" si="14"/>
        <v>okay</v>
      </c>
      <c r="Y237" s="9">
        <v>13</v>
      </c>
      <c r="Z237">
        <v>17359.804799999998</v>
      </c>
      <c r="AA237">
        <v>16089.84</v>
      </c>
      <c r="AB237">
        <v>1269.9647999999979</v>
      </c>
      <c r="AC237">
        <v>7.315547695559331E-2</v>
      </c>
    </row>
    <row r="238" spans="1:29" x14ac:dyDescent="0.3">
      <c r="A238" t="s">
        <v>250</v>
      </c>
      <c r="B238" s="3">
        <v>45548</v>
      </c>
      <c r="C238" s="3" t="str">
        <v>Sep-2024</v>
      </c>
      <c r="D238" s="11" t="str">
        <f t="shared" si="12"/>
        <v>Q3-2024</v>
      </c>
      <c r="E238" s="3">
        <v>45567</v>
      </c>
      <c r="F238" s="3">
        <v>45548</v>
      </c>
      <c r="G238" s="4">
        <f t="shared" si="13"/>
        <v>19</v>
      </c>
      <c r="H238" s="4" t="str">
        <v>delayed</v>
      </c>
      <c r="I238" s="4">
        <f t="shared" si="15"/>
        <v>0</v>
      </c>
      <c r="J238" t="s">
        <v>646</v>
      </c>
      <c r="K238" t="s">
        <v>650</v>
      </c>
      <c r="L238" t="s">
        <v>675</v>
      </c>
      <c r="M238" t="s">
        <v>705</v>
      </c>
      <c r="N238" t="s">
        <v>707</v>
      </c>
      <c r="O238" t="s">
        <v>724</v>
      </c>
      <c r="P238" t="s">
        <v>730</v>
      </c>
      <c r="Q238" t="str" cm="1">
        <f t="array" ref="Q238">_xlfn.IFS(U238&lt;=_xlfn.QUARTILE.INC($U$2:$U869,1),"Low",B238&lt;=_xlfn.QUARTILE.INC($U$2:$U$633,2),"Medium",TRUE,"High")</f>
        <v>High</v>
      </c>
      <c r="R238" t="s">
        <v>970</v>
      </c>
      <c r="S238" s="4">
        <v>1338.99</v>
      </c>
      <c r="T238">
        <v>1765.76</v>
      </c>
      <c r="U238">
        <v>1765.76</v>
      </c>
      <c r="V238" s="7">
        <v>0.126</v>
      </c>
      <c r="W238" s="7">
        <v>0.126</v>
      </c>
      <c r="X238" s="7" t="str">
        <f t="shared" si="14"/>
        <v>okay</v>
      </c>
      <c r="Y238" s="9">
        <v>24</v>
      </c>
      <c r="Z238">
        <v>37038.581760000001</v>
      </c>
      <c r="AA238">
        <v>32135.760000000002</v>
      </c>
      <c r="AB238">
        <v>4902.8217599999989</v>
      </c>
      <c r="AC238">
        <v>0.1323706666677725</v>
      </c>
    </row>
    <row r="239" spans="1:29" x14ac:dyDescent="0.3">
      <c r="A239" t="s">
        <v>251</v>
      </c>
      <c r="B239" s="3">
        <v>45855</v>
      </c>
      <c r="C239" s="3" t="str">
        <v>Jul-2025</v>
      </c>
      <c r="D239" s="11" t="str">
        <f t="shared" si="12"/>
        <v>Q3-2025</v>
      </c>
      <c r="E239" s="3">
        <v>45861</v>
      </c>
      <c r="F239" s="3">
        <v>45855</v>
      </c>
      <c r="G239" s="4">
        <f t="shared" si="13"/>
        <v>6</v>
      </c>
      <c r="H239" s="4" t="str">
        <v>ontime</v>
      </c>
      <c r="I239" s="4">
        <f t="shared" si="15"/>
        <v>1</v>
      </c>
      <c r="J239" t="s">
        <v>648</v>
      </c>
      <c r="K239" t="s">
        <v>653</v>
      </c>
      <c r="L239" t="s">
        <v>688</v>
      </c>
      <c r="M239" t="s">
        <v>704</v>
      </c>
      <c r="N239" t="s">
        <v>708</v>
      </c>
      <c r="O239" t="s">
        <v>722</v>
      </c>
      <c r="P239" t="s">
        <v>727</v>
      </c>
      <c r="Q239" t="str" cm="1">
        <f t="array" ref="Q239">_xlfn.IFS(U239&lt;=_xlfn.QUARTILE.INC($U$2:$U870,1),"Low",B239&lt;=_xlfn.QUARTILE.INC($U$2:$U$633,2),"Medium",TRUE,"High")</f>
        <v>High</v>
      </c>
      <c r="R239" t="s">
        <v>971</v>
      </c>
      <c r="S239" s="4">
        <v>1364.89</v>
      </c>
      <c r="T239">
        <v>2757.54</v>
      </c>
      <c r="U239">
        <v>2757.54</v>
      </c>
      <c r="V239" s="7">
        <v>0.17199999999999999</v>
      </c>
      <c r="W239" s="7">
        <v>0.17199999999999999</v>
      </c>
      <c r="X239" s="7" t="str">
        <f t="shared" si="14"/>
        <v>okay</v>
      </c>
      <c r="Y239" s="9">
        <v>61</v>
      </c>
      <c r="Z239">
        <v>139277.83032000001</v>
      </c>
      <c r="AA239">
        <v>83258.290000000008</v>
      </c>
      <c r="AB239">
        <v>56019.54032</v>
      </c>
      <c r="AC239">
        <v>0.4022143379983118</v>
      </c>
    </row>
    <row r="240" spans="1:29" x14ac:dyDescent="0.3">
      <c r="A240" t="s">
        <v>252</v>
      </c>
      <c r="B240" s="3">
        <v>45258</v>
      </c>
      <c r="C240" s="3" t="str">
        <v>Nov-2023</v>
      </c>
      <c r="D240" s="11" t="str">
        <f t="shared" si="12"/>
        <v>Q4-2023</v>
      </c>
      <c r="E240" s="3">
        <v>45267</v>
      </c>
      <c r="F240" s="3">
        <v>45258</v>
      </c>
      <c r="G240" s="4">
        <f t="shared" si="13"/>
        <v>9</v>
      </c>
      <c r="H240" s="4" t="str">
        <v>delayed</v>
      </c>
      <c r="I240" s="4">
        <f t="shared" si="15"/>
        <v>0</v>
      </c>
      <c r="J240" t="s">
        <v>647</v>
      </c>
      <c r="K240" t="s">
        <v>654</v>
      </c>
      <c r="L240" t="s">
        <v>680</v>
      </c>
      <c r="M240" t="s">
        <v>706</v>
      </c>
      <c r="N240" t="s">
        <v>709</v>
      </c>
      <c r="O240" t="s">
        <v>716</v>
      </c>
      <c r="P240" t="s">
        <v>730</v>
      </c>
      <c r="Q240" t="str" cm="1">
        <f t="array" ref="Q240">_xlfn.IFS(U240&lt;=_xlfn.QUARTILE.INC($U$2:$U871,1),"Low",B240&lt;=_xlfn.QUARTILE.INC($U$2:$U$633,2),"Medium",TRUE,"High")</f>
        <v>High</v>
      </c>
      <c r="R240" t="s">
        <v>972</v>
      </c>
      <c r="S240" s="4">
        <v>699.33</v>
      </c>
      <c r="T240">
        <v>873.75</v>
      </c>
      <c r="U240">
        <v>873.75</v>
      </c>
      <c r="V240" s="7">
        <v>0.23499999999999999</v>
      </c>
      <c r="W240" s="7">
        <v>0.23499999999999999</v>
      </c>
      <c r="X240" s="7" t="str">
        <f t="shared" si="14"/>
        <v>High discount</v>
      </c>
      <c r="Y240" s="9">
        <v>10</v>
      </c>
      <c r="Z240">
        <v>6684.1875</v>
      </c>
      <c r="AA240">
        <v>6993.3</v>
      </c>
      <c r="AB240">
        <v>-309.11250000000018</v>
      </c>
      <c r="AC240">
        <v>-4.6245336475076469E-2</v>
      </c>
    </row>
    <row r="241" spans="1:29" x14ac:dyDescent="0.3">
      <c r="A241" t="s">
        <v>253</v>
      </c>
      <c r="B241" s="3">
        <v>45381</v>
      </c>
      <c r="C241" s="3" t="str">
        <v>Mar-2024</v>
      </c>
      <c r="D241" s="11" t="str">
        <f t="shared" si="12"/>
        <v>Q1-2024</v>
      </c>
      <c r="E241" s="3">
        <v>45406</v>
      </c>
      <c r="F241" s="3">
        <v>45381</v>
      </c>
      <c r="G241" s="4">
        <f t="shared" si="13"/>
        <v>25</v>
      </c>
      <c r="H241" s="4" t="str">
        <v>delayed</v>
      </c>
      <c r="I241" s="4">
        <f t="shared" si="15"/>
        <v>0</v>
      </c>
      <c r="J241" t="s">
        <v>648</v>
      </c>
      <c r="K241" t="s">
        <v>660</v>
      </c>
      <c r="L241" t="s">
        <v>697</v>
      </c>
      <c r="M241" t="s">
        <v>703</v>
      </c>
      <c r="N241" t="s">
        <v>708</v>
      </c>
      <c r="O241" t="s">
        <v>715</v>
      </c>
      <c r="P241" t="s">
        <v>731</v>
      </c>
      <c r="Q241" t="str" cm="1">
        <f t="array" ref="Q241">_xlfn.IFS(U241&lt;=_xlfn.QUARTILE.INC($U$2:$U872,1),"Low",B241&lt;=_xlfn.QUARTILE.INC($U$2:$U$633,2),"Medium",TRUE,"High")</f>
        <v>Low</v>
      </c>
      <c r="R241" t="s">
        <v>973</v>
      </c>
      <c r="S241" s="4">
        <v>160.82</v>
      </c>
      <c r="T241">
        <v>258.52</v>
      </c>
      <c r="U241">
        <v>258.52</v>
      </c>
      <c r="V241" s="7">
        <v>0.13</v>
      </c>
      <c r="W241" s="7">
        <v>0.13</v>
      </c>
      <c r="X241" s="7" t="str">
        <f t="shared" si="14"/>
        <v>okay</v>
      </c>
      <c r="Y241" s="9">
        <v>17</v>
      </c>
      <c r="Z241">
        <v>3823.5108</v>
      </c>
      <c r="AA241">
        <v>2733.94</v>
      </c>
      <c r="AB241">
        <v>1089.5708</v>
      </c>
      <c r="AC241">
        <v>0.28496605789631874</v>
      </c>
    </row>
    <row r="242" spans="1:29" x14ac:dyDescent="0.3">
      <c r="A242" t="s">
        <v>254</v>
      </c>
      <c r="B242" s="3">
        <v>45188</v>
      </c>
      <c r="C242" s="3" t="str">
        <v>Sep-2023</v>
      </c>
      <c r="D242" s="11" t="str">
        <f t="shared" si="12"/>
        <v>Q3-2023</v>
      </c>
      <c r="E242" s="3">
        <v>45207</v>
      </c>
      <c r="F242" s="3">
        <v>45188</v>
      </c>
      <c r="G242" s="4">
        <f t="shared" si="13"/>
        <v>19</v>
      </c>
      <c r="H242" s="4" t="str">
        <v>delayed</v>
      </c>
      <c r="I242" s="4">
        <f t="shared" si="15"/>
        <v>0</v>
      </c>
      <c r="J242" t="s">
        <v>647</v>
      </c>
      <c r="K242" t="s">
        <v>654</v>
      </c>
      <c r="L242" t="s">
        <v>668</v>
      </c>
      <c r="M242" t="s">
        <v>702</v>
      </c>
      <c r="N242" t="s">
        <v>711</v>
      </c>
      <c r="O242" t="s">
        <v>713</v>
      </c>
      <c r="P242" t="s">
        <v>728</v>
      </c>
      <c r="Q242" t="str" cm="1">
        <f t="array" ref="Q242">_xlfn.IFS(U242&lt;=_xlfn.QUARTILE.INC($U$2:$U873,1),"Low",B242&lt;=_xlfn.QUARTILE.INC($U$2:$U$633,2),"Medium",TRUE,"High")</f>
        <v>Low</v>
      </c>
      <c r="R242" t="s">
        <v>974</v>
      </c>
      <c r="S242" s="4">
        <v>385.32</v>
      </c>
      <c r="T242">
        <v>606.76</v>
      </c>
      <c r="U242">
        <v>606.76</v>
      </c>
      <c r="V242" s="7">
        <v>8.5999999999999993E-2</v>
      </c>
      <c r="W242" s="7">
        <v>8.5999999999999993E-2</v>
      </c>
      <c r="X242" s="7" t="str">
        <f t="shared" si="14"/>
        <v>okay</v>
      </c>
      <c r="Y242" s="9">
        <v>8</v>
      </c>
      <c r="Z242">
        <v>4436.6291200000005</v>
      </c>
      <c r="AA242">
        <v>3082.56</v>
      </c>
      <c r="AB242">
        <v>1354.0691200000006</v>
      </c>
      <c r="AC242">
        <v>0.30520223425842735</v>
      </c>
    </row>
    <row r="243" spans="1:29" x14ac:dyDescent="0.3">
      <c r="A243" t="s">
        <v>255</v>
      </c>
      <c r="B243" s="3">
        <v>45793</v>
      </c>
      <c r="C243" s="3" t="str">
        <v>May-2025</v>
      </c>
      <c r="D243" s="11" t="str">
        <f t="shared" si="12"/>
        <v>Q2-2025</v>
      </c>
      <c r="E243" s="3">
        <v>45804</v>
      </c>
      <c r="F243" s="3">
        <v>45793</v>
      </c>
      <c r="G243" s="4">
        <f t="shared" si="13"/>
        <v>11</v>
      </c>
      <c r="H243" s="4" t="str">
        <v>delayed</v>
      </c>
      <c r="I243" s="4">
        <f t="shared" si="15"/>
        <v>0</v>
      </c>
      <c r="J243" t="s">
        <v>647</v>
      </c>
      <c r="K243" t="s">
        <v>659</v>
      </c>
      <c r="L243" t="s">
        <v>699</v>
      </c>
      <c r="M243" t="s">
        <v>706</v>
      </c>
      <c r="N243" t="s">
        <v>708</v>
      </c>
      <c r="O243" t="s">
        <v>721</v>
      </c>
      <c r="P243" t="s">
        <v>730</v>
      </c>
      <c r="Q243" t="str" cm="1">
        <f t="array" ref="Q243">_xlfn.IFS(U243&lt;=_xlfn.QUARTILE.INC($U$2:$U874,1),"Low",B243&lt;=_xlfn.QUARTILE.INC($U$2:$U$633,2),"Medium",TRUE,"High")</f>
        <v>High</v>
      </c>
      <c r="R243" t="s">
        <v>975</v>
      </c>
      <c r="S243" s="4">
        <v>918.12</v>
      </c>
      <c r="T243">
        <v>1337.69</v>
      </c>
      <c r="U243">
        <v>1337.69</v>
      </c>
      <c r="V243" s="7">
        <v>9.5000000000000001E-2</v>
      </c>
      <c r="W243" s="7">
        <v>9.5000000000000001E-2</v>
      </c>
      <c r="X243" s="7" t="str">
        <f t="shared" si="14"/>
        <v>okay</v>
      </c>
      <c r="Y243" s="9">
        <v>8</v>
      </c>
      <c r="Z243">
        <v>9684.8756000000012</v>
      </c>
      <c r="AA243">
        <v>7344.96</v>
      </c>
      <c r="AB243">
        <v>2339.9156000000012</v>
      </c>
      <c r="AC243">
        <v>0.24160512707050164</v>
      </c>
    </row>
    <row r="244" spans="1:29" x14ac:dyDescent="0.3">
      <c r="A244" t="s">
        <v>256</v>
      </c>
      <c r="B244" s="3">
        <v>45871</v>
      </c>
      <c r="C244" s="3" t="str">
        <v>Aug-2025</v>
      </c>
      <c r="D244" s="11" t="str">
        <f t="shared" si="12"/>
        <v>Q3-2025</v>
      </c>
      <c r="E244" s="3">
        <v>45877</v>
      </c>
      <c r="F244" s="3">
        <v>45871</v>
      </c>
      <c r="G244" s="4">
        <f t="shared" si="13"/>
        <v>6</v>
      </c>
      <c r="H244" s="4" t="str">
        <v>ontime</v>
      </c>
      <c r="I244" s="4">
        <f t="shared" si="15"/>
        <v>1</v>
      </c>
      <c r="J244" t="s">
        <v>647</v>
      </c>
      <c r="K244" t="s">
        <v>652</v>
      </c>
      <c r="L244" t="s">
        <v>666</v>
      </c>
      <c r="M244" t="s">
        <v>704</v>
      </c>
      <c r="N244" t="s">
        <v>711</v>
      </c>
      <c r="O244" t="s">
        <v>725</v>
      </c>
      <c r="P244" t="s">
        <v>731</v>
      </c>
      <c r="Q244" t="str" cm="1">
        <f t="array" ref="Q244">_xlfn.IFS(U244&lt;=_xlfn.QUARTILE.INC($U$2:$U875,1),"Low",B244&lt;=_xlfn.QUARTILE.INC($U$2:$U$633,2),"Medium",TRUE,"High")</f>
        <v>High</v>
      </c>
      <c r="R244" t="s">
        <v>976</v>
      </c>
      <c r="S244" s="4">
        <v>1225.94</v>
      </c>
      <c r="T244">
        <v>1793.08</v>
      </c>
      <c r="U244">
        <v>1793.08</v>
      </c>
      <c r="V244" s="7">
        <v>0.13600000000000001</v>
      </c>
      <c r="W244" s="7">
        <v>0.13600000000000001</v>
      </c>
      <c r="X244" s="7" t="str">
        <f t="shared" si="14"/>
        <v>okay</v>
      </c>
      <c r="Y244" s="9">
        <v>22</v>
      </c>
      <c r="Z244">
        <v>34082.864639999993</v>
      </c>
      <c r="AA244">
        <v>26970.68</v>
      </c>
      <c r="AB244">
        <v>7112.1846399999922</v>
      </c>
      <c r="AC244">
        <v>0.20867332353434462</v>
      </c>
    </row>
    <row r="245" spans="1:29" x14ac:dyDescent="0.3">
      <c r="A245" t="s">
        <v>257</v>
      </c>
      <c r="B245" s="3">
        <v>45630</v>
      </c>
      <c r="C245" s="3" t="str">
        <v>Dec-2024</v>
      </c>
      <c r="D245" s="11" t="str">
        <f t="shared" si="12"/>
        <v>Q4-2024</v>
      </c>
      <c r="E245" s="3">
        <v>45638</v>
      </c>
      <c r="F245" s="3">
        <v>45630</v>
      </c>
      <c r="G245" s="4">
        <f t="shared" si="13"/>
        <v>8</v>
      </c>
      <c r="H245" s="4" t="str">
        <v>delayed</v>
      </c>
      <c r="I245" s="4">
        <f t="shared" si="15"/>
        <v>0</v>
      </c>
      <c r="J245" t="s">
        <v>649</v>
      </c>
      <c r="K245" t="s">
        <v>656</v>
      </c>
      <c r="L245" t="s">
        <v>698</v>
      </c>
      <c r="M245" t="s">
        <v>706</v>
      </c>
      <c r="N245" t="s">
        <v>709</v>
      </c>
      <c r="O245" t="s">
        <v>717</v>
      </c>
      <c r="P245" t="s">
        <v>728</v>
      </c>
      <c r="Q245" t="str" cm="1">
        <f t="array" ref="Q245">_xlfn.IFS(U245&lt;=_xlfn.QUARTILE.INC($U$2:$U876,1),"Low",B245&lt;=_xlfn.QUARTILE.INC($U$2:$U$633,2),"Medium",TRUE,"High")</f>
        <v>Low</v>
      </c>
      <c r="R245" t="s">
        <v>977</v>
      </c>
      <c r="S245" s="4">
        <v>72.06</v>
      </c>
      <c r="T245">
        <v>122.74</v>
      </c>
      <c r="U245">
        <v>122.74</v>
      </c>
      <c r="V245" s="7">
        <v>0.23799999999999999</v>
      </c>
      <c r="W245" s="7">
        <v>0.23799999999999999</v>
      </c>
      <c r="X245" s="7" t="str">
        <f t="shared" si="14"/>
        <v>High discount</v>
      </c>
      <c r="Y245" s="9">
        <v>8</v>
      </c>
      <c r="Z245">
        <v>748.22303999999997</v>
      </c>
      <c r="AA245">
        <v>576.48</v>
      </c>
      <c r="AB245">
        <v>171.74303999999995</v>
      </c>
      <c r="AC245">
        <v>0.22953455162246802</v>
      </c>
    </row>
    <row r="246" spans="1:29" x14ac:dyDescent="0.3">
      <c r="A246" t="s">
        <v>258</v>
      </c>
      <c r="B246" s="3">
        <v>45035</v>
      </c>
      <c r="C246" s="3" t="str">
        <v>Apr-2023</v>
      </c>
      <c r="D246" s="11" t="str">
        <f t="shared" si="12"/>
        <v>Q2-2023</v>
      </c>
      <c r="E246" s="3">
        <v>45044</v>
      </c>
      <c r="F246" s="3">
        <v>45035</v>
      </c>
      <c r="G246" s="4">
        <f t="shared" si="13"/>
        <v>9</v>
      </c>
      <c r="H246" s="4" t="str">
        <v>delayed</v>
      </c>
      <c r="I246" s="4">
        <f t="shared" si="15"/>
        <v>0</v>
      </c>
      <c r="J246" t="s">
        <v>648</v>
      </c>
      <c r="K246" t="s">
        <v>655</v>
      </c>
      <c r="L246" t="s">
        <v>692</v>
      </c>
      <c r="M246" t="s">
        <v>701</v>
      </c>
      <c r="N246" t="s">
        <v>710</v>
      </c>
      <c r="O246" t="s">
        <v>724</v>
      </c>
      <c r="P246" t="s">
        <v>730</v>
      </c>
      <c r="Q246" t="str" cm="1">
        <f t="array" ref="Q246">_xlfn.IFS(U246&lt;=_xlfn.QUARTILE.INC($U$2:$U877,1),"Low",B246&lt;=_xlfn.QUARTILE.INC($U$2:$U$633,2),"Medium",TRUE,"High")</f>
        <v>High</v>
      </c>
      <c r="R246" t="s">
        <v>978</v>
      </c>
      <c r="S246" s="4">
        <v>1013.54</v>
      </c>
      <c r="T246">
        <v>927.93</v>
      </c>
      <c r="U246">
        <v>927.93</v>
      </c>
      <c r="V246" s="7">
        <v>0.17499999999999999</v>
      </c>
      <c r="W246" s="7">
        <v>0.17499999999999999</v>
      </c>
      <c r="X246" s="7" t="str">
        <f t="shared" si="14"/>
        <v>okay</v>
      </c>
      <c r="Y246" s="9">
        <v>16</v>
      </c>
      <c r="Z246">
        <v>12248.675999999999</v>
      </c>
      <c r="AA246">
        <v>16216.64</v>
      </c>
      <c r="AB246">
        <v>-3967.9639999999999</v>
      </c>
      <c r="AC246">
        <v>-0.32395044166406234</v>
      </c>
    </row>
    <row r="247" spans="1:29" x14ac:dyDescent="0.3">
      <c r="A247" t="s">
        <v>259</v>
      </c>
      <c r="B247" s="3">
        <v>45357</v>
      </c>
      <c r="C247" s="3" t="str">
        <v>Mar-2024</v>
      </c>
      <c r="D247" s="11" t="str">
        <f t="shared" si="12"/>
        <v>Q1-2024</v>
      </c>
      <c r="E247" s="3">
        <v>45377</v>
      </c>
      <c r="F247" s="3">
        <v>45357</v>
      </c>
      <c r="G247" s="4">
        <f t="shared" si="13"/>
        <v>20</v>
      </c>
      <c r="H247" s="4" t="str">
        <v>delayed</v>
      </c>
      <c r="I247" s="4">
        <f t="shared" si="15"/>
        <v>0</v>
      </c>
      <c r="J247" t="s">
        <v>646</v>
      </c>
      <c r="K247" t="s">
        <v>651</v>
      </c>
      <c r="L247" t="s">
        <v>663</v>
      </c>
      <c r="M247" t="s">
        <v>704</v>
      </c>
      <c r="N247" t="s">
        <v>709</v>
      </c>
      <c r="O247" t="s">
        <v>714</v>
      </c>
      <c r="P247" t="s">
        <v>730</v>
      </c>
      <c r="Q247" t="str" cm="1">
        <f t="array" ref="Q247">_xlfn.IFS(U247&lt;=_xlfn.QUARTILE.INC($U$2:$U878,1),"Low",B247&lt;=_xlfn.QUARTILE.INC($U$2:$U$633,2),"Medium",TRUE,"High")</f>
        <v>Low</v>
      </c>
      <c r="R247" t="s">
        <v>979</v>
      </c>
      <c r="S247" s="4">
        <v>65.64</v>
      </c>
      <c r="T247">
        <v>151.88</v>
      </c>
      <c r="U247">
        <v>151.88</v>
      </c>
      <c r="V247" s="7">
        <v>0.16700000000000001</v>
      </c>
      <c r="W247" s="7">
        <v>0.16700000000000001</v>
      </c>
      <c r="X247" s="7" t="str">
        <f t="shared" si="14"/>
        <v>okay</v>
      </c>
      <c r="Y247" s="9">
        <v>23</v>
      </c>
      <c r="Z247">
        <v>2909.8689199999999</v>
      </c>
      <c r="AA247">
        <v>1509.72</v>
      </c>
      <c r="AB247">
        <v>1400.1489199999999</v>
      </c>
      <c r="AC247">
        <v>0.48117250587356353</v>
      </c>
    </row>
    <row r="248" spans="1:29" x14ac:dyDescent="0.3">
      <c r="A248" t="s">
        <v>260</v>
      </c>
      <c r="B248" s="3">
        <v>45338</v>
      </c>
      <c r="C248" s="3" t="str">
        <v>Feb-2024</v>
      </c>
      <c r="D248" s="11" t="str">
        <f t="shared" si="12"/>
        <v>Q1-2024</v>
      </c>
      <c r="E248" s="3">
        <v>45355</v>
      </c>
      <c r="F248" s="3">
        <v>45338</v>
      </c>
      <c r="G248" s="4">
        <f t="shared" si="13"/>
        <v>17</v>
      </c>
      <c r="H248" s="4" t="str">
        <v>delayed</v>
      </c>
      <c r="I248" s="4">
        <f t="shared" si="15"/>
        <v>0</v>
      </c>
      <c r="J248" t="s">
        <v>648</v>
      </c>
      <c r="K248" t="s">
        <v>653</v>
      </c>
      <c r="L248" t="s">
        <v>681</v>
      </c>
      <c r="M248" t="s">
        <v>703</v>
      </c>
      <c r="N248" t="s">
        <v>707</v>
      </c>
      <c r="O248" t="s">
        <v>726</v>
      </c>
      <c r="P248" t="s">
        <v>731</v>
      </c>
      <c r="Q248" t="str" cm="1">
        <f t="array" ref="Q248">_xlfn.IFS(U248&lt;=_xlfn.QUARTILE.INC($U$2:$U879,1),"Low",B248&lt;=_xlfn.QUARTILE.INC($U$2:$U$633,2),"Medium",TRUE,"High")</f>
        <v>High</v>
      </c>
      <c r="R248" t="s">
        <v>980</v>
      </c>
      <c r="S248" s="4">
        <v>1350.98</v>
      </c>
      <c r="T248">
        <v>2210.4</v>
      </c>
      <c r="U248">
        <v>2210.4</v>
      </c>
      <c r="V248" s="7">
        <v>0.26300000000000001</v>
      </c>
      <c r="W248" s="7">
        <v>0.26300000000000001</v>
      </c>
      <c r="X248" s="7" t="str">
        <f t="shared" si="14"/>
        <v>High discount</v>
      </c>
      <c r="Y248" s="9">
        <v>6</v>
      </c>
      <c r="Z248">
        <v>9774.3888000000006</v>
      </c>
      <c r="AA248">
        <v>8105.88</v>
      </c>
      <c r="AB248">
        <v>1668.5088000000005</v>
      </c>
      <c r="AC248">
        <v>0.17070211080615091</v>
      </c>
    </row>
    <row r="249" spans="1:29" x14ac:dyDescent="0.3">
      <c r="A249" t="s">
        <v>261</v>
      </c>
      <c r="B249" s="3">
        <v>45769</v>
      </c>
      <c r="C249" s="3" t="str">
        <v>Apr-2025</v>
      </c>
      <c r="D249" s="11" t="str">
        <f t="shared" si="12"/>
        <v>Q2-2025</v>
      </c>
      <c r="E249" s="3">
        <v>45779</v>
      </c>
      <c r="F249" s="3">
        <v>45769</v>
      </c>
      <c r="G249" s="4">
        <f t="shared" si="13"/>
        <v>10</v>
      </c>
      <c r="H249" s="4" t="str">
        <v>delayed</v>
      </c>
      <c r="I249" s="4">
        <f t="shared" si="15"/>
        <v>0</v>
      </c>
      <c r="J249" t="s">
        <v>649</v>
      </c>
      <c r="K249" t="s">
        <v>656</v>
      </c>
      <c r="L249" t="s">
        <v>671</v>
      </c>
      <c r="M249" t="s">
        <v>701</v>
      </c>
      <c r="N249" t="s">
        <v>709</v>
      </c>
      <c r="O249" t="s">
        <v>712</v>
      </c>
      <c r="P249" t="s">
        <v>732</v>
      </c>
      <c r="Q249" t="str" cm="1">
        <f t="array" ref="Q249">_xlfn.IFS(U249&lt;=_xlfn.QUARTILE.INC($U$2:$U880,1),"Low",B249&lt;=_xlfn.QUARTILE.INC($U$2:$U$633,2),"Medium",TRUE,"High")</f>
        <v>Low</v>
      </c>
      <c r="R249" t="s">
        <v>981</v>
      </c>
      <c r="S249" s="4">
        <v>20.149999999999999</v>
      </c>
      <c r="T249">
        <v>39.74</v>
      </c>
      <c r="U249">
        <v>39.74</v>
      </c>
      <c r="V249" s="7">
        <v>0.151</v>
      </c>
      <c r="W249" s="7">
        <v>0.151</v>
      </c>
      <c r="X249" s="7" t="str">
        <f t="shared" si="14"/>
        <v>okay</v>
      </c>
      <c r="Y249" s="9">
        <v>18</v>
      </c>
      <c r="Z249">
        <v>607.30668000000003</v>
      </c>
      <c r="AA249">
        <v>362.7</v>
      </c>
      <c r="AB249">
        <v>244.60668000000004</v>
      </c>
      <c r="AC249">
        <v>0.4027729120318585</v>
      </c>
    </row>
    <row r="250" spans="1:29" x14ac:dyDescent="0.3">
      <c r="A250" t="s">
        <v>262</v>
      </c>
      <c r="B250" s="3">
        <v>45604</v>
      </c>
      <c r="C250" s="3" t="str">
        <v>Nov-2024</v>
      </c>
      <c r="D250" s="11" t="str">
        <f t="shared" si="12"/>
        <v>Q4-2024</v>
      </c>
      <c r="E250" s="3">
        <v>45604</v>
      </c>
      <c r="F250" s="3">
        <v>45604</v>
      </c>
      <c r="G250" s="4">
        <f t="shared" si="13"/>
        <v>0</v>
      </c>
      <c r="H250" s="4" t="str">
        <v>ontime</v>
      </c>
      <c r="I250" s="4">
        <f t="shared" si="15"/>
        <v>1</v>
      </c>
      <c r="J250" t="s">
        <v>646</v>
      </c>
      <c r="K250" t="s">
        <v>650</v>
      </c>
      <c r="L250" t="s">
        <v>678</v>
      </c>
      <c r="M250" t="s">
        <v>706</v>
      </c>
      <c r="N250" t="s">
        <v>709</v>
      </c>
      <c r="O250" t="s">
        <v>724</v>
      </c>
      <c r="P250" t="s">
        <v>729</v>
      </c>
      <c r="Q250" t="str" cm="1">
        <f t="array" ref="Q250">_xlfn.IFS(U250&lt;=_xlfn.QUARTILE.INC($U$2:$U881,1),"Low",B250&lt;=_xlfn.QUARTILE.INC($U$2:$U$633,2),"Medium",TRUE,"High")</f>
        <v>High</v>
      </c>
      <c r="R250" t="s">
        <v>982</v>
      </c>
      <c r="S250" s="4">
        <v>803.28</v>
      </c>
      <c r="T250">
        <v>1009</v>
      </c>
      <c r="U250">
        <v>1009</v>
      </c>
      <c r="V250" s="7">
        <v>0.11</v>
      </c>
      <c r="W250" s="7">
        <v>0.11</v>
      </c>
      <c r="X250" s="7" t="str">
        <f t="shared" si="14"/>
        <v>okay</v>
      </c>
      <c r="Y250" s="9">
        <v>4</v>
      </c>
      <c r="Z250">
        <v>3592.04</v>
      </c>
      <c r="AA250">
        <v>3213.12</v>
      </c>
      <c r="AB250">
        <v>378.92000000000007</v>
      </c>
      <c r="AC250">
        <v>0.10548880302001093</v>
      </c>
    </row>
    <row r="251" spans="1:29" x14ac:dyDescent="0.3">
      <c r="A251" t="s">
        <v>263</v>
      </c>
      <c r="B251" s="3">
        <v>45912</v>
      </c>
      <c r="C251" s="3" t="str">
        <v>Sep-2025</v>
      </c>
      <c r="D251" s="11" t="str">
        <f t="shared" si="12"/>
        <v>Q3-2025</v>
      </c>
      <c r="E251" s="3">
        <v>45930</v>
      </c>
      <c r="F251" s="3">
        <v>45912</v>
      </c>
      <c r="G251" s="4">
        <f t="shared" si="13"/>
        <v>18</v>
      </c>
      <c r="H251" s="4" t="str">
        <v>delayed</v>
      </c>
      <c r="I251" s="4">
        <f t="shared" si="15"/>
        <v>0</v>
      </c>
      <c r="J251" t="s">
        <v>647</v>
      </c>
      <c r="K251" t="s">
        <v>652</v>
      </c>
      <c r="L251" t="s">
        <v>694</v>
      </c>
      <c r="M251" t="s">
        <v>703</v>
      </c>
      <c r="N251" t="s">
        <v>709</v>
      </c>
      <c r="O251" t="s">
        <v>721</v>
      </c>
      <c r="P251" t="s">
        <v>732</v>
      </c>
      <c r="Q251" t="str" cm="1">
        <f t="array" ref="Q251">_xlfn.IFS(U251&lt;=_xlfn.QUARTILE.INC($U$2:$U882,1),"Low",B251&lt;=_xlfn.QUARTILE.INC($U$2:$U$633,2),"Medium",TRUE,"High")</f>
        <v>High</v>
      </c>
      <c r="R251" t="s">
        <v>983</v>
      </c>
      <c r="S251" s="4">
        <v>1212.99</v>
      </c>
      <c r="T251">
        <v>1653.64</v>
      </c>
      <c r="U251">
        <v>1653.64</v>
      </c>
      <c r="V251" s="7">
        <v>0.107</v>
      </c>
      <c r="W251" s="7">
        <v>0.107</v>
      </c>
      <c r="X251" s="7" t="str">
        <f t="shared" si="14"/>
        <v>okay</v>
      </c>
      <c r="Y251" s="9">
        <v>8</v>
      </c>
      <c r="Z251">
        <v>11813.604160000001</v>
      </c>
      <c r="AA251">
        <v>9703.92</v>
      </c>
      <c r="AB251">
        <v>2109.6841600000007</v>
      </c>
      <c r="AC251">
        <v>0.17858090819931455</v>
      </c>
    </row>
    <row r="252" spans="1:29" x14ac:dyDescent="0.3">
      <c r="A252" t="s">
        <v>264</v>
      </c>
      <c r="B252" s="3">
        <v>45537</v>
      </c>
      <c r="C252" s="3" t="str">
        <v>Sep-2024</v>
      </c>
      <c r="D252" s="11" t="str">
        <f t="shared" si="12"/>
        <v>Q3-2024</v>
      </c>
      <c r="E252" s="3">
        <v>45543</v>
      </c>
      <c r="F252" s="3">
        <v>45537</v>
      </c>
      <c r="G252" s="4">
        <f t="shared" si="13"/>
        <v>6</v>
      </c>
      <c r="H252" s="4" t="str">
        <v>ontime</v>
      </c>
      <c r="I252" s="4">
        <f t="shared" si="15"/>
        <v>1</v>
      </c>
      <c r="J252" t="s">
        <v>648</v>
      </c>
      <c r="K252" t="s">
        <v>660</v>
      </c>
      <c r="L252" t="s">
        <v>697</v>
      </c>
      <c r="M252" t="s">
        <v>704</v>
      </c>
      <c r="N252" t="s">
        <v>711</v>
      </c>
      <c r="O252" t="s">
        <v>722</v>
      </c>
      <c r="P252" t="s">
        <v>727</v>
      </c>
      <c r="Q252" t="str" cm="1">
        <f t="array" ref="Q252">_xlfn.IFS(U252&lt;=_xlfn.QUARTILE.INC($U$2:$U883,1),"Low",B252&lt;=_xlfn.QUARTILE.INC($U$2:$U$633,2),"Medium",TRUE,"High")</f>
        <v>High</v>
      </c>
      <c r="R252" t="s">
        <v>984</v>
      </c>
      <c r="S252" s="4">
        <v>462.94</v>
      </c>
      <c r="T252">
        <v>1015.7</v>
      </c>
      <c r="U252">
        <v>1015.7</v>
      </c>
      <c r="V252" s="7">
        <v>0.14299999999999999</v>
      </c>
      <c r="W252" s="7">
        <v>0.14299999999999999</v>
      </c>
      <c r="X252" s="7" t="str">
        <f t="shared" si="14"/>
        <v>okay</v>
      </c>
      <c r="Y252" s="9">
        <v>14</v>
      </c>
      <c r="Z252">
        <v>12186.368600000002</v>
      </c>
      <c r="AA252">
        <v>6481.16</v>
      </c>
      <c r="AB252">
        <v>5705.2086000000018</v>
      </c>
      <c r="AC252">
        <v>0.46816314090483041</v>
      </c>
    </row>
    <row r="253" spans="1:29" x14ac:dyDescent="0.3">
      <c r="A253" t="s">
        <v>265</v>
      </c>
      <c r="B253" s="3">
        <v>44989</v>
      </c>
      <c r="C253" s="3" t="str">
        <v>Mar-2023</v>
      </c>
      <c r="D253" s="11" t="str">
        <f t="shared" si="12"/>
        <v>Q1-2023</v>
      </c>
      <c r="E253" s="3">
        <v>45009</v>
      </c>
      <c r="F253" s="3">
        <v>44989</v>
      </c>
      <c r="G253" s="4">
        <f t="shared" si="13"/>
        <v>20</v>
      </c>
      <c r="H253" s="4" t="str">
        <v>delayed</v>
      </c>
      <c r="I253" s="4">
        <f t="shared" si="15"/>
        <v>0</v>
      </c>
      <c r="J253" t="s">
        <v>648</v>
      </c>
      <c r="K253" t="s">
        <v>653</v>
      </c>
      <c r="L253" t="s">
        <v>681</v>
      </c>
      <c r="M253" t="s">
        <v>704</v>
      </c>
      <c r="N253" t="s">
        <v>710</v>
      </c>
      <c r="O253" t="s">
        <v>714</v>
      </c>
      <c r="P253" t="s">
        <v>731</v>
      </c>
      <c r="Q253" t="str" cm="1">
        <f t="array" ref="Q253">_xlfn.IFS(U253&lt;=_xlfn.QUARTILE.INC($U$2:$U884,1),"Low",B253&lt;=_xlfn.QUARTILE.INC($U$2:$U$633,2),"Medium",TRUE,"High")</f>
        <v>High</v>
      </c>
      <c r="R253" t="s">
        <v>985</v>
      </c>
      <c r="S253" s="4">
        <v>481.71</v>
      </c>
      <c r="T253">
        <v>912.45</v>
      </c>
      <c r="U253">
        <v>912.45</v>
      </c>
      <c r="V253" s="7">
        <v>0.20300000000000001</v>
      </c>
      <c r="W253" s="7">
        <v>0.20300000000000001</v>
      </c>
      <c r="X253" s="7" t="str">
        <f t="shared" si="14"/>
        <v>High discount</v>
      </c>
      <c r="Y253" s="9">
        <v>24</v>
      </c>
      <c r="Z253">
        <v>17453.3436</v>
      </c>
      <c r="AA253">
        <v>11561.039999999999</v>
      </c>
      <c r="AB253">
        <v>5892.3036000000011</v>
      </c>
      <c r="AC253">
        <v>0.33760313983619739</v>
      </c>
    </row>
    <row r="254" spans="1:29" x14ac:dyDescent="0.3">
      <c r="A254" t="s">
        <v>266</v>
      </c>
      <c r="B254" s="3">
        <v>45366</v>
      </c>
      <c r="C254" s="3" t="str">
        <v>Mar-2024</v>
      </c>
      <c r="D254" s="11" t="str">
        <f t="shared" si="12"/>
        <v>Q1-2024</v>
      </c>
      <c r="E254" s="3">
        <v>45391</v>
      </c>
      <c r="F254" s="3">
        <v>45366</v>
      </c>
      <c r="G254" s="4">
        <f t="shared" si="13"/>
        <v>25</v>
      </c>
      <c r="H254" s="4" t="str">
        <v>delayed</v>
      </c>
      <c r="I254" s="4">
        <f t="shared" si="15"/>
        <v>0</v>
      </c>
      <c r="J254" t="s">
        <v>648</v>
      </c>
      <c r="K254" t="s">
        <v>653</v>
      </c>
      <c r="L254" t="s">
        <v>688</v>
      </c>
      <c r="M254" t="s">
        <v>704</v>
      </c>
      <c r="N254" t="s">
        <v>708</v>
      </c>
      <c r="O254" t="s">
        <v>721</v>
      </c>
      <c r="P254" t="s">
        <v>732</v>
      </c>
      <c r="Q254" t="str" cm="1">
        <f t="array" ref="Q254">_xlfn.IFS(U254&lt;=_xlfn.QUARTILE.INC($U$2:$U885,1),"Low",B254&lt;=_xlfn.QUARTILE.INC($U$2:$U$633,2),"Medium",TRUE,"High")</f>
        <v>High</v>
      </c>
      <c r="R254" t="s">
        <v>986</v>
      </c>
      <c r="S254" s="4">
        <v>648.64</v>
      </c>
      <c r="T254">
        <v>815.19</v>
      </c>
      <c r="U254">
        <v>815.19</v>
      </c>
      <c r="V254" s="7">
        <v>0.22500000000000001</v>
      </c>
      <c r="W254" s="7">
        <v>0.22500000000000001</v>
      </c>
      <c r="X254" s="7" t="str">
        <f t="shared" si="14"/>
        <v>High discount</v>
      </c>
      <c r="Y254" s="9">
        <v>28</v>
      </c>
      <c r="Z254">
        <v>17689.623</v>
      </c>
      <c r="AA254">
        <v>18161.919999999998</v>
      </c>
      <c r="AB254">
        <v>-472.29699999999866</v>
      </c>
      <c r="AC254">
        <v>-2.6699099240272032E-2</v>
      </c>
    </row>
    <row r="255" spans="1:29" x14ac:dyDescent="0.3">
      <c r="A255" t="s">
        <v>267</v>
      </c>
      <c r="B255" s="3">
        <v>45502</v>
      </c>
      <c r="C255" s="3" t="str">
        <v>Jul-2024</v>
      </c>
      <c r="D255" s="11" t="str">
        <f t="shared" si="12"/>
        <v>Q3-2024</v>
      </c>
      <c r="E255" s="3">
        <v>45504</v>
      </c>
      <c r="F255" s="3">
        <v>45502</v>
      </c>
      <c r="G255" s="4">
        <f t="shared" si="13"/>
        <v>2</v>
      </c>
      <c r="H255" s="4" t="str">
        <v>ontime</v>
      </c>
      <c r="I255" s="4">
        <f t="shared" si="15"/>
        <v>1</v>
      </c>
      <c r="J255" t="s">
        <v>648</v>
      </c>
      <c r="K255" t="s">
        <v>660</v>
      </c>
      <c r="L255" t="s">
        <v>700</v>
      </c>
      <c r="M255" t="s">
        <v>702</v>
      </c>
      <c r="N255" t="s">
        <v>709</v>
      </c>
      <c r="O255" t="s">
        <v>714</v>
      </c>
      <c r="P255" t="s">
        <v>728</v>
      </c>
      <c r="Q255" t="str" cm="1">
        <f t="array" ref="Q255">_xlfn.IFS(U255&lt;=_xlfn.QUARTILE.INC($U$2:$U886,1),"Low",B255&lt;=_xlfn.QUARTILE.INC($U$2:$U$633,2),"Medium",TRUE,"High")</f>
        <v>High</v>
      </c>
      <c r="R255" t="s">
        <v>987</v>
      </c>
      <c r="S255" s="4">
        <v>798.97</v>
      </c>
      <c r="T255">
        <v>1814.06</v>
      </c>
      <c r="U255">
        <v>1814.06</v>
      </c>
      <c r="V255" s="7">
        <v>0.122</v>
      </c>
      <c r="W255" s="7">
        <v>0.122</v>
      </c>
      <c r="X255" s="7" t="str">
        <f t="shared" si="14"/>
        <v>okay</v>
      </c>
      <c r="Y255" s="9">
        <v>16</v>
      </c>
      <c r="Z255">
        <v>25483.91488</v>
      </c>
      <c r="AA255">
        <v>12783.52</v>
      </c>
      <c r="AB255">
        <v>12700.39488</v>
      </c>
      <c r="AC255">
        <v>0.49836906691159061</v>
      </c>
    </row>
    <row r="256" spans="1:29" x14ac:dyDescent="0.3">
      <c r="A256" t="s">
        <v>268</v>
      </c>
      <c r="B256" s="3">
        <v>45592</v>
      </c>
      <c r="C256" s="3" t="str">
        <v>Oct-2024</v>
      </c>
      <c r="D256" s="11" t="str">
        <f t="shared" si="12"/>
        <v>Q4-2024</v>
      </c>
      <c r="E256" s="3">
        <v>45616</v>
      </c>
      <c r="F256" s="3">
        <v>45592</v>
      </c>
      <c r="G256" s="4">
        <f t="shared" si="13"/>
        <v>24</v>
      </c>
      <c r="H256" s="4" t="str">
        <v>delayed</v>
      </c>
      <c r="I256" s="4">
        <f t="shared" si="15"/>
        <v>0</v>
      </c>
      <c r="J256" t="s">
        <v>647</v>
      </c>
      <c r="K256" t="s">
        <v>652</v>
      </c>
      <c r="L256" t="s">
        <v>694</v>
      </c>
      <c r="M256" t="s">
        <v>703</v>
      </c>
      <c r="N256" t="s">
        <v>708</v>
      </c>
      <c r="O256" t="s">
        <v>722</v>
      </c>
      <c r="P256" t="s">
        <v>732</v>
      </c>
      <c r="Q256" t="str" cm="1">
        <f t="array" ref="Q256">_xlfn.IFS(U256&lt;=_xlfn.QUARTILE.INC($U$2:$U887,1),"Low",B256&lt;=_xlfn.QUARTILE.INC($U$2:$U$633,2),"Medium",TRUE,"High")</f>
        <v>High</v>
      </c>
      <c r="R256" t="s">
        <v>988</v>
      </c>
      <c r="S256" s="4">
        <v>317.25</v>
      </c>
      <c r="T256">
        <v>758.92</v>
      </c>
      <c r="U256">
        <v>758.92</v>
      </c>
      <c r="V256" s="7">
        <v>5.2999999999999999E-2</v>
      </c>
      <c r="W256" s="7">
        <v>5.2999999999999999E-2</v>
      </c>
      <c r="X256" s="7" t="str">
        <f t="shared" si="14"/>
        <v>okay</v>
      </c>
      <c r="Y256" s="9">
        <v>9</v>
      </c>
      <c r="Z256">
        <v>6468.2751599999992</v>
      </c>
      <c r="AA256">
        <v>2855.25</v>
      </c>
      <c r="AB256">
        <v>3613.0251599999992</v>
      </c>
      <c r="AC256">
        <v>0.5585762928489888</v>
      </c>
    </row>
    <row r="257" spans="1:29" x14ac:dyDescent="0.3">
      <c r="A257" t="s">
        <v>269</v>
      </c>
      <c r="B257" s="3">
        <v>45411</v>
      </c>
      <c r="C257" s="3" t="str">
        <v>Apr-2024</v>
      </c>
      <c r="D257" s="11" t="str">
        <f t="shared" si="12"/>
        <v>Q2-2024</v>
      </c>
      <c r="E257" s="3">
        <v>45431</v>
      </c>
      <c r="F257" s="3">
        <v>45411</v>
      </c>
      <c r="G257" s="4">
        <f t="shared" si="13"/>
        <v>20</v>
      </c>
      <c r="H257" s="4" t="str">
        <v>delayed</v>
      </c>
      <c r="I257" s="4">
        <f t="shared" si="15"/>
        <v>0</v>
      </c>
      <c r="J257" t="s">
        <v>649</v>
      </c>
      <c r="K257" t="s">
        <v>656</v>
      </c>
      <c r="L257" t="s">
        <v>698</v>
      </c>
      <c r="M257" t="s">
        <v>706</v>
      </c>
      <c r="N257" t="s">
        <v>709</v>
      </c>
      <c r="O257" t="s">
        <v>712</v>
      </c>
      <c r="P257" t="s">
        <v>731</v>
      </c>
      <c r="Q257" t="str" cm="1">
        <f t="array" ref="Q257">_xlfn.IFS(U257&lt;=_xlfn.QUARTILE.INC($U$2:$U888,1),"Low",B257&lt;=_xlfn.QUARTILE.INC($U$2:$U$633,2),"Medium",TRUE,"High")</f>
        <v>High</v>
      </c>
      <c r="R257" t="s">
        <v>989</v>
      </c>
      <c r="S257" s="4">
        <v>668.97</v>
      </c>
      <c r="T257">
        <v>1667.44</v>
      </c>
      <c r="U257">
        <v>1667.44</v>
      </c>
      <c r="V257" s="7">
        <v>3.4000000000000002E-2</v>
      </c>
      <c r="W257" s="7">
        <v>3.4000000000000002E-2</v>
      </c>
      <c r="X257" s="7" t="str">
        <f t="shared" si="14"/>
        <v>okay</v>
      </c>
      <c r="Y257" s="9">
        <v>15</v>
      </c>
      <c r="Z257">
        <v>24161.205600000001</v>
      </c>
      <c r="AA257">
        <v>10034.550000000001</v>
      </c>
      <c r="AB257">
        <v>14126.6556</v>
      </c>
      <c r="AC257">
        <v>0.58468339013679016</v>
      </c>
    </row>
    <row r="258" spans="1:29" x14ac:dyDescent="0.3">
      <c r="A258" t="s">
        <v>270</v>
      </c>
      <c r="B258" s="3">
        <v>45204</v>
      </c>
      <c r="C258" s="3" t="str">
        <v>Oct-2023</v>
      </c>
      <c r="D258" s="11" t="str">
        <f t="shared" si="12"/>
        <v>Q4-2023</v>
      </c>
      <c r="E258" s="3">
        <v>45205</v>
      </c>
      <c r="F258" s="3">
        <v>45204</v>
      </c>
      <c r="G258" s="4">
        <f t="shared" si="13"/>
        <v>1</v>
      </c>
      <c r="H258" s="4" t="str">
        <v>ontime</v>
      </c>
      <c r="I258" s="4">
        <f t="shared" si="15"/>
        <v>1</v>
      </c>
      <c r="J258" t="s">
        <v>647</v>
      </c>
      <c r="K258" t="s">
        <v>654</v>
      </c>
      <c r="L258" t="s">
        <v>668</v>
      </c>
      <c r="M258" t="s">
        <v>703</v>
      </c>
      <c r="N258" t="s">
        <v>708</v>
      </c>
      <c r="O258" t="s">
        <v>714</v>
      </c>
      <c r="P258" t="s">
        <v>727</v>
      </c>
      <c r="Q258" t="str" cm="1">
        <f t="array" ref="Q258">_xlfn.IFS(U258&lt;=_xlfn.QUARTILE.INC($U$2:$U889,1),"Low",B258&lt;=_xlfn.QUARTILE.INC($U$2:$U$633,2),"Medium",TRUE,"High")</f>
        <v>High</v>
      </c>
      <c r="R258" t="s">
        <v>990</v>
      </c>
      <c r="S258" s="4">
        <v>1470.26</v>
      </c>
      <c r="T258">
        <v>2562.5500000000002</v>
      </c>
      <c r="U258">
        <v>2562.5500000000002</v>
      </c>
      <c r="V258" s="7">
        <v>0.17299999999999999</v>
      </c>
      <c r="W258" s="7">
        <v>0.17299999999999999</v>
      </c>
      <c r="X258" s="7" t="str">
        <f t="shared" si="14"/>
        <v>okay</v>
      </c>
      <c r="Y258" s="9">
        <v>9</v>
      </c>
      <c r="Z258">
        <v>19073.059649999999</v>
      </c>
      <c r="AA258">
        <v>13232.34</v>
      </c>
      <c r="AB258">
        <v>5840.7196499999991</v>
      </c>
      <c r="AC258">
        <v>0.30622877279157462</v>
      </c>
    </row>
    <row r="259" spans="1:29" x14ac:dyDescent="0.3">
      <c r="A259" t="s">
        <v>271</v>
      </c>
      <c r="B259" s="3">
        <v>45035</v>
      </c>
      <c r="C259" s="3" t="str">
        <v>Apr-2023</v>
      </c>
      <c r="D259" s="11" t="str">
        <f t="shared" ref="D259:D322" si="16">"Q" &amp; ROUNDUP(MONTH(C259)/3,0) &amp; "-" &amp; YEAR(C259)</f>
        <v>Q2-2023</v>
      </c>
      <c r="E259" s="3">
        <v>45053</v>
      </c>
      <c r="F259" s="3">
        <v>45035</v>
      </c>
      <c r="G259" s="4">
        <f t="shared" ref="G259:G322" si="17">(E259-F259)</f>
        <v>18</v>
      </c>
      <c r="H259" s="4" t="str">
        <v>delayed</v>
      </c>
      <c r="I259" s="4">
        <f t="shared" si="15"/>
        <v>0</v>
      </c>
      <c r="J259" t="s">
        <v>649</v>
      </c>
      <c r="K259" t="s">
        <v>658</v>
      </c>
      <c r="L259" t="s">
        <v>683</v>
      </c>
      <c r="M259" t="s">
        <v>703</v>
      </c>
      <c r="N259" t="s">
        <v>711</v>
      </c>
      <c r="O259" t="s">
        <v>722</v>
      </c>
      <c r="P259" t="s">
        <v>729</v>
      </c>
      <c r="Q259" t="str" cm="1">
        <f t="array" ref="Q259">_xlfn.IFS(U259&lt;=_xlfn.QUARTILE.INC($U$2:$U890,1),"Low",B259&lt;=_xlfn.QUARTILE.INC($U$2:$U$633,2),"Medium",TRUE,"High")</f>
        <v>High</v>
      </c>
      <c r="R259" t="s">
        <v>991</v>
      </c>
      <c r="S259" s="4">
        <v>516.96</v>
      </c>
      <c r="T259">
        <v>745.38</v>
      </c>
      <c r="U259">
        <v>745.38</v>
      </c>
      <c r="V259" s="7">
        <v>0.19700000000000001</v>
      </c>
      <c r="W259" s="7">
        <v>0.19700000000000001</v>
      </c>
      <c r="X259" s="7" t="str">
        <f t="shared" ref="X259:X322" si="18">IF(V259&gt;0.2, "High discount","okay")</f>
        <v>okay</v>
      </c>
      <c r="Y259" s="9">
        <v>4</v>
      </c>
      <c r="Z259">
        <v>2394.1605599999998</v>
      </c>
      <c r="AA259">
        <v>2067.84</v>
      </c>
      <c r="AB259">
        <v>326.32055999999966</v>
      </c>
      <c r="AC259">
        <v>0.13629852794835101</v>
      </c>
    </row>
    <row r="260" spans="1:29" x14ac:dyDescent="0.3">
      <c r="A260" t="s">
        <v>272</v>
      </c>
      <c r="B260" s="3">
        <v>45835</v>
      </c>
      <c r="C260" s="3" t="str">
        <v>Jun-2025</v>
      </c>
      <c r="D260" s="11" t="str">
        <f t="shared" si="16"/>
        <v>Q2-2025</v>
      </c>
      <c r="E260" s="3">
        <v>45843</v>
      </c>
      <c r="F260" s="3">
        <v>45835</v>
      </c>
      <c r="G260" s="4">
        <f t="shared" si="17"/>
        <v>8</v>
      </c>
      <c r="H260" s="4" t="str">
        <v>delayed</v>
      </c>
      <c r="I260" s="4">
        <f t="shared" si="15"/>
        <v>0</v>
      </c>
      <c r="J260" t="s">
        <v>649</v>
      </c>
      <c r="K260" t="s">
        <v>656</v>
      </c>
      <c r="L260" t="s">
        <v>684</v>
      </c>
      <c r="M260" t="s">
        <v>705</v>
      </c>
      <c r="N260" t="s">
        <v>711</v>
      </c>
      <c r="O260" t="s">
        <v>715</v>
      </c>
      <c r="P260" t="s">
        <v>732</v>
      </c>
      <c r="Q260" t="str" cm="1">
        <f t="array" ref="Q260">_xlfn.IFS(U260&lt;=_xlfn.QUARTILE.INC($U$2:$U891,1),"Low",B260&lt;=_xlfn.QUARTILE.INC($U$2:$U$633,2),"Medium",TRUE,"High")</f>
        <v>High</v>
      </c>
      <c r="R260" t="s">
        <v>992</v>
      </c>
      <c r="S260" s="4">
        <v>314.93</v>
      </c>
      <c r="T260">
        <v>687.95</v>
      </c>
      <c r="U260">
        <v>687.95</v>
      </c>
      <c r="V260" s="7">
        <v>0.20499999999999999</v>
      </c>
      <c r="W260" s="7">
        <v>0.20499999999999999</v>
      </c>
      <c r="X260" s="7" t="str">
        <f t="shared" si="18"/>
        <v>High discount</v>
      </c>
      <c r="Y260" s="9">
        <v>8</v>
      </c>
      <c r="Z260">
        <v>4375.3620000000001</v>
      </c>
      <c r="AA260">
        <v>2519.44</v>
      </c>
      <c r="AB260">
        <v>1855.922</v>
      </c>
      <c r="AC260">
        <v>0.424175645352316</v>
      </c>
    </row>
    <row r="261" spans="1:29" x14ac:dyDescent="0.3">
      <c r="A261" t="s">
        <v>273</v>
      </c>
      <c r="B261" s="3">
        <v>45210</v>
      </c>
      <c r="C261" s="3" t="str">
        <v>Oct-2023</v>
      </c>
      <c r="D261" s="11" t="str">
        <f t="shared" si="16"/>
        <v>Q4-2023</v>
      </c>
      <c r="E261" s="3">
        <v>45212</v>
      </c>
      <c r="F261" s="3">
        <v>45210</v>
      </c>
      <c r="G261" s="4">
        <f t="shared" si="17"/>
        <v>2</v>
      </c>
      <c r="H261" s="4" t="str">
        <v>ontime</v>
      </c>
      <c r="I261" s="4">
        <f t="shared" si="15"/>
        <v>1</v>
      </c>
      <c r="J261" t="s">
        <v>648</v>
      </c>
      <c r="K261" t="s">
        <v>655</v>
      </c>
      <c r="L261" t="s">
        <v>672</v>
      </c>
      <c r="M261" t="s">
        <v>704</v>
      </c>
      <c r="N261" t="s">
        <v>710</v>
      </c>
      <c r="O261" t="s">
        <v>1421</v>
      </c>
      <c r="P261" t="s">
        <v>733</v>
      </c>
      <c r="Q261" t="str" cm="1">
        <f t="array" ref="Q261">_xlfn.IFS(U261&lt;=_xlfn.QUARTILE.INC($U$2:$U892,1),"Low",B261&lt;=_xlfn.QUARTILE.INC($U$2:$U$633,2),"Medium",TRUE,"High")</f>
        <v>Low</v>
      </c>
      <c r="R261" t="s">
        <v>993</v>
      </c>
      <c r="S261" s="4">
        <v>715.94</v>
      </c>
      <c r="T261">
        <v>550.07000000000005</v>
      </c>
      <c r="U261">
        <v>550.07000000000005</v>
      </c>
      <c r="V261" s="7">
        <v>0.14000000000000001</v>
      </c>
      <c r="W261" s="7">
        <v>0.14000000000000001</v>
      </c>
      <c r="X261" s="7" t="str">
        <f t="shared" si="18"/>
        <v>okay</v>
      </c>
      <c r="Y261" s="9">
        <v>16</v>
      </c>
      <c r="Z261">
        <v>7568.9632000000001</v>
      </c>
      <c r="AA261">
        <v>11455.04</v>
      </c>
      <c r="AB261">
        <v>-3886.0768000000007</v>
      </c>
      <c r="AC261">
        <v>-0.51342260456491595</v>
      </c>
    </row>
    <row r="262" spans="1:29" x14ac:dyDescent="0.3">
      <c r="A262" t="s">
        <v>274</v>
      </c>
      <c r="B262" s="3">
        <v>45066</v>
      </c>
      <c r="C262" s="3" t="str">
        <v>May-2023</v>
      </c>
      <c r="D262" s="11" t="str">
        <f t="shared" si="16"/>
        <v>Q2-2023</v>
      </c>
      <c r="E262" s="3">
        <v>45084</v>
      </c>
      <c r="F262" s="3">
        <v>45066</v>
      </c>
      <c r="G262" s="4">
        <f t="shared" si="17"/>
        <v>18</v>
      </c>
      <c r="H262" s="4" t="str">
        <v>delayed</v>
      </c>
      <c r="I262" s="4">
        <f t="shared" si="15"/>
        <v>0</v>
      </c>
      <c r="J262" t="s">
        <v>646</v>
      </c>
      <c r="K262" t="s">
        <v>651</v>
      </c>
      <c r="L262" t="s">
        <v>663</v>
      </c>
      <c r="M262" t="s">
        <v>706</v>
      </c>
      <c r="N262" t="s">
        <v>710</v>
      </c>
      <c r="O262" t="s">
        <v>718</v>
      </c>
      <c r="P262" t="s">
        <v>727</v>
      </c>
      <c r="Q262" t="str" cm="1">
        <f t="array" ref="Q262">_xlfn.IFS(U262&lt;=_xlfn.QUARTILE.INC($U$2:$U893,1),"Low",B262&lt;=_xlfn.QUARTILE.INC($U$2:$U$633,2),"Medium",TRUE,"High")</f>
        <v>High</v>
      </c>
      <c r="R262" t="s">
        <v>994</v>
      </c>
      <c r="S262" s="4">
        <v>1120.06</v>
      </c>
      <c r="T262">
        <v>2068.21</v>
      </c>
      <c r="U262">
        <v>2068.21</v>
      </c>
      <c r="V262" s="7">
        <v>7.8E-2</v>
      </c>
      <c r="W262" s="7">
        <v>7.8E-2</v>
      </c>
      <c r="X262" s="7" t="str">
        <f t="shared" si="18"/>
        <v>okay</v>
      </c>
      <c r="Y262" s="9">
        <v>12</v>
      </c>
      <c r="Z262">
        <v>22882.675440000003</v>
      </c>
      <c r="AA262">
        <v>13440.72</v>
      </c>
      <c r="AB262">
        <v>9441.9554400000034</v>
      </c>
      <c r="AC262">
        <v>0.41262462795303284</v>
      </c>
    </row>
    <row r="263" spans="1:29" x14ac:dyDescent="0.3">
      <c r="A263" t="s">
        <v>275</v>
      </c>
      <c r="B263" s="3">
        <v>45073</v>
      </c>
      <c r="C263" s="3" t="str">
        <v>May-2023</v>
      </c>
      <c r="D263" s="11" t="str">
        <f t="shared" si="16"/>
        <v>Q2-2023</v>
      </c>
      <c r="E263" s="3">
        <v>45096</v>
      </c>
      <c r="F263" s="3">
        <v>45073</v>
      </c>
      <c r="G263" s="4">
        <f t="shared" si="17"/>
        <v>23</v>
      </c>
      <c r="H263" s="4" t="str">
        <v>delayed</v>
      </c>
      <c r="I263" s="4">
        <f t="shared" si="15"/>
        <v>0</v>
      </c>
      <c r="J263" t="s">
        <v>649</v>
      </c>
      <c r="K263" t="s">
        <v>656</v>
      </c>
      <c r="L263" t="s">
        <v>671</v>
      </c>
      <c r="M263" t="s">
        <v>702</v>
      </c>
      <c r="N263" t="s">
        <v>707</v>
      </c>
      <c r="O263" t="s">
        <v>719</v>
      </c>
      <c r="P263" t="s">
        <v>733</v>
      </c>
      <c r="Q263" t="str" cm="1">
        <f t="array" ref="Q263">_xlfn.IFS(U263&lt;=_xlfn.QUARTILE.INC($U$2:$U894,1),"Low",B263&lt;=_xlfn.QUARTILE.INC($U$2:$U$633,2),"Medium",TRUE,"High")</f>
        <v>High</v>
      </c>
      <c r="R263" t="s">
        <v>995</v>
      </c>
      <c r="S263" s="4">
        <v>1471.58</v>
      </c>
      <c r="T263">
        <v>2576.65</v>
      </c>
      <c r="U263">
        <v>2576.65</v>
      </c>
      <c r="V263" s="7">
        <v>4.0000000000000001E-3</v>
      </c>
      <c r="W263" s="7">
        <v>4.0000000000000001E-3</v>
      </c>
      <c r="X263" s="7" t="str">
        <f t="shared" si="18"/>
        <v>okay</v>
      </c>
      <c r="Y263" s="9">
        <v>7</v>
      </c>
      <c r="Z263">
        <v>17964.4038</v>
      </c>
      <c r="AA263">
        <v>10301.06</v>
      </c>
      <c r="AB263">
        <v>7663.3438000000006</v>
      </c>
      <c r="AC263">
        <v>0.4265849223451546</v>
      </c>
    </row>
    <row r="264" spans="1:29" x14ac:dyDescent="0.3">
      <c r="A264" t="s">
        <v>276</v>
      </c>
      <c r="B264" s="3">
        <v>45142</v>
      </c>
      <c r="C264" s="3" t="str">
        <v>Aug-2023</v>
      </c>
      <c r="D264" s="11" t="str">
        <f t="shared" si="16"/>
        <v>Q3-2023</v>
      </c>
      <c r="E264" s="3">
        <v>45162</v>
      </c>
      <c r="F264" s="3">
        <v>45142</v>
      </c>
      <c r="G264" s="4">
        <f t="shared" si="17"/>
        <v>20</v>
      </c>
      <c r="H264" s="4" t="str">
        <v>delayed</v>
      </c>
      <c r="I264" s="4">
        <f t="shared" ref="I264:I327" si="19">IF(G264&lt;=7,1,0)</f>
        <v>0</v>
      </c>
      <c r="J264" t="s">
        <v>648</v>
      </c>
      <c r="K264" t="s">
        <v>655</v>
      </c>
      <c r="L264" t="s">
        <v>672</v>
      </c>
      <c r="M264" t="s">
        <v>703</v>
      </c>
      <c r="N264" t="s">
        <v>711</v>
      </c>
      <c r="O264" t="s">
        <v>1421</v>
      </c>
      <c r="P264" t="s">
        <v>729</v>
      </c>
      <c r="Q264" t="str" cm="1">
        <f t="array" ref="Q264">_xlfn.IFS(U264&lt;=_xlfn.QUARTILE.INC($U$2:$U895,1),"Low",B264&lt;=_xlfn.QUARTILE.INC($U$2:$U$633,2),"Medium",TRUE,"High")</f>
        <v>High</v>
      </c>
      <c r="R264" t="s">
        <v>996</v>
      </c>
      <c r="S264" s="4">
        <v>582.88</v>
      </c>
      <c r="T264">
        <v>1044.1400000000001</v>
      </c>
      <c r="U264">
        <v>1044.1400000000001</v>
      </c>
      <c r="V264" s="7">
        <v>0.216</v>
      </c>
      <c r="W264" s="7">
        <v>0.216</v>
      </c>
      <c r="X264" s="7" t="str">
        <f t="shared" si="18"/>
        <v>High discount</v>
      </c>
      <c r="Y264" s="9">
        <v>10</v>
      </c>
      <c r="Z264">
        <v>8186.057600000001</v>
      </c>
      <c r="AA264">
        <v>5828.8</v>
      </c>
      <c r="AB264">
        <v>2357.2576000000008</v>
      </c>
      <c r="AC264">
        <v>0.28796005539956138</v>
      </c>
    </row>
    <row r="265" spans="1:29" x14ac:dyDescent="0.3">
      <c r="A265" t="s">
        <v>277</v>
      </c>
      <c r="B265" s="3">
        <v>45829</v>
      </c>
      <c r="C265" s="3" t="str">
        <v>Jun-2025</v>
      </c>
      <c r="D265" s="11" t="str">
        <f t="shared" si="16"/>
        <v>Q2-2025</v>
      </c>
      <c r="E265" s="3">
        <v>45835</v>
      </c>
      <c r="F265" s="3">
        <v>45829</v>
      </c>
      <c r="G265" s="4">
        <f t="shared" si="17"/>
        <v>6</v>
      </c>
      <c r="H265" s="4" t="str">
        <v>ontime</v>
      </c>
      <c r="I265" s="4">
        <f t="shared" si="19"/>
        <v>1</v>
      </c>
      <c r="J265" t="s">
        <v>646</v>
      </c>
      <c r="K265" t="s">
        <v>661</v>
      </c>
      <c r="L265" t="s">
        <v>687</v>
      </c>
      <c r="M265" t="s">
        <v>706</v>
      </c>
      <c r="N265" t="s">
        <v>710</v>
      </c>
      <c r="O265" t="s">
        <v>725</v>
      </c>
      <c r="P265" t="s">
        <v>730</v>
      </c>
      <c r="Q265" t="str" cm="1">
        <f t="array" ref="Q265">_xlfn.IFS(U265&lt;=_xlfn.QUARTILE.INC($U$2:$U896,1),"Low",B265&lt;=_xlfn.QUARTILE.INC($U$2:$U$633,2),"Medium",TRUE,"High")</f>
        <v>Low</v>
      </c>
      <c r="R265" t="s">
        <v>997</v>
      </c>
      <c r="S265" s="4">
        <v>93.91</v>
      </c>
      <c r="T265">
        <v>99.04</v>
      </c>
      <c r="U265">
        <v>99.04</v>
      </c>
      <c r="V265" s="7">
        <v>5.7000000000000002E-2</v>
      </c>
      <c r="W265" s="7">
        <v>5.7000000000000002E-2</v>
      </c>
      <c r="X265" s="7" t="str">
        <f t="shared" si="18"/>
        <v>okay</v>
      </c>
      <c r="Y265" s="9">
        <v>6</v>
      </c>
      <c r="Z265">
        <v>560.36831999999993</v>
      </c>
      <c r="AA265">
        <v>563.46</v>
      </c>
      <c r="AB265">
        <v>-3.0916800000001103</v>
      </c>
      <c r="AC265">
        <v>-5.5172283829323376E-3</v>
      </c>
    </row>
    <row r="266" spans="1:29" x14ac:dyDescent="0.3">
      <c r="A266" t="s">
        <v>278</v>
      </c>
      <c r="B266" s="3">
        <v>45763</v>
      </c>
      <c r="C266" s="3" t="str">
        <v>Apr-2025</v>
      </c>
      <c r="D266" s="11" t="str">
        <f t="shared" si="16"/>
        <v>Q2-2025</v>
      </c>
      <c r="E266" s="3">
        <v>45773</v>
      </c>
      <c r="F266" s="3">
        <v>45763</v>
      </c>
      <c r="G266" s="4">
        <f t="shared" si="17"/>
        <v>10</v>
      </c>
      <c r="H266" s="4" t="str">
        <v>delayed</v>
      </c>
      <c r="I266" s="4">
        <f t="shared" si="19"/>
        <v>0</v>
      </c>
      <c r="J266" t="s">
        <v>646</v>
      </c>
      <c r="K266" t="s">
        <v>651</v>
      </c>
      <c r="L266" t="s">
        <v>663</v>
      </c>
      <c r="M266" t="s">
        <v>706</v>
      </c>
      <c r="N266" t="s">
        <v>709</v>
      </c>
      <c r="O266" t="s">
        <v>721</v>
      </c>
      <c r="P266" t="s">
        <v>731</v>
      </c>
      <c r="Q266" t="str" cm="1">
        <f t="array" ref="Q266">_xlfn.IFS(U266&lt;=_xlfn.QUARTILE.INC($U$2:$U897,1),"Low",B266&lt;=_xlfn.QUARTILE.INC($U$2:$U$633,2),"Medium",TRUE,"High")</f>
        <v>High</v>
      </c>
      <c r="R266" t="s">
        <v>998</v>
      </c>
      <c r="S266" s="4">
        <v>1457.44</v>
      </c>
      <c r="T266">
        <v>1996.81</v>
      </c>
      <c r="U266">
        <v>1996.81</v>
      </c>
      <c r="V266" s="7">
        <v>0.126</v>
      </c>
      <c r="W266" s="7">
        <v>0.126</v>
      </c>
      <c r="X266" s="7" t="str">
        <f t="shared" si="18"/>
        <v>okay</v>
      </c>
      <c r="Y266" s="9">
        <v>23</v>
      </c>
      <c r="Z266">
        <v>40139.874619999995</v>
      </c>
      <c r="AA266">
        <v>33521.120000000003</v>
      </c>
      <c r="AB266">
        <v>6618.7546199999924</v>
      </c>
      <c r="AC266">
        <v>0.16489225944672353</v>
      </c>
    </row>
    <row r="267" spans="1:29" x14ac:dyDescent="0.3">
      <c r="A267" t="s">
        <v>279</v>
      </c>
      <c r="B267" s="3">
        <v>45902</v>
      </c>
      <c r="C267" s="3" t="str">
        <v>Sep-2025</v>
      </c>
      <c r="D267" s="11" t="str">
        <f t="shared" si="16"/>
        <v>Q3-2025</v>
      </c>
      <c r="E267" s="3">
        <v>45911</v>
      </c>
      <c r="F267" s="3">
        <v>45902</v>
      </c>
      <c r="G267" s="4">
        <f t="shared" si="17"/>
        <v>9</v>
      </c>
      <c r="H267" s="4" t="str">
        <v>delayed</v>
      </c>
      <c r="I267" s="4">
        <f t="shared" si="19"/>
        <v>0</v>
      </c>
      <c r="J267" t="s">
        <v>648</v>
      </c>
      <c r="K267" t="s">
        <v>653</v>
      </c>
      <c r="L267" t="s">
        <v>667</v>
      </c>
      <c r="M267" t="s">
        <v>701</v>
      </c>
      <c r="N267" t="s">
        <v>710</v>
      </c>
      <c r="O267" t="s">
        <v>724</v>
      </c>
      <c r="P267" t="s">
        <v>728</v>
      </c>
      <c r="Q267" t="str" cm="1">
        <f t="array" ref="Q267">_xlfn.IFS(U267&lt;=_xlfn.QUARTILE.INC($U$2:$U898,1),"Low",B267&lt;=_xlfn.QUARTILE.INC($U$2:$U$633,2),"Medium",TRUE,"High")</f>
        <v>High</v>
      </c>
      <c r="R267" t="s">
        <v>999</v>
      </c>
      <c r="S267" s="4">
        <v>1207.6300000000001</v>
      </c>
      <c r="T267">
        <v>921.68</v>
      </c>
      <c r="U267">
        <v>921.68</v>
      </c>
      <c r="V267" s="7">
        <v>0.19600000000000001</v>
      </c>
      <c r="W267" s="7">
        <v>0.19600000000000001</v>
      </c>
      <c r="X267" s="7" t="str">
        <f t="shared" si="18"/>
        <v>okay</v>
      </c>
      <c r="Y267" s="9">
        <v>17</v>
      </c>
      <c r="Z267">
        <v>12597.52224</v>
      </c>
      <c r="AA267">
        <v>20529.710000000003</v>
      </c>
      <c r="AB267">
        <v>-7932.1877600000025</v>
      </c>
      <c r="AC267">
        <v>-0.62966253274897988</v>
      </c>
    </row>
    <row r="268" spans="1:29" x14ac:dyDescent="0.3">
      <c r="A268" t="s">
        <v>280</v>
      </c>
      <c r="B268" s="3">
        <v>45573</v>
      </c>
      <c r="C268" s="3" t="str">
        <v>Oct-2024</v>
      </c>
      <c r="D268" s="11" t="str">
        <f t="shared" si="16"/>
        <v>Q4-2024</v>
      </c>
      <c r="E268" s="3">
        <v>45573</v>
      </c>
      <c r="F268" s="3">
        <v>45573</v>
      </c>
      <c r="G268" s="4">
        <f t="shared" si="17"/>
        <v>0</v>
      </c>
      <c r="H268" s="4" t="str">
        <v>ontime</v>
      </c>
      <c r="I268" s="4">
        <f t="shared" si="19"/>
        <v>1</v>
      </c>
      <c r="J268" t="s">
        <v>649</v>
      </c>
      <c r="K268" t="s">
        <v>658</v>
      </c>
      <c r="L268" t="s">
        <v>683</v>
      </c>
      <c r="M268" t="s">
        <v>701</v>
      </c>
      <c r="N268" t="s">
        <v>708</v>
      </c>
      <c r="O268" t="s">
        <v>718</v>
      </c>
      <c r="P268" t="s">
        <v>732</v>
      </c>
      <c r="Q268" t="str" cm="1">
        <f t="array" ref="Q268">_xlfn.IFS(U268&lt;=_xlfn.QUARTILE.INC($U$2:$U899,1),"Low",B268&lt;=_xlfn.QUARTILE.INC($U$2:$U$633,2),"Medium",TRUE,"High")</f>
        <v>High</v>
      </c>
      <c r="R268" t="s">
        <v>1000</v>
      </c>
      <c r="S268" s="4">
        <v>1108.1099999999999</v>
      </c>
      <c r="T268">
        <v>2503.79</v>
      </c>
      <c r="U268">
        <v>2503.79</v>
      </c>
      <c r="V268" s="7">
        <v>0.184</v>
      </c>
      <c r="W268" s="7">
        <v>0.184</v>
      </c>
      <c r="X268" s="7" t="str">
        <f t="shared" si="18"/>
        <v>okay</v>
      </c>
      <c r="Y268" s="9">
        <v>19</v>
      </c>
      <c r="Z268">
        <v>38818.760160000005</v>
      </c>
      <c r="AA268">
        <v>21054.089999999997</v>
      </c>
      <c r="AB268">
        <v>17764.670160000009</v>
      </c>
      <c r="AC268">
        <v>0.45763105485025896</v>
      </c>
    </row>
    <row r="269" spans="1:29" x14ac:dyDescent="0.3">
      <c r="A269" t="s">
        <v>281</v>
      </c>
      <c r="B269" s="3">
        <v>45053</v>
      </c>
      <c r="C269" s="3" t="str">
        <v>May-2023</v>
      </c>
      <c r="D269" s="11" t="str">
        <f t="shared" si="16"/>
        <v>Q2-2023</v>
      </c>
      <c r="E269" s="3">
        <v>45051</v>
      </c>
      <c r="F269" s="3">
        <v>45060</v>
      </c>
      <c r="G269" s="4">
        <f t="shared" si="17"/>
        <v>-9</v>
      </c>
      <c r="H269" s="4" t="str">
        <v>ontime</v>
      </c>
      <c r="I269" s="4">
        <f t="shared" si="19"/>
        <v>1</v>
      </c>
      <c r="J269" t="s">
        <v>646</v>
      </c>
      <c r="K269" t="s">
        <v>651</v>
      </c>
      <c r="L269" t="s">
        <v>663</v>
      </c>
      <c r="M269" t="s">
        <v>703</v>
      </c>
      <c r="N269" t="s">
        <v>709</v>
      </c>
      <c r="O269" t="s">
        <v>720</v>
      </c>
      <c r="P269" t="s">
        <v>727</v>
      </c>
      <c r="Q269" t="str" cm="1">
        <f t="array" ref="Q269">_xlfn.IFS(U269&lt;=_xlfn.QUARTILE.INC($U$2:$U900,1),"Low",B269&lt;=_xlfn.QUARTILE.INC($U$2:$U$633,2),"Medium",TRUE,"High")</f>
        <v>High</v>
      </c>
      <c r="R269" t="s">
        <v>1001</v>
      </c>
      <c r="S269" s="4">
        <v>1269.6500000000001</v>
      </c>
      <c r="T269">
        <v>2462.77</v>
      </c>
      <c r="U269">
        <v>2462.77</v>
      </c>
      <c r="V269" s="7">
        <v>0.107</v>
      </c>
      <c r="W269" s="7">
        <v>0.107</v>
      </c>
      <c r="X269" s="7" t="str">
        <f t="shared" si="18"/>
        <v>okay</v>
      </c>
      <c r="Y269" s="9">
        <v>8</v>
      </c>
      <c r="Z269">
        <v>17594.028880000002</v>
      </c>
      <c r="AA269">
        <v>10157.200000000001</v>
      </c>
      <c r="AB269">
        <v>7436.8288800000009</v>
      </c>
      <c r="AC269">
        <v>0.42269050089225502</v>
      </c>
    </row>
    <row r="270" spans="1:29" x14ac:dyDescent="0.3">
      <c r="A270" t="s">
        <v>282</v>
      </c>
      <c r="B270" s="3">
        <v>45284</v>
      </c>
      <c r="C270" s="3" t="str">
        <v>Dec-2023</v>
      </c>
      <c r="D270" s="11" t="str">
        <f t="shared" si="16"/>
        <v>Q4-2023</v>
      </c>
      <c r="E270" s="3">
        <v>45292</v>
      </c>
      <c r="F270" s="3">
        <v>45284</v>
      </c>
      <c r="G270" s="4">
        <f t="shared" si="17"/>
        <v>8</v>
      </c>
      <c r="H270" s="4" t="str">
        <v>delayed</v>
      </c>
      <c r="I270" s="4">
        <f t="shared" si="19"/>
        <v>0</v>
      </c>
      <c r="J270" t="s">
        <v>648</v>
      </c>
      <c r="K270" t="s">
        <v>655</v>
      </c>
      <c r="L270" t="s">
        <v>670</v>
      </c>
      <c r="M270" t="s">
        <v>702</v>
      </c>
      <c r="N270" t="s">
        <v>711</v>
      </c>
      <c r="O270" t="s">
        <v>712</v>
      </c>
      <c r="P270" t="s">
        <v>730</v>
      </c>
      <c r="Q270" t="str" cm="1">
        <f t="array" ref="Q270">_xlfn.IFS(U270&lt;=_xlfn.QUARTILE.INC($U$2:$U901,1),"Low",B270&lt;=_xlfn.QUARTILE.INC($U$2:$U$633,2),"Medium",TRUE,"High")</f>
        <v>Low</v>
      </c>
      <c r="R270" t="s">
        <v>1002</v>
      </c>
      <c r="S270" s="4">
        <v>526.49</v>
      </c>
      <c r="T270">
        <v>496.2</v>
      </c>
      <c r="U270">
        <v>496.2</v>
      </c>
      <c r="V270" s="7">
        <v>0</v>
      </c>
      <c r="W270" s="7">
        <v>0</v>
      </c>
      <c r="X270" s="7" t="str">
        <f t="shared" si="18"/>
        <v>okay</v>
      </c>
      <c r="Y270" s="9">
        <v>14</v>
      </c>
      <c r="Z270">
        <v>6946.8</v>
      </c>
      <c r="AA270">
        <v>7370.8600000000006</v>
      </c>
      <c r="AB270">
        <v>-424.0600000000004</v>
      </c>
      <c r="AC270">
        <v>-6.1043933897621985E-2</v>
      </c>
    </row>
    <row r="271" spans="1:29" x14ac:dyDescent="0.3">
      <c r="A271" t="s">
        <v>283</v>
      </c>
      <c r="B271" s="3">
        <v>45301</v>
      </c>
      <c r="C271" s="3" t="str">
        <v>Jan-2024</v>
      </c>
      <c r="D271" s="11" t="str">
        <f t="shared" si="16"/>
        <v>Q1-2024</v>
      </c>
      <c r="E271" s="3">
        <v>45314</v>
      </c>
      <c r="F271" s="3">
        <v>45301</v>
      </c>
      <c r="G271" s="4">
        <f t="shared" si="17"/>
        <v>13</v>
      </c>
      <c r="H271" s="4" t="str">
        <v>delayed</v>
      </c>
      <c r="I271" s="4">
        <f t="shared" si="19"/>
        <v>0</v>
      </c>
      <c r="J271" t="s">
        <v>649</v>
      </c>
      <c r="K271" t="s">
        <v>657</v>
      </c>
      <c r="L271" t="s">
        <v>673</v>
      </c>
      <c r="M271" t="s">
        <v>701</v>
      </c>
      <c r="N271" t="s">
        <v>711</v>
      </c>
      <c r="O271" t="s">
        <v>720</v>
      </c>
      <c r="P271" t="s">
        <v>728</v>
      </c>
      <c r="Q271" t="str" cm="1">
        <f t="array" ref="Q271">_xlfn.IFS(U271&lt;=_xlfn.QUARTILE.INC($U$2:$U902,1),"Low",B271&lt;=_xlfn.QUARTILE.INC($U$2:$U$633,2),"Medium",TRUE,"High")</f>
        <v>High</v>
      </c>
      <c r="R271" t="s">
        <v>1003</v>
      </c>
      <c r="S271" s="4">
        <v>720</v>
      </c>
      <c r="T271">
        <v>907.59</v>
      </c>
      <c r="U271">
        <v>907.59</v>
      </c>
      <c r="V271" s="7">
        <v>0.154</v>
      </c>
      <c r="W271" s="7">
        <v>0.154</v>
      </c>
      <c r="X271" s="7" t="str">
        <f t="shared" si="18"/>
        <v>okay</v>
      </c>
      <c r="Y271" s="9">
        <v>10</v>
      </c>
      <c r="Z271">
        <v>7678.2113999999992</v>
      </c>
      <c r="AA271">
        <v>7200</v>
      </c>
      <c r="AB271">
        <v>478.21139999999923</v>
      </c>
      <c r="AC271">
        <v>6.2281614179052078E-2</v>
      </c>
    </row>
    <row r="272" spans="1:29" x14ac:dyDescent="0.3">
      <c r="A272" t="s">
        <v>284</v>
      </c>
      <c r="B272" s="3">
        <v>45141</v>
      </c>
      <c r="C272" s="3" t="str">
        <v>Aug-2023</v>
      </c>
      <c r="D272" s="11" t="str">
        <f t="shared" si="16"/>
        <v>Q3-2023</v>
      </c>
      <c r="E272" s="3">
        <v>45152</v>
      </c>
      <c r="F272" s="3">
        <v>45141</v>
      </c>
      <c r="G272" s="4">
        <f t="shared" si="17"/>
        <v>11</v>
      </c>
      <c r="H272" s="4" t="str">
        <v>delayed</v>
      </c>
      <c r="I272" s="4">
        <f t="shared" si="19"/>
        <v>0</v>
      </c>
      <c r="J272" t="s">
        <v>648</v>
      </c>
      <c r="K272" t="s">
        <v>655</v>
      </c>
      <c r="L272" t="s">
        <v>672</v>
      </c>
      <c r="M272" t="s">
        <v>701</v>
      </c>
      <c r="N272" t="s">
        <v>711</v>
      </c>
      <c r="O272" t="s">
        <v>713</v>
      </c>
      <c r="P272" t="s">
        <v>733</v>
      </c>
      <c r="Q272" t="str" cm="1">
        <f t="array" ref="Q272">_xlfn.IFS(U272&lt;=_xlfn.QUARTILE.INC($U$2:$U903,1),"Low",B272&lt;=_xlfn.QUARTILE.INC($U$2:$U$633,2),"Medium",TRUE,"High")</f>
        <v>Low</v>
      </c>
      <c r="R272" t="s">
        <v>1004</v>
      </c>
      <c r="S272" s="4">
        <v>232.73</v>
      </c>
      <c r="T272">
        <v>334.19</v>
      </c>
      <c r="U272">
        <v>334.19</v>
      </c>
      <c r="V272" s="7">
        <v>0.13400000000000001</v>
      </c>
      <c r="W272" s="7">
        <v>0.13400000000000001</v>
      </c>
      <c r="X272" s="7" t="str">
        <f t="shared" si="18"/>
        <v>okay</v>
      </c>
      <c r="Y272" s="9">
        <v>25</v>
      </c>
      <c r="Z272">
        <v>7235.2134999999998</v>
      </c>
      <c r="AA272">
        <v>5818.25</v>
      </c>
      <c r="AB272">
        <v>1416.9634999999998</v>
      </c>
      <c r="AC272">
        <v>0.1958426658729559</v>
      </c>
    </row>
    <row r="273" spans="1:29" x14ac:dyDescent="0.3">
      <c r="A273" t="s">
        <v>285</v>
      </c>
      <c r="B273" s="3">
        <v>45707</v>
      </c>
      <c r="C273" s="3" t="str">
        <v>Feb-2025</v>
      </c>
      <c r="D273" s="11" t="str">
        <f t="shared" si="16"/>
        <v>Q1-2025</v>
      </c>
      <c r="E273" s="3">
        <v>45725</v>
      </c>
      <c r="F273" s="3">
        <v>45707</v>
      </c>
      <c r="G273" s="4">
        <f t="shared" si="17"/>
        <v>18</v>
      </c>
      <c r="H273" s="4" t="str">
        <v>delayed</v>
      </c>
      <c r="I273" s="4">
        <f t="shared" si="19"/>
        <v>0</v>
      </c>
      <c r="J273" t="s">
        <v>647</v>
      </c>
      <c r="K273" t="s">
        <v>654</v>
      </c>
      <c r="L273" t="s">
        <v>680</v>
      </c>
      <c r="M273" t="s">
        <v>705</v>
      </c>
      <c r="N273" t="s">
        <v>711</v>
      </c>
      <c r="O273" t="s">
        <v>719</v>
      </c>
      <c r="P273" t="s">
        <v>732</v>
      </c>
      <c r="Q273" t="str" cm="1">
        <f t="array" ref="Q273">_xlfn.IFS(U273&lt;=_xlfn.QUARTILE.INC($U$2:$U904,1),"Low",B273&lt;=_xlfn.QUARTILE.INC($U$2:$U$633,2),"Medium",TRUE,"High")</f>
        <v>Low</v>
      </c>
      <c r="R273" t="s">
        <v>1005</v>
      </c>
      <c r="S273" s="4">
        <v>325.87</v>
      </c>
      <c r="T273">
        <v>538.79</v>
      </c>
      <c r="U273">
        <v>538.79</v>
      </c>
      <c r="V273" s="7">
        <v>0.17399999999999999</v>
      </c>
      <c r="W273" s="7">
        <v>0.17399999999999999</v>
      </c>
      <c r="X273" s="7" t="str">
        <f t="shared" si="18"/>
        <v>okay</v>
      </c>
      <c r="Y273" s="9">
        <v>16</v>
      </c>
      <c r="Z273">
        <v>7120.6486400000003</v>
      </c>
      <c r="AA273">
        <v>5213.92</v>
      </c>
      <c r="AB273">
        <v>1906.7286400000003</v>
      </c>
      <c r="AC273">
        <v>0.26777457172778013</v>
      </c>
    </row>
    <row r="274" spans="1:29" x14ac:dyDescent="0.3">
      <c r="A274" t="s">
        <v>286</v>
      </c>
      <c r="B274" s="3">
        <v>45382</v>
      </c>
      <c r="C274" s="3" t="str">
        <v>Mar-2024</v>
      </c>
      <c r="D274" s="11" t="str">
        <f t="shared" si="16"/>
        <v>Q1-2024</v>
      </c>
      <c r="E274" s="3">
        <v>45399</v>
      </c>
      <c r="F274" s="3">
        <v>45382</v>
      </c>
      <c r="G274" s="4">
        <f t="shared" si="17"/>
        <v>17</v>
      </c>
      <c r="H274" s="4" t="str">
        <v>delayed</v>
      </c>
      <c r="I274" s="4">
        <f t="shared" si="19"/>
        <v>0</v>
      </c>
      <c r="J274" t="s">
        <v>649</v>
      </c>
      <c r="K274" t="s">
        <v>656</v>
      </c>
      <c r="L274" t="s">
        <v>698</v>
      </c>
      <c r="M274" t="s">
        <v>702</v>
      </c>
      <c r="N274" t="s">
        <v>711</v>
      </c>
      <c r="O274" t="s">
        <v>722</v>
      </c>
      <c r="P274" t="s">
        <v>732</v>
      </c>
      <c r="Q274" t="str" cm="1">
        <f t="array" ref="Q274">_xlfn.IFS(U274&lt;=_xlfn.QUARTILE.INC($U$2:$U905,1),"Low",B274&lt;=_xlfn.QUARTILE.INC($U$2:$U$633,2),"Medium",TRUE,"High")</f>
        <v>High</v>
      </c>
      <c r="R274" t="s">
        <v>1006</v>
      </c>
      <c r="S274" s="4">
        <v>1025.51</v>
      </c>
      <c r="T274">
        <v>1436.54</v>
      </c>
      <c r="U274">
        <v>1436.54</v>
      </c>
      <c r="V274" s="7">
        <v>0.13900000000000001</v>
      </c>
      <c r="W274" s="7">
        <v>0.13900000000000001</v>
      </c>
      <c r="X274" s="7" t="str">
        <f t="shared" si="18"/>
        <v>okay</v>
      </c>
      <c r="Y274" s="9">
        <v>28</v>
      </c>
      <c r="Z274">
        <v>34632.106319999999</v>
      </c>
      <c r="AA274">
        <v>28714.28</v>
      </c>
      <c r="AB274">
        <v>5917.8263200000001</v>
      </c>
      <c r="AC274">
        <v>0.17087688127656453</v>
      </c>
    </row>
    <row r="275" spans="1:29" x14ac:dyDescent="0.3">
      <c r="A275" t="s">
        <v>287</v>
      </c>
      <c r="B275" s="3">
        <v>45131</v>
      </c>
      <c r="C275" s="3" t="str">
        <v>Jul-2023</v>
      </c>
      <c r="D275" s="11" t="str">
        <f t="shared" si="16"/>
        <v>Q3-2023</v>
      </c>
      <c r="E275" s="3">
        <v>45151</v>
      </c>
      <c r="F275" s="3">
        <v>45131</v>
      </c>
      <c r="G275" s="4">
        <f t="shared" si="17"/>
        <v>20</v>
      </c>
      <c r="H275" s="4" t="str">
        <v>delayed</v>
      </c>
      <c r="I275" s="4">
        <f t="shared" si="19"/>
        <v>0</v>
      </c>
      <c r="J275" t="s">
        <v>648</v>
      </c>
      <c r="K275" t="s">
        <v>653</v>
      </c>
      <c r="L275" t="s">
        <v>681</v>
      </c>
      <c r="M275" t="s">
        <v>702</v>
      </c>
      <c r="N275" t="s">
        <v>711</v>
      </c>
      <c r="O275" t="s">
        <v>712</v>
      </c>
      <c r="P275" t="s">
        <v>732</v>
      </c>
      <c r="Q275" t="str" cm="1">
        <f t="array" ref="Q275">_xlfn.IFS(U275&lt;=_xlfn.QUARTILE.INC($U$2:$U906,1),"Low",B275&lt;=_xlfn.QUARTILE.INC($U$2:$U$633,2),"Medium",TRUE,"High")</f>
        <v>High</v>
      </c>
      <c r="R275" t="s">
        <v>1007</v>
      </c>
      <c r="S275" s="4">
        <v>1082.3800000000001</v>
      </c>
      <c r="T275">
        <v>1766.55</v>
      </c>
      <c r="U275">
        <v>1766.55</v>
      </c>
      <c r="V275" s="7">
        <v>0.16400000000000001</v>
      </c>
      <c r="W275" s="7">
        <v>0.16400000000000001</v>
      </c>
      <c r="X275" s="7" t="str">
        <f t="shared" si="18"/>
        <v>okay</v>
      </c>
      <c r="Y275" s="9">
        <v>20</v>
      </c>
      <c r="Z275">
        <v>29536.716</v>
      </c>
      <c r="AA275">
        <v>21647.600000000002</v>
      </c>
      <c r="AB275">
        <v>7889.1159999999982</v>
      </c>
      <c r="AC275">
        <v>0.26709523157550752</v>
      </c>
    </row>
    <row r="276" spans="1:29" x14ac:dyDescent="0.3">
      <c r="A276" t="s">
        <v>288</v>
      </c>
      <c r="B276" s="3">
        <v>45367</v>
      </c>
      <c r="C276" s="3" t="str">
        <v>Mar-2024</v>
      </c>
      <c r="D276" s="11" t="str">
        <f t="shared" si="16"/>
        <v>Q1-2024</v>
      </c>
      <c r="E276" s="3">
        <v>45395</v>
      </c>
      <c r="F276" s="3">
        <v>45367</v>
      </c>
      <c r="G276" s="4">
        <f t="shared" si="17"/>
        <v>28</v>
      </c>
      <c r="H276" s="4" t="str">
        <v>delayed</v>
      </c>
      <c r="I276" s="4">
        <f t="shared" si="19"/>
        <v>0</v>
      </c>
      <c r="J276" t="s">
        <v>649</v>
      </c>
      <c r="K276" t="s">
        <v>657</v>
      </c>
      <c r="L276" t="s">
        <v>690</v>
      </c>
      <c r="M276" t="s">
        <v>705</v>
      </c>
      <c r="N276" t="s">
        <v>708</v>
      </c>
      <c r="O276" t="s">
        <v>723</v>
      </c>
      <c r="P276" t="s">
        <v>728</v>
      </c>
      <c r="Q276" t="str" cm="1">
        <f t="array" ref="Q276">_xlfn.IFS(U276&lt;=_xlfn.QUARTILE.INC($U$2:$U907,1),"Low",B276&lt;=_xlfn.QUARTILE.INC($U$2:$U$633,2),"Medium",TRUE,"High")</f>
        <v>High</v>
      </c>
      <c r="R276" t="s">
        <v>1008</v>
      </c>
      <c r="S276" s="4">
        <v>287.61</v>
      </c>
      <c r="T276">
        <v>628.54</v>
      </c>
      <c r="U276">
        <v>628.54</v>
      </c>
      <c r="V276" s="7">
        <v>0.13500000000000001</v>
      </c>
      <c r="W276" s="7">
        <v>0.13500000000000001</v>
      </c>
      <c r="X276" s="7" t="str">
        <f t="shared" si="18"/>
        <v>okay</v>
      </c>
      <c r="Y276" s="9">
        <v>21</v>
      </c>
      <c r="Z276">
        <v>11417.429099999999</v>
      </c>
      <c r="AA276">
        <v>6039.81</v>
      </c>
      <c r="AB276">
        <v>5377.619099999999</v>
      </c>
      <c r="AC276">
        <v>0.47100087531964613</v>
      </c>
    </row>
    <row r="277" spans="1:29" x14ac:dyDescent="0.3">
      <c r="A277" t="s">
        <v>289</v>
      </c>
      <c r="B277" s="3">
        <v>45316</v>
      </c>
      <c r="C277" s="3" t="str">
        <v>Jan-2024</v>
      </c>
      <c r="D277" s="11" t="str">
        <f t="shared" si="16"/>
        <v>Q1-2024</v>
      </c>
      <c r="E277" s="3">
        <v>45318</v>
      </c>
      <c r="F277" s="3">
        <v>45316</v>
      </c>
      <c r="G277" s="4">
        <f t="shared" si="17"/>
        <v>2</v>
      </c>
      <c r="H277" s="4" t="str">
        <v>ontime</v>
      </c>
      <c r="I277" s="4">
        <f t="shared" si="19"/>
        <v>1</v>
      </c>
      <c r="J277" t="s">
        <v>648</v>
      </c>
      <c r="K277" t="s">
        <v>655</v>
      </c>
      <c r="L277" t="s">
        <v>670</v>
      </c>
      <c r="M277" t="s">
        <v>703</v>
      </c>
      <c r="N277" t="s">
        <v>709</v>
      </c>
      <c r="O277" t="s">
        <v>725</v>
      </c>
      <c r="P277" t="s">
        <v>731</v>
      </c>
      <c r="Q277" t="str" cm="1">
        <f t="array" ref="Q277">_xlfn.IFS(U277&lt;=_xlfn.QUARTILE.INC($U$2:$U908,1),"Low",B277&lt;=_xlfn.QUARTILE.INC($U$2:$U$633,2),"Medium",TRUE,"High")</f>
        <v>High</v>
      </c>
      <c r="R277" t="s">
        <v>1009</v>
      </c>
      <c r="S277" s="4">
        <v>1410.97</v>
      </c>
      <c r="T277">
        <v>1650.75</v>
      </c>
      <c r="U277">
        <v>1650.75</v>
      </c>
      <c r="V277" s="7">
        <v>0.13500000000000001</v>
      </c>
      <c r="W277" s="7">
        <v>0.13500000000000001</v>
      </c>
      <c r="X277" s="7" t="str">
        <f t="shared" si="18"/>
        <v>okay</v>
      </c>
      <c r="Y277" s="9">
        <v>6</v>
      </c>
      <c r="Z277">
        <v>8567.3924999999999</v>
      </c>
      <c r="AA277">
        <v>8465.82</v>
      </c>
      <c r="AB277">
        <v>101.57250000000022</v>
      </c>
      <c r="AC277">
        <v>1.1855707556295596E-2</v>
      </c>
    </row>
    <row r="278" spans="1:29" x14ac:dyDescent="0.3">
      <c r="A278" t="s">
        <v>290</v>
      </c>
      <c r="B278" s="3">
        <v>45378</v>
      </c>
      <c r="C278" s="3" t="str">
        <v>Mar-2024</v>
      </c>
      <c r="D278" s="11" t="str">
        <f t="shared" si="16"/>
        <v>Q1-2024</v>
      </c>
      <c r="E278" s="3">
        <v>45393</v>
      </c>
      <c r="F278" s="3">
        <v>45378</v>
      </c>
      <c r="G278" s="4">
        <f t="shared" si="17"/>
        <v>15</v>
      </c>
      <c r="H278" s="4" t="str">
        <v>delayed</v>
      </c>
      <c r="I278" s="4">
        <f t="shared" si="19"/>
        <v>0</v>
      </c>
      <c r="J278" t="s">
        <v>648</v>
      </c>
      <c r="K278" t="s">
        <v>660</v>
      </c>
      <c r="L278" t="s">
        <v>686</v>
      </c>
      <c r="M278" t="s">
        <v>705</v>
      </c>
      <c r="N278" t="s">
        <v>711</v>
      </c>
      <c r="O278" t="s">
        <v>719</v>
      </c>
      <c r="P278" t="s">
        <v>729</v>
      </c>
      <c r="Q278" t="str" cm="1">
        <f t="array" ref="Q278">_xlfn.IFS(U278&lt;=_xlfn.QUARTILE.INC($U$2:$U909,1),"Low",B278&lt;=_xlfn.QUARTILE.INC($U$2:$U$633,2),"Medium",TRUE,"High")</f>
        <v>High</v>
      </c>
      <c r="R278" t="s">
        <v>1010</v>
      </c>
      <c r="S278" s="4">
        <v>1338.35</v>
      </c>
      <c r="T278">
        <v>2247.14</v>
      </c>
      <c r="U278">
        <v>2247.14</v>
      </c>
      <c r="V278" s="7">
        <v>0.115</v>
      </c>
      <c r="W278" s="7">
        <v>0.115</v>
      </c>
      <c r="X278" s="7" t="str">
        <f t="shared" si="18"/>
        <v>okay</v>
      </c>
      <c r="Y278" s="9">
        <v>40</v>
      </c>
      <c r="Z278">
        <v>79548.755999999994</v>
      </c>
      <c r="AA278">
        <v>53534</v>
      </c>
      <c r="AB278">
        <v>26014.755999999994</v>
      </c>
      <c r="AC278">
        <v>0.32702907384246205</v>
      </c>
    </row>
    <row r="279" spans="1:29" x14ac:dyDescent="0.3">
      <c r="A279" t="s">
        <v>291</v>
      </c>
      <c r="B279" s="3">
        <v>45832</v>
      </c>
      <c r="C279" s="3" t="str">
        <v>Jun-2025</v>
      </c>
      <c r="D279" s="11" t="str">
        <f t="shared" si="16"/>
        <v>Q2-2025</v>
      </c>
      <c r="E279" s="3">
        <v>45852</v>
      </c>
      <c r="F279" s="3">
        <v>45832</v>
      </c>
      <c r="G279" s="4">
        <f t="shared" si="17"/>
        <v>20</v>
      </c>
      <c r="H279" s="4" t="str">
        <v>delayed</v>
      </c>
      <c r="I279" s="4">
        <f t="shared" si="19"/>
        <v>0</v>
      </c>
      <c r="J279" t="s">
        <v>649</v>
      </c>
      <c r="K279" t="s">
        <v>656</v>
      </c>
      <c r="L279" t="s">
        <v>671</v>
      </c>
      <c r="M279" t="s">
        <v>701</v>
      </c>
      <c r="N279" t="s">
        <v>711</v>
      </c>
      <c r="O279" t="s">
        <v>719</v>
      </c>
      <c r="P279" t="s">
        <v>733</v>
      </c>
      <c r="Q279" t="str" cm="1">
        <f t="array" ref="Q279">_xlfn.IFS(U279&lt;=_xlfn.QUARTILE.INC($U$2:$U910,1),"Low",B279&lt;=_xlfn.QUARTILE.INC($U$2:$U$633,2),"Medium",TRUE,"High")</f>
        <v>High</v>
      </c>
      <c r="R279" t="s">
        <v>1011</v>
      </c>
      <c r="S279" s="4">
        <v>385.08</v>
      </c>
      <c r="T279">
        <v>893.19</v>
      </c>
      <c r="U279">
        <v>893.19</v>
      </c>
      <c r="V279" s="7">
        <v>0.151</v>
      </c>
      <c r="W279" s="7">
        <v>0.151</v>
      </c>
      <c r="X279" s="7" t="str">
        <f t="shared" si="18"/>
        <v>okay</v>
      </c>
      <c r="Y279" s="9">
        <v>8</v>
      </c>
      <c r="Z279">
        <v>6066.54648</v>
      </c>
      <c r="AA279">
        <v>3080.64</v>
      </c>
      <c r="AB279">
        <v>2985.9064800000001</v>
      </c>
      <c r="AC279">
        <v>0.49219213762621666</v>
      </c>
    </row>
    <row r="280" spans="1:29" x14ac:dyDescent="0.3">
      <c r="A280" t="s">
        <v>292</v>
      </c>
      <c r="B280" s="3">
        <v>45459</v>
      </c>
      <c r="C280" s="3" t="str">
        <v>Jun-2024</v>
      </c>
      <c r="D280" s="11" t="str">
        <f t="shared" si="16"/>
        <v>Q2-2024</v>
      </c>
      <c r="E280" s="3">
        <v>45476</v>
      </c>
      <c r="F280" s="3">
        <v>45459</v>
      </c>
      <c r="G280" s="4">
        <f t="shared" si="17"/>
        <v>17</v>
      </c>
      <c r="H280" s="4" t="str">
        <v>delayed</v>
      </c>
      <c r="I280" s="4">
        <f t="shared" si="19"/>
        <v>0</v>
      </c>
      <c r="J280" t="s">
        <v>646</v>
      </c>
      <c r="K280" t="s">
        <v>661</v>
      </c>
      <c r="L280" t="s">
        <v>682</v>
      </c>
      <c r="M280" t="s">
        <v>706</v>
      </c>
      <c r="N280" t="s">
        <v>709</v>
      </c>
      <c r="O280" t="s">
        <v>721</v>
      </c>
      <c r="P280" t="s">
        <v>730</v>
      </c>
      <c r="Q280" t="str" cm="1">
        <f t="array" ref="Q280">_xlfn.IFS(U280&lt;=_xlfn.QUARTILE.INC($U$2:$U911,1),"Low",B280&lt;=_xlfn.QUARTILE.INC($U$2:$U$633,2),"Medium",TRUE,"High")</f>
        <v>High</v>
      </c>
      <c r="R280" t="s">
        <v>1012</v>
      </c>
      <c r="S280" s="4">
        <v>1173.83</v>
      </c>
      <c r="T280">
        <v>2328.9</v>
      </c>
      <c r="U280">
        <v>2328.9</v>
      </c>
      <c r="V280" s="7">
        <v>0.12</v>
      </c>
      <c r="W280" s="7">
        <v>0.12</v>
      </c>
      <c r="X280" s="7" t="str">
        <f t="shared" si="18"/>
        <v>okay</v>
      </c>
      <c r="Y280" s="9">
        <v>17</v>
      </c>
      <c r="Z280">
        <v>34840.344000000005</v>
      </c>
      <c r="AA280">
        <v>19955.11</v>
      </c>
      <c r="AB280">
        <v>14885.234000000004</v>
      </c>
      <c r="AC280">
        <v>0.42724130393201637</v>
      </c>
    </row>
    <row r="281" spans="1:29" x14ac:dyDescent="0.3">
      <c r="A281" t="s">
        <v>293</v>
      </c>
      <c r="B281" s="3">
        <v>45229</v>
      </c>
      <c r="C281" s="3" t="str">
        <v>Oct-2023</v>
      </c>
      <c r="D281" s="11" t="str">
        <f t="shared" si="16"/>
        <v>Q4-2023</v>
      </c>
      <c r="E281" s="3">
        <v>45244</v>
      </c>
      <c r="F281" s="3">
        <v>45229</v>
      </c>
      <c r="G281" s="4">
        <f t="shared" si="17"/>
        <v>15</v>
      </c>
      <c r="H281" s="4" t="str">
        <v>delayed</v>
      </c>
      <c r="I281" s="4">
        <f t="shared" si="19"/>
        <v>0</v>
      </c>
      <c r="J281" t="s">
        <v>647</v>
      </c>
      <c r="K281" t="s">
        <v>654</v>
      </c>
      <c r="L281" t="s">
        <v>668</v>
      </c>
      <c r="M281" t="s">
        <v>701</v>
      </c>
      <c r="N281" t="s">
        <v>708</v>
      </c>
      <c r="O281" t="s">
        <v>721</v>
      </c>
      <c r="P281" t="s">
        <v>731</v>
      </c>
      <c r="Q281" t="str" cm="1">
        <f t="array" ref="Q281">_xlfn.IFS(U281&lt;=_xlfn.QUARTILE.INC($U$2:$U912,1),"Low",B281&lt;=_xlfn.QUARTILE.INC($U$2:$U$633,2),"Medium",TRUE,"High")</f>
        <v>High</v>
      </c>
      <c r="R281" t="s">
        <v>1013</v>
      </c>
      <c r="S281" s="4">
        <v>953.46</v>
      </c>
      <c r="T281">
        <v>2066.75</v>
      </c>
      <c r="U281">
        <v>2066.75</v>
      </c>
      <c r="V281" s="7">
        <v>0.13800000000000001</v>
      </c>
      <c r="W281" s="7">
        <v>0.13800000000000001</v>
      </c>
      <c r="X281" s="7" t="str">
        <f t="shared" si="18"/>
        <v>okay</v>
      </c>
      <c r="Y281" s="9">
        <v>5</v>
      </c>
      <c r="Z281">
        <v>8907.6924999999992</v>
      </c>
      <c r="AA281">
        <v>4767.3</v>
      </c>
      <c r="AB281">
        <v>4140.392499999999</v>
      </c>
      <c r="AC281">
        <v>0.46481089238318446</v>
      </c>
    </row>
    <row r="282" spans="1:29" x14ac:dyDescent="0.3">
      <c r="A282" t="s">
        <v>294</v>
      </c>
      <c r="B282" s="3">
        <v>45092</v>
      </c>
      <c r="C282" s="3" t="str">
        <v>Jun-2023</v>
      </c>
      <c r="D282" s="11" t="str">
        <f t="shared" si="16"/>
        <v>Q2-2023</v>
      </c>
      <c r="E282" s="3">
        <v>45100</v>
      </c>
      <c r="F282" s="3">
        <v>45092</v>
      </c>
      <c r="G282" s="4">
        <f t="shared" si="17"/>
        <v>8</v>
      </c>
      <c r="H282" s="4" t="str">
        <v>delayed</v>
      </c>
      <c r="I282" s="4">
        <f t="shared" si="19"/>
        <v>0</v>
      </c>
      <c r="J282" t="s">
        <v>648</v>
      </c>
      <c r="K282" t="s">
        <v>660</v>
      </c>
      <c r="L282" t="s">
        <v>686</v>
      </c>
      <c r="M282" t="s">
        <v>704</v>
      </c>
      <c r="N282" t="s">
        <v>710</v>
      </c>
      <c r="O282" t="s">
        <v>719</v>
      </c>
      <c r="P282" t="s">
        <v>732</v>
      </c>
      <c r="Q282" t="str" cm="1">
        <f t="array" ref="Q282">_xlfn.IFS(U282&lt;=_xlfn.QUARTILE.INC($U$2:$U913,1),"Low",B282&lt;=_xlfn.QUARTILE.INC($U$2:$U$633,2),"Medium",TRUE,"High")</f>
        <v>High</v>
      </c>
      <c r="R282" t="s">
        <v>1014</v>
      </c>
      <c r="S282" s="4">
        <v>1097.0899999999999</v>
      </c>
      <c r="T282">
        <v>2182.31</v>
      </c>
      <c r="U282">
        <v>2182.31</v>
      </c>
      <c r="V282" s="7">
        <v>0.112</v>
      </c>
      <c r="W282" s="7">
        <v>0.112</v>
      </c>
      <c r="X282" s="7" t="str">
        <f t="shared" si="18"/>
        <v>okay</v>
      </c>
      <c r="Y282" s="9">
        <v>9</v>
      </c>
      <c r="Z282">
        <v>17441.021520000002</v>
      </c>
      <c r="AA282">
        <v>9873.81</v>
      </c>
      <c r="AB282">
        <v>7567.2115200000026</v>
      </c>
      <c r="AC282">
        <v>0.43387432962699546</v>
      </c>
    </row>
    <row r="283" spans="1:29" x14ac:dyDescent="0.3">
      <c r="A283" t="s">
        <v>295</v>
      </c>
      <c r="B283" s="3">
        <v>45730</v>
      </c>
      <c r="C283" s="3" t="str">
        <v>Mar-2025</v>
      </c>
      <c r="D283" s="11" t="str">
        <f t="shared" si="16"/>
        <v>Q1-2025</v>
      </c>
      <c r="E283" s="3">
        <v>45745</v>
      </c>
      <c r="F283" s="3">
        <v>45730</v>
      </c>
      <c r="G283" s="4">
        <f t="shared" si="17"/>
        <v>15</v>
      </c>
      <c r="H283" s="4" t="str">
        <v>delayed</v>
      </c>
      <c r="I283" s="4">
        <f t="shared" si="19"/>
        <v>0</v>
      </c>
      <c r="J283" t="s">
        <v>647</v>
      </c>
      <c r="K283" t="s">
        <v>652</v>
      </c>
      <c r="L283" t="s">
        <v>689</v>
      </c>
      <c r="M283" t="s">
        <v>703</v>
      </c>
      <c r="N283" t="s">
        <v>711</v>
      </c>
      <c r="O283" t="s">
        <v>722</v>
      </c>
      <c r="P283" t="s">
        <v>729</v>
      </c>
      <c r="Q283" t="str" cm="1">
        <f t="array" ref="Q283">_xlfn.IFS(U283&lt;=_xlfn.QUARTILE.INC($U$2:$U914,1),"Low",B283&lt;=_xlfn.QUARTILE.INC($U$2:$U$633,2),"Medium",TRUE,"High")</f>
        <v>High</v>
      </c>
      <c r="R283" t="s">
        <v>1015</v>
      </c>
      <c r="S283" s="4">
        <v>1106.96</v>
      </c>
      <c r="T283">
        <v>2726.62</v>
      </c>
      <c r="U283">
        <v>2726.62</v>
      </c>
      <c r="V283" s="7">
        <v>0.317</v>
      </c>
      <c r="W283" s="7">
        <v>0.317</v>
      </c>
      <c r="X283" s="7" t="str">
        <f t="shared" si="18"/>
        <v>High discount</v>
      </c>
      <c r="Y283" s="9">
        <v>7</v>
      </c>
      <c r="Z283">
        <v>13035.970220000001</v>
      </c>
      <c r="AA283">
        <v>7748.72</v>
      </c>
      <c r="AB283">
        <v>5287.2502200000008</v>
      </c>
      <c r="AC283">
        <v>0.40558931408789306</v>
      </c>
    </row>
    <row r="284" spans="1:29" x14ac:dyDescent="0.3">
      <c r="A284" t="s">
        <v>296</v>
      </c>
      <c r="B284" s="3">
        <v>45153</v>
      </c>
      <c r="C284" s="3" t="str">
        <v>Aug-2023</v>
      </c>
      <c r="D284" s="11" t="str">
        <f t="shared" si="16"/>
        <v>Q3-2023</v>
      </c>
      <c r="E284" s="3">
        <v>45163</v>
      </c>
      <c r="F284" s="3">
        <v>45153</v>
      </c>
      <c r="G284" s="4">
        <f t="shared" si="17"/>
        <v>10</v>
      </c>
      <c r="H284" s="4" t="str">
        <v>delayed</v>
      </c>
      <c r="I284" s="4">
        <f t="shared" si="19"/>
        <v>0</v>
      </c>
      <c r="J284" t="s">
        <v>646</v>
      </c>
      <c r="K284" t="s">
        <v>650</v>
      </c>
      <c r="L284" t="s">
        <v>664</v>
      </c>
      <c r="M284" t="s">
        <v>705</v>
      </c>
      <c r="N284" t="s">
        <v>707</v>
      </c>
      <c r="O284" t="s">
        <v>725</v>
      </c>
      <c r="P284" t="s">
        <v>730</v>
      </c>
      <c r="Q284" t="str" cm="1">
        <f t="array" ref="Q284">_xlfn.IFS(U284&lt;=_xlfn.QUARTILE.INC($U$2:$U915,1),"Low",B284&lt;=_xlfn.QUARTILE.INC($U$2:$U$633,2),"Medium",TRUE,"High")</f>
        <v>Low</v>
      </c>
      <c r="R284" t="s">
        <v>1016</v>
      </c>
      <c r="S284" s="4">
        <v>91.85</v>
      </c>
      <c r="T284">
        <v>111.29</v>
      </c>
      <c r="U284">
        <v>111.29</v>
      </c>
      <c r="V284" s="7">
        <v>0</v>
      </c>
      <c r="W284" s="7">
        <v>0</v>
      </c>
      <c r="X284" s="7" t="str">
        <f t="shared" si="18"/>
        <v>okay</v>
      </c>
      <c r="Y284" s="9">
        <v>6</v>
      </c>
      <c r="Z284">
        <v>667.74</v>
      </c>
      <c r="AA284">
        <v>551.09999999999991</v>
      </c>
      <c r="AB284">
        <v>116.6400000000001</v>
      </c>
      <c r="AC284">
        <v>0.17467876718483258</v>
      </c>
    </row>
    <row r="285" spans="1:29" x14ac:dyDescent="0.3">
      <c r="A285" t="s">
        <v>297</v>
      </c>
      <c r="B285" s="3">
        <v>45794</v>
      </c>
      <c r="C285" s="3" t="str">
        <v>May-2025</v>
      </c>
      <c r="D285" s="11" t="str">
        <f t="shared" si="16"/>
        <v>Q2-2025</v>
      </c>
      <c r="E285" s="3">
        <v>45805</v>
      </c>
      <c r="F285" s="3">
        <v>45794</v>
      </c>
      <c r="G285" s="4">
        <f t="shared" si="17"/>
        <v>11</v>
      </c>
      <c r="H285" s="4" t="str">
        <v>delayed</v>
      </c>
      <c r="I285" s="4">
        <f t="shared" si="19"/>
        <v>0</v>
      </c>
      <c r="J285" t="s">
        <v>647</v>
      </c>
      <c r="K285" t="s">
        <v>654</v>
      </c>
      <c r="L285" t="s">
        <v>668</v>
      </c>
      <c r="M285" t="s">
        <v>701</v>
      </c>
      <c r="N285" t="s">
        <v>710</v>
      </c>
      <c r="O285" t="s">
        <v>717</v>
      </c>
      <c r="P285" t="s">
        <v>731</v>
      </c>
      <c r="Q285" t="str" cm="1">
        <f t="array" ref="Q285">_xlfn.IFS(U285&lt;=_xlfn.QUARTILE.INC($U$2:$U916,1),"Low",B285&lt;=_xlfn.QUARTILE.INC($U$2:$U$633,2),"Medium",TRUE,"High")</f>
        <v>High</v>
      </c>
      <c r="R285" t="s">
        <v>1017</v>
      </c>
      <c r="S285" s="4">
        <v>623.4</v>
      </c>
      <c r="T285">
        <v>1100.0899999999999</v>
      </c>
      <c r="U285">
        <v>1100.0899999999999</v>
      </c>
      <c r="V285" s="7">
        <v>0.114</v>
      </c>
      <c r="W285" s="7">
        <v>0.114</v>
      </c>
      <c r="X285" s="7" t="str">
        <f t="shared" si="18"/>
        <v>okay</v>
      </c>
      <c r="Y285" s="9">
        <v>12</v>
      </c>
      <c r="Z285">
        <v>11696.156879999999</v>
      </c>
      <c r="AA285">
        <v>7480.7999999999993</v>
      </c>
      <c r="AB285">
        <v>4215.3568799999994</v>
      </c>
      <c r="AC285">
        <v>0.36040529579490388</v>
      </c>
    </row>
    <row r="286" spans="1:29" x14ac:dyDescent="0.3">
      <c r="A286" t="s">
        <v>298</v>
      </c>
      <c r="B286" s="3">
        <v>45304</v>
      </c>
      <c r="C286" s="3" t="str">
        <v>Jan-2024</v>
      </c>
      <c r="D286" s="11" t="str">
        <f t="shared" si="16"/>
        <v>Q1-2024</v>
      </c>
      <c r="E286" s="3">
        <v>45327</v>
      </c>
      <c r="F286" s="3">
        <v>45304</v>
      </c>
      <c r="G286" s="4">
        <f t="shared" si="17"/>
        <v>23</v>
      </c>
      <c r="H286" s="4" t="str">
        <v>delayed</v>
      </c>
      <c r="I286" s="4">
        <f t="shared" si="19"/>
        <v>0</v>
      </c>
      <c r="J286" t="s">
        <v>649</v>
      </c>
      <c r="K286" t="s">
        <v>656</v>
      </c>
      <c r="L286" t="s">
        <v>698</v>
      </c>
      <c r="M286" t="s">
        <v>702</v>
      </c>
      <c r="N286" t="s">
        <v>711</v>
      </c>
      <c r="O286" t="s">
        <v>717</v>
      </c>
      <c r="P286" t="s">
        <v>731</v>
      </c>
      <c r="Q286" t="str" cm="1">
        <f t="array" ref="Q286">_xlfn.IFS(U286&lt;=_xlfn.QUARTILE.INC($U$2:$U917,1),"Low",B286&lt;=_xlfn.QUARTILE.INC($U$2:$U$633,2),"Medium",TRUE,"High")</f>
        <v>High</v>
      </c>
      <c r="R286" t="s">
        <v>1018</v>
      </c>
      <c r="S286" s="4">
        <v>1017.93</v>
      </c>
      <c r="T286">
        <v>1529.14</v>
      </c>
      <c r="U286">
        <v>1529.14</v>
      </c>
      <c r="V286" s="7">
        <v>0.155</v>
      </c>
      <c r="W286" s="7">
        <v>0.155</v>
      </c>
      <c r="X286" s="7" t="str">
        <f t="shared" si="18"/>
        <v>okay</v>
      </c>
      <c r="Y286" s="9">
        <v>12</v>
      </c>
      <c r="Z286">
        <v>15505.479600000001</v>
      </c>
      <c r="AA286">
        <v>12215.16</v>
      </c>
      <c r="AB286">
        <v>3290.3196000000007</v>
      </c>
      <c r="AC286">
        <v>0.21220366508366503</v>
      </c>
    </row>
    <row r="287" spans="1:29" x14ac:dyDescent="0.3">
      <c r="A287" t="s">
        <v>299</v>
      </c>
      <c r="B287" s="3">
        <v>45101</v>
      </c>
      <c r="C287" s="3" t="str">
        <v>Jun-2023</v>
      </c>
      <c r="D287" s="11" t="str">
        <f t="shared" si="16"/>
        <v>Q2-2023</v>
      </c>
      <c r="E287" s="3">
        <v>45128</v>
      </c>
      <c r="F287" s="3">
        <v>45101</v>
      </c>
      <c r="G287" s="4">
        <f t="shared" si="17"/>
        <v>27</v>
      </c>
      <c r="H287" s="4" t="str">
        <v>delayed</v>
      </c>
      <c r="I287" s="4">
        <f t="shared" si="19"/>
        <v>0</v>
      </c>
      <c r="J287" t="s">
        <v>647</v>
      </c>
      <c r="K287" t="s">
        <v>652</v>
      </c>
      <c r="L287" t="s">
        <v>694</v>
      </c>
      <c r="M287" t="s">
        <v>704</v>
      </c>
      <c r="N287" t="s">
        <v>709</v>
      </c>
      <c r="O287" t="s">
        <v>713</v>
      </c>
      <c r="P287" t="s">
        <v>730</v>
      </c>
      <c r="Q287" t="str" cm="1">
        <f t="array" ref="Q287">_xlfn.IFS(U287&lt;=_xlfn.QUARTILE.INC($U$2:$U918,1),"Low",B287&lt;=_xlfn.QUARTILE.INC($U$2:$U$633,2),"Medium",TRUE,"High")</f>
        <v>High</v>
      </c>
      <c r="R287" t="s">
        <v>1019</v>
      </c>
      <c r="S287" s="4">
        <v>554.76</v>
      </c>
      <c r="T287">
        <v>728.69</v>
      </c>
      <c r="U287">
        <v>728.69</v>
      </c>
      <c r="V287" s="7">
        <v>0.22</v>
      </c>
      <c r="W287" s="7">
        <v>0.22</v>
      </c>
      <c r="X287" s="7" t="str">
        <f t="shared" si="18"/>
        <v>High discount</v>
      </c>
      <c r="Y287" s="9">
        <v>7</v>
      </c>
      <c r="Z287">
        <v>3978.6474000000003</v>
      </c>
      <c r="AA287">
        <v>3883.3199999999997</v>
      </c>
      <c r="AB287">
        <v>95.32740000000058</v>
      </c>
      <c r="AC287">
        <v>2.395975074343119E-2</v>
      </c>
    </row>
    <row r="288" spans="1:29" x14ac:dyDescent="0.3">
      <c r="A288" t="s">
        <v>300</v>
      </c>
      <c r="B288" s="3">
        <v>45751</v>
      </c>
      <c r="C288" s="3" t="str">
        <v>Apr-2025</v>
      </c>
      <c r="D288" s="11" t="str">
        <f t="shared" si="16"/>
        <v>Q2-2025</v>
      </c>
      <c r="E288" s="3">
        <v>45760</v>
      </c>
      <c r="F288" s="3">
        <v>45751</v>
      </c>
      <c r="G288" s="4">
        <f t="shared" si="17"/>
        <v>9</v>
      </c>
      <c r="H288" s="4" t="str">
        <v>delayed</v>
      </c>
      <c r="I288" s="4">
        <f t="shared" si="19"/>
        <v>0</v>
      </c>
      <c r="J288" t="s">
        <v>649</v>
      </c>
      <c r="K288" t="s">
        <v>656</v>
      </c>
      <c r="L288" t="s">
        <v>684</v>
      </c>
      <c r="M288" t="s">
        <v>704</v>
      </c>
      <c r="N288" t="s">
        <v>709</v>
      </c>
      <c r="O288" t="s">
        <v>721</v>
      </c>
      <c r="P288" t="s">
        <v>730</v>
      </c>
      <c r="Q288" t="str" cm="1">
        <f t="array" ref="Q288">_xlfn.IFS(U288&lt;=_xlfn.QUARTILE.INC($U$2:$U919,1),"Low",B288&lt;=_xlfn.QUARTILE.INC($U$2:$U$633,2),"Medium",TRUE,"High")</f>
        <v>Low</v>
      </c>
      <c r="R288" t="s">
        <v>1020</v>
      </c>
      <c r="S288" s="4">
        <v>7.02</v>
      </c>
      <c r="T288">
        <v>6.28</v>
      </c>
      <c r="U288">
        <v>6.28</v>
      </c>
      <c r="V288" s="7">
        <v>0.13400000000000001</v>
      </c>
      <c r="W288" s="7">
        <v>0.13400000000000001</v>
      </c>
      <c r="X288" s="7" t="str">
        <f t="shared" si="18"/>
        <v>okay</v>
      </c>
      <c r="Y288" s="9">
        <v>14</v>
      </c>
      <c r="Z288">
        <v>76.138720000000006</v>
      </c>
      <c r="AA288">
        <v>98.28</v>
      </c>
      <c r="AB288">
        <v>-22.141279999999995</v>
      </c>
      <c r="AC288">
        <v>-0.29080184169106066</v>
      </c>
    </row>
    <row r="289" spans="1:29" x14ac:dyDescent="0.3">
      <c r="A289" t="s">
        <v>301</v>
      </c>
      <c r="B289" s="3">
        <v>45542</v>
      </c>
      <c r="C289" s="3" t="str">
        <v>Sep-2024</v>
      </c>
      <c r="D289" s="11" t="str">
        <f t="shared" si="16"/>
        <v>Q3-2024</v>
      </c>
      <c r="E289" s="3">
        <v>45542</v>
      </c>
      <c r="F289" s="3">
        <v>45542</v>
      </c>
      <c r="G289" s="4">
        <f t="shared" si="17"/>
        <v>0</v>
      </c>
      <c r="H289" s="4" t="str">
        <v>ontime</v>
      </c>
      <c r="I289" s="4">
        <f t="shared" si="19"/>
        <v>1</v>
      </c>
      <c r="J289" t="s">
        <v>647</v>
      </c>
      <c r="K289" t="s">
        <v>654</v>
      </c>
      <c r="L289" t="s">
        <v>691</v>
      </c>
      <c r="M289" t="s">
        <v>702</v>
      </c>
      <c r="N289" t="s">
        <v>710</v>
      </c>
      <c r="O289" t="s">
        <v>717</v>
      </c>
      <c r="P289" t="s">
        <v>729</v>
      </c>
      <c r="Q289" t="str" cm="1">
        <f t="array" ref="Q289">_xlfn.IFS(U289&lt;=_xlfn.QUARTILE.INC($U$2:$U920,1),"Low",B289&lt;=_xlfn.QUARTILE.INC($U$2:$U$633,2),"Medium",TRUE,"High")</f>
        <v>High</v>
      </c>
      <c r="R289" t="s">
        <v>1021</v>
      </c>
      <c r="S289" s="4">
        <v>1066.6500000000001</v>
      </c>
      <c r="T289">
        <v>2569.77</v>
      </c>
      <c r="U289">
        <v>2569.77</v>
      </c>
      <c r="V289" s="7">
        <v>0.13400000000000001</v>
      </c>
      <c r="W289" s="7">
        <v>0.13400000000000001</v>
      </c>
      <c r="X289" s="7" t="str">
        <f t="shared" si="18"/>
        <v>okay</v>
      </c>
      <c r="Y289" s="9">
        <v>9</v>
      </c>
      <c r="Z289">
        <v>20028.787380000002</v>
      </c>
      <c r="AA289">
        <v>9599.85</v>
      </c>
      <c r="AB289">
        <v>10428.937380000001</v>
      </c>
      <c r="AC289">
        <v>0.52069739331368348</v>
      </c>
    </row>
    <row r="290" spans="1:29" x14ac:dyDescent="0.3">
      <c r="A290" t="s">
        <v>302</v>
      </c>
      <c r="B290" s="3">
        <v>45319</v>
      </c>
      <c r="C290" s="3" t="str">
        <v>Jan-2024</v>
      </c>
      <c r="D290" s="11" t="str">
        <f t="shared" si="16"/>
        <v>Q1-2024</v>
      </c>
      <c r="E290" s="3">
        <v>45321</v>
      </c>
      <c r="F290" s="3">
        <v>45319</v>
      </c>
      <c r="G290" s="4">
        <f t="shared" si="17"/>
        <v>2</v>
      </c>
      <c r="H290" s="4" t="str">
        <v>ontime</v>
      </c>
      <c r="I290" s="4">
        <f t="shared" si="19"/>
        <v>1</v>
      </c>
      <c r="J290" t="s">
        <v>646</v>
      </c>
      <c r="K290" t="s">
        <v>661</v>
      </c>
      <c r="L290" t="s">
        <v>695</v>
      </c>
      <c r="M290" t="s">
        <v>704</v>
      </c>
      <c r="N290" t="s">
        <v>711</v>
      </c>
      <c r="O290" t="s">
        <v>721</v>
      </c>
      <c r="P290" t="s">
        <v>733</v>
      </c>
      <c r="Q290" t="str" cm="1">
        <f t="array" ref="Q290">_xlfn.IFS(U290&lt;=_xlfn.QUARTILE.INC($U$2:$U921,1),"Low",B290&lt;=_xlfn.QUARTILE.INC($U$2:$U$633,2),"Medium",TRUE,"High")</f>
        <v>High</v>
      </c>
      <c r="R290" t="s">
        <v>1022</v>
      </c>
      <c r="S290" s="4">
        <v>798.45</v>
      </c>
      <c r="T290">
        <v>1592.02</v>
      </c>
      <c r="U290">
        <v>1592.02</v>
      </c>
      <c r="V290" s="7">
        <v>6.6000000000000003E-2</v>
      </c>
      <c r="W290" s="7">
        <v>6.6000000000000003E-2</v>
      </c>
      <c r="X290" s="7" t="str">
        <f t="shared" si="18"/>
        <v>okay</v>
      </c>
      <c r="Y290" s="9">
        <v>18</v>
      </c>
      <c r="Z290">
        <v>26765.040239999998</v>
      </c>
      <c r="AA290">
        <v>14372.1</v>
      </c>
      <c r="AB290">
        <v>12392.940239999998</v>
      </c>
      <c r="AC290">
        <v>0.46302714768494585</v>
      </c>
    </row>
    <row r="291" spans="1:29" x14ac:dyDescent="0.3">
      <c r="A291" t="s">
        <v>303</v>
      </c>
      <c r="B291" s="3">
        <v>45125</v>
      </c>
      <c r="C291" s="3" t="str">
        <v>Jul-2023</v>
      </c>
      <c r="D291" s="11" t="str">
        <f t="shared" si="16"/>
        <v>Q3-2023</v>
      </c>
      <c r="E291" s="3">
        <v>45148</v>
      </c>
      <c r="F291" s="3">
        <v>45125</v>
      </c>
      <c r="G291" s="4">
        <f t="shared" si="17"/>
        <v>23</v>
      </c>
      <c r="H291" s="4" t="str">
        <v>delayed</v>
      </c>
      <c r="I291" s="4">
        <f t="shared" si="19"/>
        <v>0</v>
      </c>
      <c r="J291" t="s">
        <v>646</v>
      </c>
      <c r="K291" t="s">
        <v>661</v>
      </c>
      <c r="L291" t="s">
        <v>682</v>
      </c>
      <c r="M291" t="s">
        <v>705</v>
      </c>
      <c r="N291" t="s">
        <v>707</v>
      </c>
      <c r="O291" t="s">
        <v>716</v>
      </c>
      <c r="P291" t="s">
        <v>727</v>
      </c>
      <c r="Q291" t="str" cm="1">
        <f t="array" ref="Q291">_xlfn.IFS(U291&lt;=_xlfn.QUARTILE.INC($U$2:$U922,1),"Low",B291&lt;=_xlfn.QUARTILE.INC($U$2:$U$633,2),"Medium",TRUE,"High")</f>
        <v>High</v>
      </c>
      <c r="R291" t="s">
        <v>1023</v>
      </c>
      <c r="S291" s="4">
        <v>1271.56</v>
      </c>
      <c r="T291">
        <v>995.47</v>
      </c>
      <c r="U291">
        <v>995.47</v>
      </c>
      <c r="V291" s="7">
        <v>0.192</v>
      </c>
      <c r="W291" s="7">
        <v>0.192</v>
      </c>
      <c r="X291" s="7" t="str">
        <f t="shared" si="18"/>
        <v>okay</v>
      </c>
      <c r="Y291" s="9">
        <v>13</v>
      </c>
      <c r="Z291">
        <v>10456.416880000001</v>
      </c>
      <c r="AA291">
        <v>16530.28</v>
      </c>
      <c r="AB291">
        <v>-6073.8631199999982</v>
      </c>
      <c r="AC291">
        <v>-0.58087423155607754</v>
      </c>
    </row>
    <row r="292" spans="1:29" x14ac:dyDescent="0.3">
      <c r="A292" t="s">
        <v>304</v>
      </c>
      <c r="B292" s="3">
        <v>45897</v>
      </c>
      <c r="C292" s="3" t="str">
        <v>Aug-2025</v>
      </c>
      <c r="D292" s="11" t="str">
        <f t="shared" si="16"/>
        <v>Q3-2025</v>
      </c>
      <c r="E292" s="3">
        <v>45895</v>
      </c>
      <c r="F292" s="3">
        <v>45904</v>
      </c>
      <c r="G292" s="4">
        <f t="shared" si="17"/>
        <v>-9</v>
      </c>
      <c r="H292" s="4" t="str">
        <v>ontime</v>
      </c>
      <c r="I292" s="4">
        <f t="shared" si="19"/>
        <v>1</v>
      </c>
      <c r="J292" t="s">
        <v>646</v>
      </c>
      <c r="K292" t="s">
        <v>651</v>
      </c>
      <c r="L292" t="s">
        <v>663</v>
      </c>
      <c r="M292" t="s">
        <v>705</v>
      </c>
      <c r="N292" t="s">
        <v>707</v>
      </c>
      <c r="O292" t="s">
        <v>720</v>
      </c>
      <c r="P292" t="s">
        <v>733</v>
      </c>
      <c r="Q292" t="str" cm="1">
        <f t="array" ref="Q292">_xlfn.IFS(U292&lt;=_xlfn.QUARTILE.INC($U$2:$U923,1),"Low",B292&lt;=_xlfn.QUARTILE.INC($U$2:$U$633,2),"Medium",TRUE,"High")</f>
        <v>High</v>
      </c>
      <c r="R292" t="s">
        <v>1024</v>
      </c>
      <c r="S292" s="4">
        <v>521.05999999999995</v>
      </c>
      <c r="T292">
        <v>1240.31</v>
      </c>
      <c r="U292">
        <v>1240.31</v>
      </c>
      <c r="V292" s="7">
        <v>0.14599999999999999</v>
      </c>
      <c r="W292" s="7">
        <v>0.14599999999999999</v>
      </c>
      <c r="X292" s="7" t="str">
        <f t="shared" si="18"/>
        <v>okay</v>
      </c>
      <c r="Y292" s="9">
        <v>18</v>
      </c>
      <c r="Z292">
        <v>19066.045319999997</v>
      </c>
      <c r="AA292">
        <v>9379.0799999999981</v>
      </c>
      <c r="AB292">
        <v>9686.9653199999993</v>
      </c>
      <c r="AC292">
        <v>0.50807417885650974</v>
      </c>
    </row>
    <row r="293" spans="1:29" x14ac:dyDescent="0.3">
      <c r="A293" t="s">
        <v>305</v>
      </c>
      <c r="B293" s="3">
        <v>45746</v>
      </c>
      <c r="C293" s="3" t="str">
        <v>Mar-2025</v>
      </c>
      <c r="D293" s="11" t="str">
        <f t="shared" si="16"/>
        <v>Q1-2025</v>
      </c>
      <c r="E293" s="3">
        <v>45754</v>
      </c>
      <c r="F293" s="3">
        <v>45746</v>
      </c>
      <c r="G293" s="4">
        <f t="shared" si="17"/>
        <v>8</v>
      </c>
      <c r="H293" s="4" t="str">
        <v>delayed</v>
      </c>
      <c r="I293" s="4">
        <f t="shared" si="19"/>
        <v>0</v>
      </c>
      <c r="J293" t="s">
        <v>648</v>
      </c>
      <c r="K293" t="s">
        <v>655</v>
      </c>
      <c r="L293" t="s">
        <v>670</v>
      </c>
      <c r="M293" t="s">
        <v>703</v>
      </c>
      <c r="N293" t="s">
        <v>711</v>
      </c>
      <c r="O293" t="s">
        <v>716</v>
      </c>
      <c r="P293" t="s">
        <v>728</v>
      </c>
      <c r="Q293" t="str" cm="1">
        <f t="array" ref="Q293">_xlfn.IFS(U293&lt;=_xlfn.QUARTILE.INC($U$2:$U924,1),"Low",B293&lt;=_xlfn.QUARTILE.INC($U$2:$U$633,2),"Medium",TRUE,"High")</f>
        <v>Low</v>
      </c>
      <c r="R293" t="s">
        <v>1025</v>
      </c>
      <c r="S293" s="4">
        <v>71.62</v>
      </c>
      <c r="T293">
        <v>118.37</v>
      </c>
      <c r="U293">
        <v>118.37</v>
      </c>
      <c r="V293" s="7">
        <v>0.156</v>
      </c>
      <c r="W293" s="7">
        <v>0.156</v>
      </c>
      <c r="X293" s="7" t="str">
        <f t="shared" si="18"/>
        <v>okay</v>
      </c>
      <c r="Y293" s="9">
        <v>11</v>
      </c>
      <c r="Z293">
        <v>1098.9470800000001</v>
      </c>
      <c r="AA293">
        <v>787.82</v>
      </c>
      <c r="AB293">
        <v>311.12708000000009</v>
      </c>
      <c r="AC293">
        <v>0.28311379652603474</v>
      </c>
    </row>
    <row r="294" spans="1:29" x14ac:dyDescent="0.3">
      <c r="A294" t="s">
        <v>306</v>
      </c>
      <c r="B294" s="3">
        <v>45220</v>
      </c>
      <c r="C294" s="3" t="str">
        <v>Oct-2023</v>
      </c>
      <c r="D294" s="11" t="str">
        <f t="shared" si="16"/>
        <v>Q4-2023</v>
      </c>
      <c r="E294" s="3">
        <v>45239</v>
      </c>
      <c r="F294" s="3">
        <v>45220</v>
      </c>
      <c r="G294" s="4">
        <f t="shared" si="17"/>
        <v>19</v>
      </c>
      <c r="H294" s="4" t="str">
        <v>delayed</v>
      </c>
      <c r="I294" s="4">
        <f t="shared" si="19"/>
        <v>0</v>
      </c>
      <c r="J294" t="s">
        <v>649</v>
      </c>
      <c r="K294" t="s">
        <v>658</v>
      </c>
      <c r="L294" t="s">
        <v>683</v>
      </c>
      <c r="M294" t="s">
        <v>703</v>
      </c>
      <c r="N294" t="s">
        <v>711</v>
      </c>
      <c r="O294" t="s">
        <v>720</v>
      </c>
      <c r="P294" t="s">
        <v>733</v>
      </c>
      <c r="Q294" t="str" cm="1">
        <f t="array" ref="Q294">_xlfn.IFS(U294&lt;=_xlfn.QUARTILE.INC($U$2:$U925,1),"Low",B294&lt;=_xlfn.QUARTILE.INC($U$2:$U$633,2),"Medium",TRUE,"High")</f>
        <v>High</v>
      </c>
      <c r="R294" t="s">
        <v>1026</v>
      </c>
      <c r="S294" s="4">
        <v>1142.48</v>
      </c>
      <c r="T294">
        <v>2105.5300000000002</v>
      </c>
      <c r="U294">
        <v>2105.5300000000002</v>
      </c>
      <c r="V294" s="7">
        <v>0.20699999999999999</v>
      </c>
      <c r="W294" s="7">
        <v>0.20699999999999999</v>
      </c>
      <c r="X294" s="7" t="str">
        <f t="shared" si="18"/>
        <v>High discount</v>
      </c>
      <c r="Y294" s="9">
        <v>14</v>
      </c>
      <c r="Z294">
        <v>23375.594060000003</v>
      </c>
      <c r="AA294">
        <v>15994.720000000001</v>
      </c>
      <c r="AB294">
        <v>7380.8740600000019</v>
      </c>
      <c r="AC294">
        <v>0.31575129346680658</v>
      </c>
    </row>
    <row r="295" spans="1:29" x14ac:dyDescent="0.3">
      <c r="A295" t="s">
        <v>307</v>
      </c>
      <c r="B295" s="3">
        <v>45161</v>
      </c>
      <c r="C295" s="3" t="str">
        <v>Aug-2023</v>
      </c>
      <c r="D295" s="11" t="str">
        <f t="shared" si="16"/>
        <v>Q3-2023</v>
      </c>
      <c r="E295" s="3">
        <v>45191</v>
      </c>
      <c r="F295" s="3">
        <v>45161</v>
      </c>
      <c r="G295" s="4">
        <f t="shared" si="17"/>
        <v>30</v>
      </c>
      <c r="H295" s="4" t="str">
        <v>delayed</v>
      </c>
      <c r="I295" s="4">
        <f t="shared" si="19"/>
        <v>0</v>
      </c>
      <c r="J295" t="s">
        <v>649</v>
      </c>
      <c r="K295" t="s">
        <v>658</v>
      </c>
      <c r="L295" t="s">
        <v>683</v>
      </c>
      <c r="M295" t="s">
        <v>704</v>
      </c>
      <c r="N295" t="s">
        <v>710</v>
      </c>
      <c r="O295" t="s">
        <v>719</v>
      </c>
      <c r="P295" t="s">
        <v>733</v>
      </c>
      <c r="Q295" t="str" cm="1">
        <f t="array" ref="Q295">_xlfn.IFS(U295&lt;=_xlfn.QUARTILE.INC($U$2:$U926,1),"Low",B295&lt;=_xlfn.QUARTILE.INC($U$2:$U$633,2),"Medium",TRUE,"High")</f>
        <v>Low</v>
      </c>
      <c r="R295" t="s">
        <v>1027</v>
      </c>
      <c r="S295" s="4">
        <v>209.81</v>
      </c>
      <c r="T295">
        <v>523</v>
      </c>
      <c r="U295">
        <v>523</v>
      </c>
      <c r="V295" s="7">
        <v>5.8999999999999997E-2</v>
      </c>
      <c r="W295" s="7">
        <v>5.8999999999999997E-2</v>
      </c>
      <c r="X295" s="7" t="str">
        <f t="shared" si="18"/>
        <v>okay</v>
      </c>
      <c r="Y295" s="9">
        <v>15</v>
      </c>
      <c r="Z295">
        <v>7382.1450000000004</v>
      </c>
      <c r="AA295">
        <v>3147.15</v>
      </c>
      <c r="AB295">
        <v>4234.9950000000008</v>
      </c>
      <c r="AC295">
        <v>0.57368082041195356</v>
      </c>
    </row>
    <row r="296" spans="1:29" x14ac:dyDescent="0.3">
      <c r="A296" t="s">
        <v>308</v>
      </c>
      <c r="B296" s="3">
        <v>45758</v>
      </c>
      <c r="C296" s="3" t="str">
        <v>Apr-2025</v>
      </c>
      <c r="D296" s="11" t="str">
        <f t="shared" si="16"/>
        <v>Q2-2025</v>
      </c>
      <c r="E296" s="3">
        <v>45781</v>
      </c>
      <c r="F296" s="3">
        <v>45758</v>
      </c>
      <c r="G296" s="4">
        <f t="shared" si="17"/>
        <v>23</v>
      </c>
      <c r="H296" s="4" t="str">
        <v>delayed</v>
      </c>
      <c r="I296" s="4">
        <f t="shared" si="19"/>
        <v>0</v>
      </c>
      <c r="J296" t="s">
        <v>647</v>
      </c>
      <c r="K296" t="s">
        <v>652</v>
      </c>
      <c r="L296" t="s">
        <v>666</v>
      </c>
      <c r="M296" t="s">
        <v>705</v>
      </c>
      <c r="N296" t="s">
        <v>708</v>
      </c>
      <c r="O296" t="s">
        <v>724</v>
      </c>
      <c r="P296" t="s">
        <v>727</v>
      </c>
      <c r="Q296" t="str" cm="1">
        <f t="array" ref="Q296">_xlfn.IFS(U296&lt;=_xlfn.QUARTILE.INC($U$2:$U927,1),"Low",B296&lt;=_xlfn.QUARTILE.INC($U$2:$U$633,2),"Medium",TRUE,"High")</f>
        <v>High</v>
      </c>
      <c r="R296" t="s">
        <v>1028</v>
      </c>
      <c r="S296" s="4">
        <v>786.2</v>
      </c>
      <c r="T296">
        <v>1075.3</v>
      </c>
      <c r="U296">
        <v>1075.3</v>
      </c>
      <c r="V296" s="7">
        <v>0.08</v>
      </c>
      <c r="W296" s="7">
        <v>0.08</v>
      </c>
      <c r="X296" s="7" t="str">
        <f t="shared" si="18"/>
        <v>okay</v>
      </c>
      <c r="Y296" s="9">
        <v>9</v>
      </c>
      <c r="Z296">
        <v>8903.4839999999986</v>
      </c>
      <c r="AA296">
        <v>7075.8</v>
      </c>
      <c r="AB296">
        <v>1827.6839999999984</v>
      </c>
      <c r="AC296">
        <v>0.20527739478163815</v>
      </c>
    </row>
    <row r="297" spans="1:29" x14ac:dyDescent="0.3">
      <c r="A297" t="s">
        <v>309</v>
      </c>
      <c r="B297" s="3">
        <v>45809</v>
      </c>
      <c r="C297" s="3" t="str">
        <v>Jun-2025</v>
      </c>
      <c r="D297" s="11" t="str">
        <f t="shared" si="16"/>
        <v>Q2-2025</v>
      </c>
      <c r="E297" s="3">
        <v>45835</v>
      </c>
      <c r="F297" s="3">
        <v>45809</v>
      </c>
      <c r="G297" s="4">
        <f t="shared" si="17"/>
        <v>26</v>
      </c>
      <c r="H297" s="4" t="str">
        <v>delayed</v>
      </c>
      <c r="I297" s="4">
        <f t="shared" si="19"/>
        <v>0</v>
      </c>
      <c r="J297" t="s">
        <v>649</v>
      </c>
      <c r="K297" t="s">
        <v>656</v>
      </c>
      <c r="L297" t="s">
        <v>684</v>
      </c>
      <c r="M297" t="s">
        <v>704</v>
      </c>
      <c r="N297" t="s">
        <v>710</v>
      </c>
      <c r="O297" t="s">
        <v>718</v>
      </c>
      <c r="P297" t="s">
        <v>731</v>
      </c>
      <c r="Q297" t="str" cm="1">
        <f t="array" ref="Q297">_xlfn.IFS(U297&lt;=_xlfn.QUARTILE.INC($U$2:$U928,1),"Low",B297&lt;=_xlfn.QUARTILE.INC($U$2:$U$633,2),"Medium",TRUE,"High")</f>
        <v>High</v>
      </c>
      <c r="R297" t="s">
        <v>1029</v>
      </c>
      <c r="S297" s="4">
        <v>1362.31</v>
      </c>
      <c r="T297">
        <v>3294.57</v>
      </c>
      <c r="U297">
        <v>3294.57</v>
      </c>
      <c r="V297" s="7">
        <v>0.113</v>
      </c>
      <c r="W297" s="7">
        <v>0.113</v>
      </c>
      <c r="X297" s="7" t="str">
        <f t="shared" si="18"/>
        <v>okay</v>
      </c>
      <c r="Y297" s="9">
        <v>7</v>
      </c>
      <c r="Z297">
        <v>20455.985130000001</v>
      </c>
      <c r="AA297">
        <v>9536.17</v>
      </c>
      <c r="AB297">
        <v>10919.815130000001</v>
      </c>
      <c r="AC297">
        <v>0.5338200561157721</v>
      </c>
    </row>
    <row r="298" spans="1:29" x14ac:dyDescent="0.3">
      <c r="A298" t="s">
        <v>310</v>
      </c>
      <c r="B298" s="3">
        <v>45353</v>
      </c>
      <c r="C298" s="3" t="str">
        <v>Mar-2024</v>
      </c>
      <c r="D298" s="11" t="str">
        <f t="shared" si="16"/>
        <v>Q1-2024</v>
      </c>
      <c r="E298" s="3">
        <v>45367</v>
      </c>
      <c r="F298" s="3">
        <v>45353</v>
      </c>
      <c r="G298" s="4">
        <f t="shared" si="17"/>
        <v>14</v>
      </c>
      <c r="H298" s="4" t="str">
        <v>delayed</v>
      </c>
      <c r="I298" s="4">
        <f t="shared" si="19"/>
        <v>0</v>
      </c>
      <c r="J298" t="s">
        <v>648</v>
      </c>
      <c r="K298" t="s">
        <v>653</v>
      </c>
      <c r="L298" t="s">
        <v>688</v>
      </c>
      <c r="M298" t="s">
        <v>703</v>
      </c>
      <c r="N298" t="s">
        <v>711</v>
      </c>
      <c r="O298" t="s">
        <v>719</v>
      </c>
      <c r="P298" t="s">
        <v>728</v>
      </c>
      <c r="Q298" t="str" cm="1">
        <f t="array" ref="Q298">_xlfn.IFS(U298&lt;=_xlfn.QUARTILE.INC($U$2:$U929,1),"Low",B298&lt;=_xlfn.QUARTILE.INC($U$2:$U$633,2),"Medium",TRUE,"High")</f>
        <v>Low</v>
      </c>
      <c r="R298" t="s">
        <v>1030</v>
      </c>
      <c r="S298" s="4">
        <v>248.24</v>
      </c>
      <c r="T298">
        <v>464.05</v>
      </c>
      <c r="U298">
        <v>464.05</v>
      </c>
      <c r="V298" s="7">
        <v>0.16900000000000001</v>
      </c>
      <c r="W298" s="7">
        <v>0.16900000000000001</v>
      </c>
      <c r="X298" s="7" t="str">
        <f t="shared" si="18"/>
        <v>okay</v>
      </c>
      <c r="Y298" s="9">
        <v>11</v>
      </c>
      <c r="Z298">
        <v>4241.88105</v>
      </c>
      <c r="AA298">
        <v>2730.6400000000003</v>
      </c>
      <c r="AB298">
        <v>1511.2410499999996</v>
      </c>
      <c r="AC298">
        <v>0.3562667203975462</v>
      </c>
    </row>
    <row r="299" spans="1:29" x14ac:dyDescent="0.3">
      <c r="A299" t="s">
        <v>311</v>
      </c>
      <c r="B299" s="3">
        <v>45097</v>
      </c>
      <c r="C299" s="3" t="str">
        <v>Jun-2023</v>
      </c>
      <c r="D299" s="11" t="str">
        <f t="shared" si="16"/>
        <v>Q2-2023</v>
      </c>
      <c r="E299" s="3">
        <v>45115</v>
      </c>
      <c r="F299" s="3">
        <v>45097</v>
      </c>
      <c r="G299" s="4">
        <f t="shared" si="17"/>
        <v>18</v>
      </c>
      <c r="H299" s="4" t="str">
        <v>delayed</v>
      </c>
      <c r="I299" s="4">
        <f t="shared" si="19"/>
        <v>0</v>
      </c>
      <c r="J299" t="s">
        <v>648</v>
      </c>
      <c r="K299" t="s">
        <v>660</v>
      </c>
      <c r="L299" t="s">
        <v>697</v>
      </c>
      <c r="M299" t="s">
        <v>703</v>
      </c>
      <c r="N299" t="s">
        <v>711</v>
      </c>
      <c r="O299" t="s">
        <v>721</v>
      </c>
      <c r="P299" t="s">
        <v>732</v>
      </c>
      <c r="Q299" t="str" cm="1">
        <f t="array" ref="Q299">_xlfn.IFS(U299&lt;=_xlfn.QUARTILE.INC($U$2:$U930,1),"Low",B299&lt;=_xlfn.QUARTILE.INC($U$2:$U$633,2),"Medium",TRUE,"High")</f>
        <v>Low</v>
      </c>
      <c r="R299" t="s">
        <v>1031</v>
      </c>
      <c r="S299" s="4">
        <v>337</v>
      </c>
      <c r="T299">
        <v>511.03</v>
      </c>
      <c r="U299">
        <v>511.03</v>
      </c>
      <c r="V299" s="7">
        <v>0.108</v>
      </c>
      <c r="W299" s="7">
        <v>0.108</v>
      </c>
      <c r="X299" s="7" t="str">
        <f t="shared" si="18"/>
        <v>okay</v>
      </c>
      <c r="Y299" s="9">
        <v>7</v>
      </c>
      <c r="Z299">
        <v>3190.8713200000002</v>
      </c>
      <c r="AA299">
        <v>2359</v>
      </c>
      <c r="AB299">
        <v>831.8713200000002</v>
      </c>
      <c r="AC299">
        <v>0.26070349963219458</v>
      </c>
    </row>
    <row r="300" spans="1:29" x14ac:dyDescent="0.3">
      <c r="A300" t="s">
        <v>312</v>
      </c>
      <c r="B300" s="3">
        <v>45377</v>
      </c>
      <c r="C300" s="3" t="str">
        <v>Mar-2024</v>
      </c>
      <c r="D300" s="11" t="str">
        <f t="shared" si="16"/>
        <v>Q1-2024</v>
      </c>
      <c r="E300" s="3">
        <v>45387</v>
      </c>
      <c r="F300" s="3">
        <v>45377</v>
      </c>
      <c r="G300" s="4">
        <f t="shared" si="17"/>
        <v>10</v>
      </c>
      <c r="H300" s="4" t="str">
        <v>delayed</v>
      </c>
      <c r="I300" s="4">
        <f t="shared" si="19"/>
        <v>0</v>
      </c>
      <c r="J300" t="s">
        <v>648</v>
      </c>
      <c r="K300" t="s">
        <v>660</v>
      </c>
      <c r="L300" t="s">
        <v>697</v>
      </c>
      <c r="M300" t="s">
        <v>704</v>
      </c>
      <c r="N300" t="s">
        <v>711</v>
      </c>
      <c r="O300" t="s">
        <v>713</v>
      </c>
      <c r="P300" t="s">
        <v>732</v>
      </c>
      <c r="Q300" t="str" cm="1">
        <f t="array" ref="Q300">_xlfn.IFS(U300&lt;=_xlfn.QUARTILE.INC($U$2:$U931,1),"Low",B300&lt;=_xlfn.QUARTILE.INC($U$2:$U$633,2),"Medium",TRUE,"High")</f>
        <v>Low</v>
      </c>
      <c r="R300" t="s">
        <v>1032</v>
      </c>
      <c r="S300" s="4">
        <v>5.66</v>
      </c>
      <c r="T300">
        <v>4.22</v>
      </c>
      <c r="U300">
        <v>4.22</v>
      </c>
      <c r="V300" s="7">
        <v>0.11899999999999999</v>
      </c>
      <c r="W300" s="7">
        <v>0.11899999999999999</v>
      </c>
      <c r="X300" s="7" t="str">
        <f t="shared" si="18"/>
        <v>okay</v>
      </c>
      <c r="Y300" s="9">
        <v>18</v>
      </c>
      <c r="Z300">
        <v>66.920760000000001</v>
      </c>
      <c r="AA300">
        <v>101.88</v>
      </c>
      <c r="AB300">
        <v>-34.959239999999994</v>
      </c>
      <c r="AC300">
        <v>-0.52239753403876454</v>
      </c>
    </row>
    <row r="301" spans="1:29" x14ac:dyDescent="0.3">
      <c r="A301" t="s">
        <v>313</v>
      </c>
      <c r="B301" s="3">
        <v>45679</v>
      </c>
      <c r="C301" s="3" t="str">
        <v>Jan-2025</v>
      </c>
      <c r="D301" s="11" t="str">
        <f t="shared" si="16"/>
        <v>Q1-2025</v>
      </c>
      <c r="E301" s="3">
        <v>45679</v>
      </c>
      <c r="F301" s="3">
        <v>45679</v>
      </c>
      <c r="G301" s="4">
        <f t="shared" si="17"/>
        <v>0</v>
      </c>
      <c r="H301" s="4" t="str">
        <v>ontime</v>
      </c>
      <c r="I301" s="4">
        <f t="shared" si="19"/>
        <v>1</v>
      </c>
      <c r="J301" t="s">
        <v>649</v>
      </c>
      <c r="K301" t="s">
        <v>657</v>
      </c>
      <c r="L301" t="s">
        <v>679</v>
      </c>
      <c r="M301" t="s">
        <v>705</v>
      </c>
      <c r="N301" t="s">
        <v>708</v>
      </c>
      <c r="O301" t="s">
        <v>717</v>
      </c>
      <c r="P301" t="s">
        <v>733</v>
      </c>
      <c r="Q301" t="str" cm="1">
        <f t="array" ref="Q301">_xlfn.IFS(U301&lt;=_xlfn.QUARTILE.INC($U$2:$U932,1),"Low",B301&lt;=_xlfn.QUARTILE.INC($U$2:$U$633,2),"Medium",TRUE,"High")</f>
        <v>Low</v>
      </c>
      <c r="R301" t="s">
        <v>1033</v>
      </c>
      <c r="S301" s="4">
        <v>591.72</v>
      </c>
      <c r="T301">
        <v>577.24</v>
      </c>
      <c r="U301">
        <v>577.24</v>
      </c>
      <c r="V301" s="7">
        <v>0</v>
      </c>
      <c r="W301" s="7">
        <v>0</v>
      </c>
      <c r="X301" s="7" t="str">
        <f t="shared" si="18"/>
        <v>okay</v>
      </c>
      <c r="Y301" s="9">
        <v>22</v>
      </c>
      <c r="Z301">
        <v>12699.28</v>
      </c>
      <c r="AA301">
        <v>13017.84</v>
      </c>
      <c r="AB301">
        <v>-318.55999999999949</v>
      </c>
      <c r="AC301">
        <v>-2.5084886702238195E-2</v>
      </c>
    </row>
    <row r="302" spans="1:29" x14ac:dyDescent="0.3">
      <c r="A302" t="s">
        <v>314</v>
      </c>
      <c r="B302" s="3">
        <v>45787</v>
      </c>
      <c r="C302" s="3" t="str">
        <v>May-2025</v>
      </c>
      <c r="D302" s="11" t="str">
        <f t="shared" si="16"/>
        <v>Q2-2025</v>
      </c>
      <c r="E302" s="3">
        <v>45804</v>
      </c>
      <c r="F302" s="3">
        <v>45787</v>
      </c>
      <c r="G302" s="4">
        <f t="shared" si="17"/>
        <v>17</v>
      </c>
      <c r="H302" s="4" t="str">
        <v>delayed</v>
      </c>
      <c r="I302" s="4">
        <f t="shared" si="19"/>
        <v>0</v>
      </c>
      <c r="J302" t="s">
        <v>648</v>
      </c>
      <c r="K302" t="s">
        <v>653</v>
      </c>
      <c r="L302" t="s">
        <v>688</v>
      </c>
      <c r="M302" t="s">
        <v>702</v>
      </c>
      <c r="N302" t="s">
        <v>711</v>
      </c>
      <c r="O302" t="s">
        <v>712</v>
      </c>
      <c r="P302" t="s">
        <v>727</v>
      </c>
      <c r="Q302" t="str" cm="1">
        <f t="array" ref="Q302">_xlfn.IFS(U302&lt;=_xlfn.QUARTILE.INC($U$2:$U933,1),"Low",B302&lt;=_xlfn.QUARTILE.INC($U$2:$U$633,2),"Medium",TRUE,"High")</f>
        <v>High</v>
      </c>
      <c r="R302" t="s">
        <v>1034</v>
      </c>
      <c r="S302" s="4">
        <v>862.89</v>
      </c>
      <c r="T302">
        <v>1426.03</v>
      </c>
      <c r="U302">
        <v>1426.03</v>
      </c>
      <c r="V302" s="7">
        <v>5.6000000000000001E-2</v>
      </c>
      <c r="W302" s="7">
        <v>5.6000000000000001E-2</v>
      </c>
      <c r="X302" s="7" t="str">
        <f t="shared" si="18"/>
        <v>okay</v>
      </c>
      <c r="Y302" s="9">
        <v>19</v>
      </c>
      <c r="Z302">
        <v>25577.274079999999</v>
      </c>
      <c r="AA302">
        <v>16394.91</v>
      </c>
      <c r="AB302">
        <v>9182.3640799999994</v>
      </c>
      <c r="AC302">
        <v>0.35900479665188778</v>
      </c>
    </row>
    <row r="303" spans="1:29" x14ac:dyDescent="0.3">
      <c r="A303" t="s">
        <v>315</v>
      </c>
      <c r="B303" s="3">
        <v>45204</v>
      </c>
      <c r="C303" s="3" t="str">
        <v>Oct-2023</v>
      </c>
      <c r="D303" s="11" t="str">
        <f t="shared" si="16"/>
        <v>Q4-2023</v>
      </c>
      <c r="E303" s="3">
        <v>45230</v>
      </c>
      <c r="F303" s="3">
        <v>45204</v>
      </c>
      <c r="G303" s="4">
        <f t="shared" si="17"/>
        <v>26</v>
      </c>
      <c r="H303" s="4" t="str">
        <v>delayed</v>
      </c>
      <c r="I303" s="4">
        <f t="shared" si="19"/>
        <v>0</v>
      </c>
      <c r="J303" t="s">
        <v>647</v>
      </c>
      <c r="K303" t="s">
        <v>659</v>
      </c>
      <c r="L303" t="s">
        <v>685</v>
      </c>
      <c r="M303" t="s">
        <v>704</v>
      </c>
      <c r="N303" t="s">
        <v>1421</v>
      </c>
      <c r="O303" t="s">
        <v>713</v>
      </c>
      <c r="P303" t="s">
        <v>728</v>
      </c>
      <c r="Q303" t="str" cm="1">
        <f t="array" ref="Q303">_xlfn.IFS(U303&lt;=_xlfn.QUARTILE.INC($U$2:$U934,1),"Low",B303&lt;=_xlfn.QUARTILE.INC($U$2:$U$633,2),"Medium",TRUE,"High")</f>
        <v>High</v>
      </c>
      <c r="R303" t="s">
        <v>1035</v>
      </c>
      <c r="S303" s="4">
        <v>649.91</v>
      </c>
      <c r="T303">
        <v>1360.12</v>
      </c>
      <c r="U303">
        <v>1360.12</v>
      </c>
      <c r="V303" s="7">
        <v>0.19400000000000001</v>
      </c>
      <c r="W303" s="7">
        <v>0.19400000000000001</v>
      </c>
      <c r="X303" s="7" t="str">
        <f t="shared" si="18"/>
        <v>okay</v>
      </c>
      <c r="Y303" s="9">
        <v>9</v>
      </c>
      <c r="Z303">
        <v>9866.3104799999983</v>
      </c>
      <c r="AA303">
        <v>5849.19</v>
      </c>
      <c r="AB303">
        <v>4017.1204799999987</v>
      </c>
      <c r="AC303">
        <v>0.40715528749506769</v>
      </c>
    </row>
    <row r="304" spans="1:29" x14ac:dyDescent="0.3">
      <c r="A304" t="s">
        <v>316</v>
      </c>
      <c r="B304" s="3">
        <v>45125</v>
      </c>
      <c r="C304" s="3" t="str">
        <v>Jul-2023</v>
      </c>
      <c r="D304" s="11" t="str">
        <f t="shared" si="16"/>
        <v>Q3-2023</v>
      </c>
      <c r="E304" s="3">
        <v>45129</v>
      </c>
      <c r="F304" s="3">
        <v>45125</v>
      </c>
      <c r="G304" s="4">
        <f t="shared" si="17"/>
        <v>4</v>
      </c>
      <c r="H304" s="4" t="str">
        <v>ontime</v>
      </c>
      <c r="I304" s="4">
        <f t="shared" si="19"/>
        <v>1</v>
      </c>
      <c r="J304" t="s">
        <v>648</v>
      </c>
      <c r="K304" t="s">
        <v>655</v>
      </c>
      <c r="L304" t="s">
        <v>670</v>
      </c>
      <c r="M304" t="s">
        <v>704</v>
      </c>
      <c r="N304" t="s">
        <v>711</v>
      </c>
      <c r="O304" t="s">
        <v>721</v>
      </c>
      <c r="P304" t="s">
        <v>729</v>
      </c>
      <c r="Q304" t="str" cm="1">
        <f t="array" ref="Q304">_xlfn.IFS(U304&lt;=_xlfn.QUARTILE.INC($U$2:$U935,1),"Low",B304&lt;=_xlfn.QUARTILE.INC($U$2:$U$633,2),"Medium",TRUE,"High")</f>
        <v>High</v>
      </c>
      <c r="R304" t="s">
        <v>1036</v>
      </c>
      <c r="S304" s="4">
        <v>1269.55</v>
      </c>
      <c r="T304">
        <v>2071.1</v>
      </c>
      <c r="U304">
        <v>2071.1</v>
      </c>
      <c r="V304" s="7">
        <v>0.129</v>
      </c>
      <c r="W304" s="7">
        <v>0.129</v>
      </c>
      <c r="X304" s="7" t="str">
        <f t="shared" si="18"/>
        <v>okay</v>
      </c>
      <c r="Y304" s="9">
        <v>22</v>
      </c>
      <c r="Z304">
        <v>39686.4182</v>
      </c>
      <c r="AA304">
        <v>27930.1</v>
      </c>
      <c r="AB304">
        <v>11756.318200000002</v>
      </c>
      <c r="AC304">
        <v>0.29623026549672354</v>
      </c>
    </row>
    <row r="305" spans="1:29" x14ac:dyDescent="0.3">
      <c r="A305" t="s">
        <v>317</v>
      </c>
      <c r="B305" s="3">
        <v>45830</v>
      </c>
      <c r="C305" s="3" t="str">
        <v>Jun-2025</v>
      </c>
      <c r="D305" s="11" t="str">
        <f t="shared" si="16"/>
        <v>Q2-2025</v>
      </c>
      <c r="E305" s="3">
        <v>45846</v>
      </c>
      <c r="F305" s="3">
        <v>45830</v>
      </c>
      <c r="G305" s="4">
        <f t="shared" si="17"/>
        <v>16</v>
      </c>
      <c r="H305" s="4" t="str">
        <v>delayed</v>
      </c>
      <c r="I305" s="4">
        <f t="shared" si="19"/>
        <v>0</v>
      </c>
      <c r="J305" t="s">
        <v>649</v>
      </c>
      <c r="K305" t="s">
        <v>658</v>
      </c>
      <c r="L305" t="s">
        <v>683</v>
      </c>
      <c r="M305" t="s">
        <v>702</v>
      </c>
      <c r="N305" t="s">
        <v>711</v>
      </c>
      <c r="O305" t="s">
        <v>720</v>
      </c>
      <c r="P305" t="s">
        <v>730</v>
      </c>
      <c r="Q305" t="str" cm="1">
        <f t="array" ref="Q305">_xlfn.IFS(U305&lt;=_xlfn.QUARTILE.INC($U$2:$U936,1),"Low",B305&lt;=_xlfn.QUARTILE.INC($U$2:$U$633,2),"Medium",TRUE,"High")</f>
        <v>High</v>
      </c>
      <c r="R305" t="s">
        <v>1037</v>
      </c>
      <c r="S305" s="4">
        <v>892.73</v>
      </c>
      <c r="T305">
        <v>979.84</v>
      </c>
      <c r="U305">
        <v>979.84</v>
      </c>
      <c r="V305" s="7">
        <v>0.17399999999999999</v>
      </c>
      <c r="W305" s="7">
        <v>0.17399999999999999</v>
      </c>
      <c r="X305" s="7" t="str">
        <f t="shared" si="18"/>
        <v>okay</v>
      </c>
      <c r="Y305" s="9">
        <v>10</v>
      </c>
      <c r="Z305">
        <v>8093.4784</v>
      </c>
      <c r="AA305">
        <v>8927.2999999999993</v>
      </c>
      <c r="AB305">
        <v>-833.82159999999931</v>
      </c>
      <c r="AC305">
        <v>-0.10302388649112838</v>
      </c>
    </row>
    <row r="306" spans="1:29" x14ac:dyDescent="0.3">
      <c r="A306" t="s">
        <v>318</v>
      </c>
      <c r="B306" s="3">
        <v>45462</v>
      </c>
      <c r="C306" s="3" t="str">
        <v>Jun-2024</v>
      </c>
      <c r="D306" s="11" t="str">
        <f t="shared" si="16"/>
        <v>Q2-2024</v>
      </c>
      <c r="E306" s="3">
        <v>45463</v>
      </c>
      <c r="F306" s="3">
        <v>45462</v>
      </c>
      <c r="G306" s="4">
        <f t="shared" si="17"/>
        <v>1</v>
      </c>
      <c r="H306" s="4" t="str">
        <v>ontime</v>
      </c>
      <c r="I306" s="4">
        <f t="shared" si="19"/>
        <v>1</v>
      </c>
      <c r="J306" t="s">
        <v>646</v>
      </c>
      <c r="K306" t="s">
        <v>650</v>
      </c>
      <c r="L306" t="s">
        <v>662</v>
      </c>
      <c r="M306" t="s">
        <v>705</v>
      </c>
      <c r="N306" t="s">
        <v>711</v>
      </c>
      <c r="O306" t="s">
        <v>713</v>
      </c>
      <c r="P306" t="s">
        <v>731</v>
      </c>
      <c r="Q306" t="str" cm="1">
        <f t="array" ref="Q306">_xlfn.IFS(U306&lt;=_xlfn.QUARTILE.INC($U$2:$U937,1),"Low",B306&lt;=_xlfn.QUARTILE.INC($U$2:$U$633,2),"Medium",TRUE,"High")</f>
        <v>Low</v>
      </c>
      <c r="R306" t="s">
        <v>1038</v>
      </c>
      <c r="S306" s="4">
        <v>231.63</v>
      </c>
      <c r="T306">
        <v>537.39</v>
      </c>
      <c r="U306">
        <v>537.39</v>
      </c>
      <c r="V306" s="7">
        <v>0.08</v>
      </c>
      <c r="W306" s="7">
        <v>0.08</v>
      </c>
      <c r="X306" s="7" t="str">
        <f t="shared" si="18"/>
        <v>okay</v>
      </c>
      <c r="Y306" s="9">
        <v>12</v>
      </c>
      <c r="Z306">
        <v>5932.7856000000002</v>
      </c>
      <c r="AA306">
        <v>2779.56</v>
      </c>
      <c r="AB306">
        <v>3153.2256000000002</v>
      </c>
      <c r="AC306">
        <v>0.53149158129024587</v>
      </c>
    </row>
    <row r="307" spans="1:29" x14ac:dyDescent="0.3">
      <c r="A307" t="s">
        <v>319</v>
      </c>
      <c r="B307" s="3">
        <v>45756</v>
      </c>
      <c r="C307" s="3" t="str">
        <v>Apr-2025</v>
      </c>
      <c r="D307" s="11" t="str">
        <f t="shared" si="16"/>
        <v>Q2-2025</v>
      </c>
      <c r="E307" s="3">
        <v>45759</v>
      </c>
      <c r="F307" s="3">
        <v>45756</v>
      </c>
      <c r="G307" s="4">
        <f t="shared" si="17"/>
        <v>3</v>
      </c>
      <c r="H307" s="4" t="str">
        <v>ontime</v>
      </c>
      <c r="I307" s="4">
        <f t="shared" si="19"/>
        <v>1</v>
      </c>
      <c r="J307" t="s">
        <v>649</v>
      </c>
      <c r="K307" t="s">
        <v>657</v>
      </c>
      <c r="L307" t="s">
        <v>679</v>
      </c>
      <c r="M307" t="s">
        <v>705</v>
      </c>
      <c r="N307" t="s">
        <v>710</v>
      </c>
      <c r="O307" t="s">
        <v>722</v>
      </c>
      <c r="P307" t="s">
        <v>732</v>
      </c>
      <c r="Q307" t="str" cm="1">
        <f t="array" ref="Q307">_xlfn.IFS(U307&lt;=_xlfn.QUARTILE.INC($U$2:$U938,1),"Low",B307&lt;=_xlfn.QUARTILE.INC($U$2:$U$633,2),"Medium",TRUE,"High")</f>
        <v>Low</v>
      </c>
      <c r="R307" t="s">
        <v>1039</v>
      </c>
      <c r="S307" s="4">
        <v>86.68</v>
      </c>
      <c r="T307">
        <v>213.32</v>
      </c>
      <c r="U307">
        <v>213.32</v>
      </c>
      <c r="V307" s="7">
        <v>3.7999999999999999E-2</v>
      </c>
      <c r="W307" s="7">
        <v>3.7999999999999999E-2</v>
      </c>
      <c r="X307" s="7" t="str">
        <f t="shared" si="18"/>
        <v>okay</v>
      </c>
      <c r="Y307" s="9">
        <v>8</v>
      </c>
      <c r="Z307">
        <v>1641.7107199999998</v>
      </c>
      <c r="AA307">
        <v>693.44</v>
      </c>
      <c r="AB307">
        <v>948.27071999999976</v>
      </c>
      <c r="AC307">
        <v>0.57761133459614611</v>
      </c>
    </row>
    <row r="308" spans="1:29" x14ac:dyDescent="0.3">
      <c r="A308" t="s">
        <v>320</v>
      </c>
      <c r="B308" s="3">
        <v>45741</v>
      </c>
      <c r="C308" s="3" t="str">
        <v>Mar-2025</v>
      </c>
      <c r="D308" s="11" t="str">
        <f t="shared" si="16"/>
        <v>Q1-2025</v>
      </c>
      <c r="E308" s="3">
        <v>45742</v>
      </c>
      <c r="F308" s="3">
        <v>45741</v>
      </c>
      <c r="G308" s="4">
        <f t="shared" si="17"/>
        <v>1</v>
      </c>
      <c r="H308" s="4" t="str">
        <v>ontime</v>
      </c>
      <c r="I308" s="4">
        <f t="shared" si="19"/>
        <v>1</v>
      </c>
      <c r="J308" t="s">
        <v>646</v>
      </c>
      <c r="K308" t="s">
        <v>651</v>
      </c>
      <c r="L308" t="s">
        <v>665</v>
      </c>
      <c r="M308" t="s">
        <v>702</v>
      </c>
      <c r="N308" t="s">
        <v>710</v>
      </c>
      <c r="O308" t="s">
        <v>715</v>
      </c>
      <c r="P308" t="s">
        <v>733</v>
      </c>
      <c r="Q308" t="str" cm="1">
        <f t="array" ref="Q308">_xlfn.IFS(U308&lt;=_xlfn.QUARTILE.INC($U$2:$U939,1),"Low",B308&lt;=_xlfn.QUARTILE.INC($U$2:$U$633,2),"Medium",TRUE,"High")</f>
        <v>High</v>
      </c>
      <c r="R308" t="s">
        <v>1040</v>
      </c>
      <c r="S308" s="4">
        <v>1450.43</v>
      </c>
      <c r="T308">
        <v>1994.67</v>
      </c>
      <c r="U308">
        <v>1994.67</v>
      </c>
      <c r="V308" s="7">
        <v>0.1</v>
      </c>
      <c r="W308" s="7">
        <v>0.1</v>
      </c>
      <c r="X308" s="7" t="str">
        <f t="shared" si="18"/>
        <v>okay</v>
      </c>
      <c r="Y308" s="9">
        <v>24</v>
      </c>
      <c r="Z308">
        <v>43084.872000000003</v>
      </c>
      <c r="AA308">
        <v>34810.32</v>
      </c>
      <c r="AB308">
        <v>8274.5520000000033</v>
      </c>
      <c r="AC308">
        <v>0.19205237513529116</v>
      </c>
    </row>
    <row r="309" spans="1:29" x14ac:dyDescent="0.3">
      <c r="A309" t="s">
        <v>321</v>
      </c>
      <c r="B309" s="3">
        <v>45795</v>
      </c>
      <c r="C309" s="3" t="str">
        <v>May-2025</v>
      </c>
      <c r="D309" s="11" t="str">
        <f t="shared" si="16"/>
        <v>Q2-2025</v>
      </c>
      <c r="E309" s="3">
        <v>45817</v>
      </c>
      <c r="F309" s="3">
        <v>45795</v>
      </c>
      <c r="G309" s="4">
        <f t="shared" si="17"/>
        <v>22</v>
      </c>
      <c r="H309" s="4" t="str">
        <v>delayed</v>
      </c>
      <c r="I309" s="4">
        <f t="shared" si="19"/>
        <v>0</v>
      </c>
      <c r="J309" t="s">
        <v>648</v>
      </c>
      <c r="K309" t="s">
        <v>660</v>
      </c>
      <c r="L309" t="s">
        <v>700</v>
      </c>
      <c r="M309" t="s">
        <v>704</v>
      </c>
      <c r="N309" t="s">
        <v>707</v>
      </c>
      <c r="O309" t="s">
        <v>722</v>
      </c>
      <c r="P309" t="s">
        <v>729</v>
      </c>
      <c r="Q309" t="str" cm="1">
        <f t="array" ref="Q309">_xlfn.IFS(U309&lt;=_xlfn.QUARTILE.INC($U$2:$U940,1),"Low",B309&lt;=_xlfn.QUARTILE.INC($U$2:$U$633,2),"Medium",TRUE,"High")</f>
        <v>Low</v>
      </c>
      <c r="R309" t="s">
        <v>1041</v>
      </c>
      <c r="S309" s="4">
        <v>382.96</v>
      </c>
      <c r="T309">
        <v>552.84</v>
      </c>
      <c r="U309">
        <v>552.84</v>
      </c>
      <c r="V309" s="7">
        <v>0.17599999999999999</v>
      </c>
      <c r="W309" s="7">
        <v>0.17599999999999999</v>
      </c>
      <c r="X309" s="7" t="str">
        <f t="shared" si="18"/>
        <v>okay</v>
      </c>
      <c r="Y309" s="9">
        <v>8</v>
      </c>
      <c r="Z309">
        <v>3644.3212800000006</v>
      </c>
      <c r="AA309">
        <v>3063.68</v>
      </c>
      <c r="AB309">
        <v>580.64128000000073</v>
      </c>
      <c r="AC309">
        <v>0.15932768693763483</v>
      </c>
    </row>
    <row r="310" spans="1:29" x14ac:dyDescent="0.3">
      <c r="A310" t="s">
        <v>322</v>
      </c>
      <c r="B310" s="3">
        <v>45679</v>
      </c>
      <c r="C310" s="3" t="str">
        <v>Jan-2025</v>
      </c>
      <c r="D310" s="11" t="str">
        <f t="shared" si="16"/>
        <v>Q1-2025</v>
      </c>
      <c r="E310" s="3">
        <v>45692</v>
      </c>
      <c r="F310" s="3">
        <v>45679</v>
      </c>
      <c r="G310" s="4">
        <f t="shared" si="17"/>
        <v>13</v>
      </c>
      <c r="H310" s="4" t="str">
        <v>delayed</v>
      </c>
      <c r="I310" s="4">
        <f t="shared" si="19"/>
        <v>0</v>
      </c>
      <c r="J310" t="s">
        <v>647</v>
      </c>
      <c r="K310" t="s">
        <v>652</v>
      </c>
      <c r="L310" t="s">
        <v>689</v>
      </c>
      <c r="M310" t="s">
        <v>705</v>
      </c>
      <c r="N310" t="s">
        <v>710</v>
      </c>
      <c r="O310" t="s">
        <v>716</v>
      </c>
      <c r="P310" t="s">
        <v>728</v>
      </c>
      <c r="Q310" t="str" cm="1">
        <f t="array" ref="Q310">_xlfn.IFS(U310&lt;=_xlfn.QUARTILE.INC($U$2:$U941,1),"Low",B310&lt;=_xlfn.QUARTILE.INC($U$2:$U$633,2),"Medium",TRUE,"High")</f>
        <v>Low</v>
      </c>
      <c r="R310" t="s">
        <v>1042</v>
      </c>
      <c r="S310" s="4">
        <v>122.29</v>
      </c>
      <c r="T310">
        <v>224.95</v>
      </c>
      <c r="U310">
        <v>224.95</v>
      </c>
      <c r="V310" s="7">
        <v>0.153</v>
      </c>
      <c r="W310" s="7">
        <v>0.153</v>
      </c>
      <c r="X310" s="7" t="str">
        <f t="shared" si="18"/>
        <v>okay</v>
      </c>
      <c r="Y310" s="9">
        <v>28</v>
      </c>
      <c r="Z310">
        <v>5334.9141999999993</v>
      </c>
      <c r="AA310">
        <v>3424.1200000000003</v>
      </c>
      <c r="AB310">
        <v>1910.7941999999989</v>
      </c>
      <c r="AC310">
        <v>0.3581677471026618</v>
      </c>
    </row>
    <row r="311" spans="1:29" x14ac:dyDescent="0.3">
      <c r="A311" t="s">
        <v>323</v>
      </c>
      <c r="B311" s="3">
        <v>44936</v>
      </c>
      <c r="C311" s="3" t="str">
        <v>Jan-2023</v>
      </c>
      <c r="D311" s="11" t="str">
        <f t="shared" si="16"/>
        <v>Q1-2023</v>
      </c>
      <c r="E311" s="3">
        <v>44955</v>
      </c>
      <c r="F311" s="3">
        <v>44936</v>
      </c>
      <c r="G311" s="4">
        <f t="shared" si="17"/>
        <v>19</v>
      </c>
      <c r="H311" s="4" t="str">
        <v>delayed</v>
      </c>
      <c r="I311" s="4">
        <f t="shared" si="19"/>
        <v>0</v>
      </c>
      <c r="J311" t="s">
        <v>649</v>
      </c>
      <c r="K311" t="s">
        <v>657</v>
      </c>
      <c r="L311" t="s">
        <v>679</v>
      </c>
      <c r="M311" t="s">
        <v>703</v>
      </c>
      <c r="N311" t="s">
        <v>711</v>
      </c>
      <c r="O311" t="s">
        <v>726</v>
      </c>
      <c r="P311" t="s">
        <v>731</v>
      </c>
      <c r="Q311" t="str" cm="1">
        <f t="array" ref="Q311">_xlfn.IFS(U311&lt;=_xlfn.QUARTILE.INC($U$2:$U942,1),"Low",B311&lt;=_xlfn.QUARTILE.INC($U$2:$U$633,2),"Medium",TRUE,"High")</f>
        <v>High</v>
      </c>
      <c r="R311" t="s">
        <v>1043</v>
      </c>
      <c r="S311" s="4">
        <v>401.66</v>
      </c>
      <c r="T311">
        <v>772.09</v>
      </c>
      <c r="U311">
        <v>772.09</v>
      </c>
      <c r="V311" s="7">
        <v>8.8999999999999996E-2</v>
      </c>
      <c r="W311" s="7">
        <v>8.8999999999999996E-2</v>
      </c>
      <c r="X311" s="7" t="str">
        <f t="shared" si="18"/>
        <v>okay</v>
      </c>
      <c r="Y311" s="9">
        <v>14</v>
      </c>
      <c r="Z311">
        <v>9847.2358600000007</v>
      </c>
      <c r="AA311">
        <v>5623.2400000000007</v>
      </c>
      <c r="AB311">
        <v>4223.99586</v>
      </c>
      <c r="AC311">
        <v>0.42895244107619046</v>
      </c>
    </row>
    <row r="312" spans="1:29" x14ac:dyDescent="0.3">
      <c r="A312" t="s">
        <v>324</v>
      </c>
      <c r="B312" s="3">
        <v>45655</v>
      </c>
      <c r="C312" s="3" t="str">
        <v>Dec-2024</v>
      </c>
      <c r="D312" s="11" t="str">
        <f t="shared" si="16"/>
        <v>Q4-2024</v>
      </c>
      <c r="E312" s="3">
        <v>45669</v>
      </c>
      <c r="F312" s="3">
        <v>45655</v>
      </c>
      <c r="G312" s="4">
        <f t="shared" si="17"/>
        <v>14</v>
      </c>
      <c r="H312" s="4" t="str">
        <v>delayed</v>
      </c>
      <c r="I312" s="4">
        <f t="shared" si="19"/>
        <v>0</v>
      </c>
      <c r="J312" t="s">
        <v>649</v>
      </c>
      <c r="K312" t="s">
        <v>658</v>
      </c>
      <c r="L312" t="s">
        <v>693</v>
      </c>
      <c r="M312" t="s">
        <v>701</v>
      </c>
      <c r="N312" t="s">
        <v>711</v>
      </c>
      <c r="O312" t="s">
        <v>717</v>
      </c>
      <c r="P312" t="s">
        <v>732</v>
      </c>
      <c r="Q312" t="str" cm="1">
        <f t="array" ref="Q312">_xlfn.IFS(U312&lt;=_xlfn.QUARTILE.INC($U$2:$U943,1),"Low",B312&lt;=_xlfn.QUARTILE.INC($U$2:$U$633,2),"Medium",TRUE,"High")</f>
        <v>High</v>
      </c>
      <c r="R312" t="s">
        <v>1044</v>
      </c>
      <c r="S312" s="4">
        <v>1399.72</v>
      </c>
      <c r="T312">
        <v>3149.21</v>
      </c>
      <c r="U312">
        <v>3149.21</v>
      </c>
      <c r="V312" s="7">
        <v>0.185</v>
      </c>
      <c r="W312" s="7">
        <v>0.185</v>
      </c>
      <c r="X312" s="7" t="str">
        <f t="shared" si="18"/>
        <v>okay</v>
      </c>
      <c r="Y312" s="9">
        <v>12</v>
      </c>
      <c r="Z312">
        <v>30799.273800000003</v>
      </c>
      <c r="AA312">
        <v>16796.64</v>
      </c>
      <c r="AB312">
        <v>14002.633800000003</v>
      </c>
      <c r="AC312">
        <v>0.45464168703873797</v>
      </c>
    </row>
    <row r="313" spans="1:29" x14ac:dyDescent="0.3">
      <c r="A313" t="s">
        <v>325</v>
      </c>
      <c r="B313" s="3">
        <v>45435</v>
      </c>
      <c r="C313" s="3" t="str">
        <v>May-2024</v>
      </c>
      <c r="D313" s="11" t="str">
        <f t="shared" si="16"/>
        <v>Q2-2024</v>
      </c>
      <c r="E313" s="3">
        <v>45449</v>
      </c>
      <c r="F313" s="3">
        <v>45435</v>
      </c>
      <c r="G313" s="4">
        <f t="shared" si="17"/>
        <v>14</v>
      </c>
      <c r="H313" s="4" t="str">
        <v>delayed</v>
      </c>
      <c r="I313" s="4">
        <f t="shared" si="19"/>
        <v>0</v>
      </c>
      <c r="J313" t="s">
        <v>648</v>
      </c>
      <c r="K313" t="s">
        <v>655</v>
      </c>
      <c r="L313" t="s">
        <v>692</v>
      </c>
      <c r="M313" t="s">
        <v>703</v>
      </c>
      <c r="N313" t="s">
        <v>708</v>
      </c>
      <c r="O313" t="s">
        <v>714</v>
      </c>
      <c r="P313" t="s">
        <v>729</v>
      </c>
      <c r="Q313" t="str" cm="1">
        <f t="array" ref="Q313">_xlfn.IFS(U313&lt;=_xlfn.QUARTILE.INC($U$2:$U944,1),"Low",B313&lt;=_xlfn.QUARTILE.INC($U$2:$U$633,2),"Medium",TRUE,"High")</f>
        <v>Low</v>
      </c>
      <c r="R313" t="s">
        <v>1045</v>
      </c>
      <c r="S313" s="4">
        <v>51.13</v>
      </c>
      <c r="T313">
        <v>57.53</v>
      </c>
      <c r="U313">
        <v>57.53</v>
      </c>
      <c r="V313" s="7">
        <v>4.4999999999999998E-2</v>
      </c>
      <c r="W313" s="7">
        <v>4.4999999999999998E-2</v>
      </c>
      <c r="X313" s="7" t="str">
        <f t="shared" si="18"/>
        <v>okay</v>
      </c>
      <c r="Y313" s="9">
        <v>16</v>
      </c>
      <c r="Z313">
        <v>879.05840000000001</v>
      </c>
      <c r="AA313">
        <v>818.08</v>
      </c>
      <c r="AB313">
        <v>60.978399999999965</v>
      </c>
      <c r="AC313">
        <v>6.9367859973808302E-2</v>
      </c>
    </row>
    <row r="314" spans="1:29" x14ac:dyDescent="0.3">
      <c r="A314" t="s">
        <v>326</v>
      </c>
      <c r="B314" s="3">
        <v>45101</v>
      </c>
      <c r="C314" s="3" t="str">
        <v>Jun-2023</v>
      </c>
      <c r="D314" s="11" t="str">
        <f t="shared" si="16"/>
        <v>Q2-2023</v>
      </c>
      <c r="E314" s="3">
        <v>45099</v>
      </c>
      <c r="F314" s="3">
        <v>45108</v>
      </c>
      <c r="G314" s="4">
        <f t="shared" si="17"/>
        <v>-9</v>
      </c>
      <c r="H314" s="4" t="str">
        <v>ontime</v>
      </c>
      <c r="I314" s="4">
        <f t="shared" si="19"/>
        <v>1</v>
      </c>
      <c r="J314" t="s">
        <v>648</v>
      </c>
      <c r="K314" t="s">
        <v>653</v>
      </c>
      <c r="L314" t="s">
        <v>667</v>
      </c>
      <c r="M314" t="s">
        <v>703</v>
      </c>
      <c r="N314" t="s">
        <v>707</v>
      </c>
      <c r="O314" t="s">
        <v>724</v>
      </c>
      <c r="P314" t="s">
        <v>733</v>
      </c>
      <c r="Q314" t="str" cm="1">
        <f t="array" ref="Q314">_xlfn.IFS(U314&lt;=_xlfn.QUARTILE.INC($U$2:$U945,1),"Low",B314&lt;=_xlfn.QUARTILE.INC($U$2:$U$633,2),"Medium",TRUE,"High")</f>
        <v>High</v>
      </c>
      <c r="R314" t="s">
        <v>1046</v>
      </c>
      <c r="S314" s="4">
        <v>471.42</v>
      </c>
      <c r="T314">
        <v>824.81</v>
      </c>
      <c r="U314">
        <v>824.81</v>
      </c>
      <c r="V314" s="7">
        <v>8.7999999999999995E-2</v>
      </c>
      <c r="W314" s="7">
        <v>8.7999999999999995E-2</v>
      </c>
      <c r="X314" s="7" t="str">
        <f t="shared" si="18"/>
        <v>okay</v>
      </c>
      <c r="Y314" s="9">
        <v>15</v>
      </c>
      <c r="Z314">
        <v>11283.400799999999</v>
      </c>
      <c r="AA314">
        <v>7071.3</v>
      </c>
      <c r="AB314">
        <v>4212.1007999999993</v>
      </c>
      <c r="AC314">
        <v>0.37330064531608231</v>
      </c>
    </row>
    <row r="315" spans="1:29" x14ac:dyDescent="0.3">
      <c r="A315" t="s">
        <v>327</v>
      </c>
      <c r="B315" s="3">
        <v>45600</v>
      </c>
      <c r="C315" s="3" t="str">
        <v>Nov-2024</v>
      </c>
      <c r="D315" s="11" t="str">
        <f t="shared" si="16"/>
        <v>Q4-2024</v>
      </c>
      <c r="E315" s="3">
        <v>45601</v>
      </c>
      <c r="F315" s="3">
        <v>45600</v>
      </c>
      <c r="G315" s="4">
        <f t="shared" si="17"/>
        <v>1</v>
      </c>
      <c r="H315" s="4" t="str">
        <v>ontime</v>
      </c>
      <c r="I315" s="4">
        <f t="shared" si="19"/>
        <v>1</v>
      </c>
      <c r="J315" t="s">
        <v>649</v>
      </c>
      <c r="K315" t="s">
        <v>658</v>
      </c>
      <c r="L315" t="s">
        <v>683</v>
      </c>
      <c r="M315" t="s">
        <v>701</v>
      </c>
      <c r="N315" t="s">
        <v>707</v>
      </c>
      <c r="O315" t="s">
        <v>724</v>
      </c>
      <c r="P315" t="s">
        <v>728</v>
      </c>
      <c r="Q315" t="str" cm="1">
        <f t="array" ref="Q315">_xlfn.IFS(U315&lt;=_xlfn.QUARTILE.INC($U$2:$U946,1),"Low",B315&lt;=_xlfn.QUARTILE.INC($U$2:$U$633,2),"Medium",TRUE,"High")</f>
        <v>High</v>
      </c>
      <c r="R315" t="s">
        <v>1047</v>
      </c>
      <c r="S315" s="4">
        <v>840.68</v>
      </c>
      <c r="T315">
        <v>1493.53</v>
      </c>
      <c r="U315">
        <v>1493.53</v>
      </c>
      <c r="V315" s="7">
        <v>0</v>
      </c>
      <c r="W315" s="7">
        <v>0</v>
      </c>
      <c r="X315" s="7" t="str">
        <f t="shared" si="18"/>
        <v>okay</v>
      </c>
      <c r="Y315" s="9">
        <v>27</v>
      </c>
      <c r="Z315">
        <v>40325.31</v>
      </c>
      <c r="AA315">
        <v>22698.359999999997</v>
      </c>
      <c r="AB315">
        <v>17626.95</v>
      </c>
      <c r="AC315">
        <v>0.43711877230454027</v>
      </c>
    </row>
    <row r="316" spans="1:29" x14ac:dyDescent="0.3">
      <c r="A316" t="s">
        <v>328</v>
      </c>
      <c r="B316" s="3">
        <v>45451</v>
      </c>
      <c r="C316" s="3" t="str">
        <v>Jun-2024</v>
      </c>
      <c r="D316" s="11" t="str">
        <f t="shared" si="16"/>
        <v>Q2-2024</v>
      </c>
      <c r="E316" s="3">
        <v>45467</v>
      </c>
      <c r="F316" s="3">
        <v>45451</v>
      </c>
      <c r="G316" s="4">
        <f t="shared" si="17"/>
        <v>16</v>
      </c>
      <c r="H316" s="4" t="str">
        <v>delayed</v>
      </c>
      <c r="I316" s="4">
        <f t="shared" si="19"/>
        <v>0</v>
      </c>
      <c r="J316" t="s">
        <v>646</v>
      </c>
      <c r="K316" t="s">
        <v>661</v>
      </c>
      <c r="L316" t="s">
        <v>687</v>
      </c>
      <c r="M316" t="s">
        <v>702</v>
      </c>
      <c r="N316" t="s">
        <v>710</v>
      </c>
      <c r="O316" t="s">
        <v>722</v>
      </c>
      <c r="P316" t="s">
        <v>732</v>
      </c>
      <c r="Q316" t="str" cm="1">
        <f t="array" ref="Q316">_xlfn.IFS(U316&lt;=_xlfn.QUARTILE.INC($U$2:$U947,1),"Low",B316&lt;=_xlfn.QUARTILE.INC($U$2:$U$633,2),"Medium",TRUE,"High")</f>
        <v>High</v>
      </c>
      <c r="R316" t="s">
        <v>1048</v>
      </c>
      <c r="S316" s="4">
        <v>597.85</v>
      </c>
      <c r="T316">
        <v>741.92</v>
      </c>
      <c r="U316">
        <v>741.92</v>
      </c>
      <c r="V316" s="7">
        <v>3.1E-2</v>
      </c>
      <c r="W316" s="7">
        <v>3.1E-2</v>
      </c>
      <c r="X316" s="7" t="str">
        <f t="shared" si="18"/>
        <v>okay</v>
      </c>
      <c r="Y316" s="9">
        <v>7</v>
      </c>
      <c r="Z316">
        <v>5032.4433599999993</v>
      </c>
      <c r="AA316">
        <v>4184.95</v>
      </c>
      <c r="AB316">
        <v>847.49335999999948</v>
      </c>
      <c r="AC316">
        <v>0.16840594108544515</v>
      </c>
    </row>
    <row r="317" spans="1:29" x14ac:dyDescent="0.3">
      <c r="A317" t="s">
        <v>329</v>
      </c>
      <c r="B317" s="3">
        <v>45809</v>
      </c>
      <c r="C317" s="3" t="str">
        <v>Jun-2025</v>
      </c>
      <c r="D317" s="11" t="str">
        <f t="shared" si="16"/>
        <v>Q2-2025</v>
      </c>
      <c r="E317" s="3">
        <v>45814</v>
      </c>
      <c r="F317" s="3">
        <v>45809</v>
      </c>
      <c r="G317" s="4">
        <f t="shared" si="17"/>
        <v>5</v>
      </c>
      <c r="H317" s="4" t="str">
        <v>ontime</v>
      </c>
      <c r="I317" s="4">
        <f t="shared" si="19"/>
        <v>1</v>
      </c>
      <c r="J317" t="s">
        <v>649</v>
      </c>
      <c r="K317" t="s">
        <v>657</v>
      </c>
      <c r="L317" t="s">
        <v>690</v>
      </c>
      <c r="M317" t="s">
        <v>704</v>
      </c>
      <c r="N317" t="s">
        <v>710</v>
      </c>
      <c r="O317" t="s">
        <v>715</v>
      </c>
      <c r="P317" t="s">
        <v>727</v>
      </c>
      <c r="Q317" t="str" cm="1">
        <f t="array" ref="Q317">_xlfn.IFS(U317&lt;=_xlfn.QUARTILE.INC($U$2:$U948,1),"Low",B317&lt;=_xlfn.QUARTILE.INC($U$2:$U$633,2),"Medium",TRUE,"High")</f>
        <v>High</v>
      </c>
      <c r="R317" t="s">
        <v>1049</v>
      </c>
      <c r="S317" s="4">
        <v>379.45</v>
      </c>
      <c r="T317">
        <v>742.23</v>
      </c>
      <c r="U317">
        <v>742.23</v>
      </c>
      <c r="V317" s="7">
        <v>0.09</v>
      </c>
      <c r="W317" s="7">
        <v>0.09</v>
      </c>
      <c r="X317" s="7" t="str">
        <f t="shared" si="18"/>
        <v>okay</v>
      </c>
      <c r="Y317" s="9">
        <v>13</v>
      </c>
      <c r="Z317">
        <v>8780.5809000000008</v>
      </c>
      <c r="AA317">
        <v>4932.8499999999995</v>
      </c>
      <c r="AB317">
        <v>3847.7309000000014</v>
      </c>
      <c r="AC317">
        <v>0.43820915083192286</v>
      </c>
    </row>
    <row r="318" spans="1:29" x14ac:dyDescent="0.3">
      <c r="A318" t="s">
        <v>330</v>
      </c>
      <c r="B318" s="3">
        <v>45052</v>
      </c>
      <c r="C318" s="3" t="str">
        <v>May-2023</v>
      </c>
      <c r="D318" s="11" t="str">
        <f t="shared" si="16"/>
        <v>Q2-2023</v>
      </c>
      <c r="E318" s="3">
        <v>45060</v>
      </c>
      <c r="F318" s="3">
        <v>45052</v>
      </c>
      <c r="G318" s="4">
        <f t="shared" si="17"/>
        <v>8</v>
      </c>
      <c r="H318" s="4" t="str">
        <v>delayed</v>
      </c>
      <c r="I318" s="4">
        <f t="shared" si="19"/>
        <v>0</v>
      </c>
      <c r="J318" t="s">
        <v>647</v>
      </c>
      <c r="K318" t="s">
        <v>652</v>
      </c>
      <c r="L318" t="s">
        <v>666</v>
      </c>
      <c r="M318" t="s">
        <v>706</v>
      </c>
      <c r="N318" t="s">
        <v>709</v>
      </c>
      <c r="O318" t="s">
        <v>717</v>
      </c>
      <c r="P318" t="s">
        <v>730</v>
      </c>
      <c r="Q318" t="str" cm="1">
        <f t="array" ref="Q318">_xlfn.IFS(U318&lt;=_xlfn.QUARTILE.INC($U$2:$U949,1),"Low",B318&lt;=_xlfn.QUARTILE.INC($U$2:$U$633,2),"Medium",TRUE,"High")</f>
        <v>Low</v>
      </c>
      <c r="R318" t="s">
        <v>1050</v>
      </c>
      <c r="S318" s="4">
        <v>291.18</v>
      </c>
      <c r="T318">
        <v>479.54</v>
      </c>
      <c r="U318">
        <v>479.54</v>
      </c>
      <c r="V318" s="7">
        <v>0.14099999999999999</v>
      </c>
      <c r="W318" s="7">
        <v>0.14099999999999999</v>
      </c>
      <c r="X318" s="7" t="str">
        <f t="shared" si="18"/>
        <v>okay</v>
      </c>
      <c r="Y318" s="9">
        <v>22</v>
      </c>
      <c r="Z318">
        <v>9062.34692</v>
      </c>
      <c r="AA318">
        <v>6405.96</v>
      </c>
      <c r="AB318">
        <v>2656.3869199999999</v>
      </c>
      <c r="AC318">
        <v>0.29312350801066001</v>
      </c>
    </row>
    <row r="319" spans="1:29" x14ac:dyDescent="0.3">
      <c r="A319" t="s">
        <v>331</v>
      </c>
      <c r="B319" s="3">
        <v>45244</v>
      </c>
      <c r="C319" s="3" t="str">
        <v>Nov-2023</v>
      </c>
      <c r="D319" s="11" t="str">
        <f t="shared" si="16"/>
        <v>Q4-2023</v>
      </c>
      <c r="E319" s="3">
        <v>45260</v>
      </c>
      <c r="F319" s="3">
        <v>45244</v>
      </c>
      <c r="G319" s="4">
        <f t="shared" si="17"/>
        <v>16</v>
      </c>
      <c r="H319" s="4" t="str">
        <v>delayed</v>
      </c>
      <c r="I319" s="4">
        <f t="shared" si="19"/>
        <v>0</v>
      </c>
      <c r="J319" t="s">
        <v>648</v>
      </c>
      <c r="K319" t="s">
        <v>655</v>
      </c>
      <c r="L319" t="s">
        <v>670</v>
      </c>
      <c r="M319" t="s">
        <v>706</v>
      </c>
      <c r="N319" t="s">
        <v>711</v>
      </c>
      <c r="O319" t="s">
        <v>723</v>
      </c>
      <c r="P319" t="s">
        <v>729</v>
      </c>
      <c r="Q319" t="str" cm="1">
        <f t="array" ref="Q319">_xlfn.IFS(U319&lt;=_xlfn.QUARTILE.INC($U$2:$U950,1),"Low",B319&lt;=_xlfn.QUARTILE.INC($U$2:$U$633,2),"Medium",TRUE,"High")</f>
        <v>High</v>
      </c>
      <c r="R319" t="s">
        <v>1051</v>
      </c>
      <c r="S319" s="4">
        <v>1017.92</v>
      </c>
      <c r="T319">
        <v>1175.25</v>
      </c>
      <c r="U319">
        <v>1175.25</v>
      </c>
      <c r="V319" s="7">
        <v>7.4999999999999997E-2</v>
      </c>
      <c r="W319" s="7">
        <v>7.4999999999999997E-2</v>
      </c>
      <c r="X319" s="7" t="str">
        <f t="shared" si="18"/>
        <v>okay</v>
      </c>
      <c r="Y319" s="9">
        <v>15</v>
      </c>
      <c r="Z319">
        <v>16306.59375</v>
      </c>
      <c r="AA319">
        <v>15268.8</v>
      </c>
      <c r="AB319">
        <v>1037.7937500000007</v>
      </c>
      <c r="AC319">
        <v>6.3642583234159542E-2</v>
      </c>
    </row>
    <row r="320" spans="1:29" x14ac:dyDescent="0.3">
      <c r="A320" t="s">
        <v>332</v>
      </c>
      <c r="B320" s="3">
        <v>45748</v>
      </c>
      <c r="C320" s="3" t="str">
        <v>Apr-2025</v>
      </c>
      <c r="D320" s="11" t="str">
        <f t="shared" si="16"/>
        <v>Q2-2025</v>
      </c>
      <c r="E320" s="3">
        <v>45774</v>
      </c>
      <c r="F320" s="3">
        <v>45748</v>
      </c>
      <c r="G320" s="4">
        <f t="shared" si="17"/>
        <v>26</v>
      </c>
      <c r="H320" s="4" t="str">
        <v>delayed</v>
      </c>
      <c r="I320" s="4">
        <f t="shared" si="19"/>
        <v>0</v>
      </c>
      <c r="J320" t="s">
        <v>648</v>
      </c>
      <c r="K320" t="s">
        <v>660</v>
      </c>
      <c r="L320" t="s">
        <v>686</v>
      </c>
      <c r="M320" t="s">
        <v>701</v>
      </c>
      <c r="N320" t="s">
        <v>711</v>
      </c>
      <c r="O320" t="s">
        <v>714</v>
      </c>
      <c r="P320" t="s">
        <v>732</v>
      </c>
      <c r="Q320" t="str" cm="1">
        <f t="array" ref="Q320">_xlfn.IFS(U320&lt;=_xlfn.QUARTILE.INC($U$2:$U951,1),"Low",B320&lt;=_xlfn.QUARTILE.INC($U$2:$U$633,2),"Medium",TRUE,"High")</f>
        <v>Low</v>
      </c>
      <c r="R320" t="s">
        <v>1052</v>
      </c>
      <c r="S320" s="4">
        <v>156.55000000000001</v>
      </c>
      <c r="T320">
        <v>227.45</v>
      </c>
      <c r="U320">
        <v>227.45</v>
      </c>
      <c r="V320" s="7">
        <v>1.4E-2</v>
      </c>
      <c r="W320" s="7">
        <v>1.4E-2</v>
      </c>
      <c r="X320" s="7" t="str">
        <f t="shared" si="18"/>
        <v>okay</v>
      </c>
      <c r="Y320" s="9">
        <v>13</v>
      </c>
      <c r="Z320">
        <v>2915.4540999999999</v>
      </c>
      <c r="AA320">
        <v>2035.15</v>
      </c>
      <c r="AB320">
        <v>880.30409999999983</v>
      </c>
      <c r="AC320">
        <v>0.3019440779396938</v>
      </c>
    </row>
    <row r="321" spans="1:29" x14ac:dyDescent="0.3">
      <c r="A321" t="s">
        <v>333</v>
      </c>
      <c r="B321" s="3">
        <v>45008</v>
      </c>
      <c r="C321" s="3" t="str">
        <v>Mar-2023</v>
      </c>
      <c r="D321" s="11" t="str">
        <f t="shared" si="16"/>
        <v>Q1-2023</v>
      </c>
      <c r="E321" s="3">
        <v>45031</v>
      </c>
      <c r="F321" s="3">
        <v>45008</v>
      </c>
      <c r="G321" s="4">
        <f t="shared" si="17"/>
        <v>23</v>
      </c>
      <c r="H321" s="4" t="str">
        <v>delayed</v>
      </c>
      <c r="I321" s="4">
        <f t="shared" si="19"/>
        <v>0</v>
      </c>
      <c r="J321" t="s">
        <v>646</v>
      </c>
      <c r="K321" t="s">
        <v>650</v>
      </c>
      <c r="L321" t="s">
        <v>675</v>
      </c>
      <c r="M321" t="s">
        <v>705</v>
      </c>
      <c r="N321" t="s">
        <v>707</v>
      </c>
      <c r="O321" t="s">
        <v>712</v>
      </c>
      <c r="P321" t="s">
        <v>733</v>
      </c>
      <c r="Q321" t="str" cm="1">
        <f t="array" ref="Q321">_xlfn.IFS(U321&lt;=_xlfn.QUARTILE.INC($U$2:$U952,1),"Low",B321&lt;=_xlfn.QUARTILE.INC($U$2:$U$633,2),"Medium",TRUE,"High")</f>
        <v>High</v>
      </c>
      <c r="R321" t="s">
        <v>1053</v>
      </c>
      <c r="S321" s="4">
        <v>875.36</v>
      </c>
      <c r="T321">
        <v>1178.6199999999999</v>
      </c>
      <c r="U321">
        <v>1178.6199999999999</v>
      </c>
      <c r="V321" s="7">
        <v>0.151</v>
      </c>
      <c r="W321" s="7">
        <v>0.151</v>
      </c>
      <c r="X321" s="7" t="str">
        <f t="shared" si="18"/>
        <v>okay</v>
      </c>
      <c r="Y321" s="9">
        <v>53</v>
      </c>
      <c r="Z321">
        <v>53034.364139999991</v>
      </c>
      <c r="AA321">
        <v>46394.080000000002</v>
      </c>
      <c r="AB321">
        <v>6640.2841399999888</v>
      </c>
      <c r="AC321">
        <v>0.12520719815685888</v>
      </c>
    </row>
    <row r="322" spans="1:29" x14ac:dyDescent="0.3">
      <c r="A322" t="s">
        <v>334</v>
      </c>
      <c r="B322" s="3">
        <v>45440</v>
      </c>
      <c r="C322" s="3" t="str">
        <v>May-2024</v>
      </c>
      <c r="D322" s="11" t="str">
        <f t="shared" si="16"/>
        <v>Q2-2024</v>
      </c>
      <c r="E322" s="3">
        <v>45461</v>
      </c>
      <c r="F322" s="3">
        <v>45440</v>
      </c>
      <c r="G322" s="4">
        <f t="shared" si="17"/>
        <v>21</v>
      </c>
      <c r="H322" s="4" t="str">
        <v>delayed</v>
      </c>
      <c r="I322" s="4">
        <f t="shared" si="19"/>
        <v>0</v>
      </c>
      <c r="J322" t="s">
        <v>649</v>
      </c>
      <c r="K322" t="s">
        <v>656</v>
      </c>
      <c r="L322" t="s">
        <v>698</v>
      </c>
      <c r="M322" t="s">
        <v>705</v>
      </c>
      <c r="N322" t="s">
        <v>708</v>
      </c>
      <c r="O322" t="s">
        <v>718</v>
      </c>
      <c r="P322" t="s">
        <v>730</v>
      </c>
      <c r="Q322" t="str" cm="1">
        <f t="array" ref="Q322">_xlfn.IFS(U322&lt;=_xlfn.QUARTILE.INC($U$2:$U953,1),"Low",B322&lt;=_xlfn.QUARTILE.INC($U$2:$U$633,2),"Medium",TRUE,"High")</f>
        <v>High</v>
      </c>
      <c r="R322" t="s">
        <v>1054</v>
      </c>
      <c r="S322" s="4">
        <v>986.85</v>
      </c>
      <c r="T322">
        <v>2422.1</v>
      </c>
      <c r="U322">
        <v>2422.1</v>
      </c>
      <c r="V322" s="7">
        <v>7.5999999999999998E-2</v>
      </c>
      <c r="W322" s="7">
        <v>7.5999999999999998E-2</v>
      </c>
      <c r="X322" s="7" t="str">
        <f t="shared" si="18"/>
        <v>okay</v>
      </c>
      <c r="Y322" s="9">
        <v>10</v>
      </c>
      <c r="Z322">
        <v>22380.204000000002</v>
      </c>
      <c r="AA322">
        <v>9868.5</v>
      </c>
      <c r="AB322">
        <v>12511.704000000002</v>
      </c>
      <c r="AC322">
        <v>0.55905227673527913</v>
      </c>
    </row>
    <row r="323" spans="1:29" x14ac:dyDescent="0.3">
      <c r="A323" t="s">
        <v>335</v>
      </c>
      <c r="B323" s="3">
        <v>45293</v>
      </c>
      <c r="C323" s="3" t="str">
        <v>Jan-2024</v>
      </c>
      <c r="D323" s="11" t="str">
        <f t="shared" ref="D323:D386" si="20">"Q" &amp; ROUNDUP(MONTH(C323)/3,0) &amp; "-" &amp; YEAR(C323)</f>
        <v>Q1-2024</v>
      </c>
      <c r="E323" s="3">
        <v>45292</v>
      </c>
      <c r="F323" s="3">
        <v>45300</v>
      </c>
      <c r="G323" s="4">
        <f t="shared" ref="G323:G386" si="21">(E323-F323)</f>
        <v>-8</v>
      </c>
      <c r="H323" s="4" t="str">
        <v>ontime</v>
      </c>
      <c r="I323" s="4">
        <f t="shared" si="19"/>
        <v>1</v>
      </c>
      <c r="J323" t="s">
        <v>648</v>
      </c>
      <c r="K323" t="s">
        <v>660</v>
      </c>
      <c r="L323" t="s">
        <v>677</v>
      </c>
      <c r="M323" t="s">
        <v>702</v>
      </c>
      <c r="N323" t="s">
        <v>709</v>
      </c>
      <c r="O323" t="s">
        <v>717</v>
      </c>
      <c r="P323" t="s">
        <v>729</v>
      </c>
      <c r="Q323" t="str" cm="1">
        <f t="array" ref="Q323">_xlfn.IFS(U323&lt;=_xlfn.QUARTILE.INC($U$2:$U954,1),"Low",B323&lt;=_xlfn.QUARTILE.INC($U$2:$U$633,2),"Medium",TRUE,"High")</f>
        <v>Low</v>
      </c>
      <c r="R323" t="s">
        <v>1055</v>
      </c>
      <c r="S323" s="4">
        <v>404.77</v>
      </c>
      <c r="T323">
        <v>433.88</v>
      </c>
      <c r="U323">
        <v>433.88</v>
      </c>
      <c r="V323" s="7">
        <v>0.215</v>
      </c>
      <c r="W323" s="7">
        <v>0.215</v>
      </c>
      <c r="X323" s="7" t="str">
        <f t="shared" ref="X323:X386" si="22">IF(V323&gt;0.2, "High discount","okay")</f>
        <v>High discount</v>
      </c>
      <c r="Y323" s="9">
        <v>22</v>
      </c>
      <c r="Z323">
        <v>7493.1076000000012</v>
      </c>
      <c r="AA323">
        <v>8904.9399999999987</v>
      </c>
      <c r="AB323">
        <v>-1411.8323999999975</v>
      </c>
      <c r="AC323">
        <v>-0.18841747314558746</v>
      </c>
    </row>
    <row r="324" spans="1:29" x14ac:dyDescent="0.3">
      <c r="A324" t="s">
        <v>336</v>
      </c>
      <c r="B324" s="3">
        <v>44985</v>
      </c>
      <c r="C324" s="3" t="str">
        <v>Feb-2023</v>
      </c>
      <c r="D324" s="11" t="str">
        <f t="shared" si="20"/>
        <v>Q1-2023</v>
      </c>
      <c r="E324" s="3">
        <v>44984</v>
      </c>
      <c r="F324" s="3">
        <v>44992</v>
      </c>
      <c r="G324" s="4">
        <f t="shared" si="21"/>
        <v>-8</v>
      </c>
      <c r="H324" s="4" t="str">
        <v>ontime</v>
      </c>
      <c r="I324" s="4">
        <f t="shared" si="19"/>
        <v>1</v>
      </c>
      <c r="J324" t="s">
        <v>649</v>
      </c>
      <c r="K324" t="s">
        <v>657</v>
      </c>
      <c r="L324" t="s">
        <v>673</v>
      </c>
      <c r="M324" t="s">
        <v>701</v>
      </c>
      <c r="N324" t="s">
        <v>707</v>
      </c>
      <c r="O324" t="s">
        <v>723</v>
      </c>
      <c r="P324" t="s">
        <v>729</v>
      </c>
      <c r="Q324" t="str" cm="1">
        <f t="array" ref="Q324">_xlfn.IFS(U324&lt;=_xlfn.QUARTILE.INC($U$2:$U955,1),"Low",B324&lt;=_xlfn.QUARTILE.INC($U$2:$U$633,2),"Medium",TRUE,"High")</f>
        <v>High</v>
      </c>
      <c r="R324" t="s">
        <v>1056</v>
      </c>
      <c r="S324" s="4">
        <v>1299.81</v>
      </c>
      <c r="T324">
        <v>3149.13</v>
      </c>
      <c r="U324">
        <v>3149.13</v>
      </c>
      <c r="V324" s="7">
        <v>0.10299999999999999</v>
      </c>
      <c r="W324" s="7">
        <v>0.10299999999999999</v>
      </c>
      <c r="X324" s="7" t="str">
        <f t="shared" si="22"/>
        <v>okay</v>
      </c>
      <c r="Y324" s="9">
        <v>14</v>
      </c>
      <c r="Z324">
        <v>39546.774539999999</v>
      </c>
      <c r="AA324">
        <v>18197.34</v>
      </c>
      <c r="AB324">
        <v>21349.434539999998</v>
      </c>
      <c r="AC324">
        <v>0.53985273864511729</v>
      </c>
    </row>
    <row r="325" spans="1:29" x14ac:dyDescent="0.3">
      <c r="A325" t="s">
        <v>337</v>
      </c>
      <c r="B325" s="3">
        <v>45340</v>
      </c>
      <c r="C325" s="3" t="str">
        <v>Feb-2024</v>
      </c>
      <c r="D325" s="11" t="str">
        <f t="shared" si="20"/>
        <v>Q1-2024</v>
      </c>
      <c r="E325" s="3">
        <v>45362</v>
      </c>
      <c r="F325" s="3">
        <v>45340</v>
      </c>
      <c r="G325" s="4">
        <f t="shared" si="21"/>
        <v>22</v>
      </c>
      <c r="H325" s="4" t="str">
        <v>delayed</v>
      </c>
      <c r="I325" s="4">
        <f t="shared" si="19"/>
        <v>0</v>
      </c>
      <c r="J325" t="s">
        <v>648</v>
      </c>
      <c r="K325" t="s">
        <v>655</v>
      </c>
      <c r="L325" t="s">
        <v>670</v>
      </c>
      <c r="M325" t="s">
        <v>704</v>
      </c>
      <c r="N325" t="s">
        <v>708</v>
      </c>
      <c r="O325" t="s">
        <v>720</v>
      </c>
      <c r="P325" t="s">
        <v>727</v>
      </c>
      <c r="Q325" t="str" cm="1">
        <f t="array" ref="Q325">_xlfn.IFS(U325&lt;=_xlfn.QUARTILE.INC($U$2:$U956,1),"Low",B325&lt;=_xlfn.QUARTILE.INC($U$2:$U$633,2),"Medium",TRUE,"High")</f>
        <v>Low</v>
      </c>
      <c r="R325" t="s">
        <v>1057</v>
      </c>
      <c r="S325" s="4">
        <v>80.48</v>
      </c>
      <c r="T325">
        <v>65.650000000000006</v>
      </c>
      <c r="U325">
        <v>65.650000000000006</v>
      </c>
      <c r="V325" s="7">
        <v>0.17599999999999999</v>
      </c>
      <c r="W325" s="7">
        <v>0.17599999999999999</v>
      </c>
      <c r="X325" s="7" t="str">
        <f t="shared" si="22"/>
        <v>okay</v>
      </c>
      <c r="Y325" s="9">
        <v>13</v>
      </c>
      <c r="Z325">
        <v>703.2428000000001</v>
      </c>
      <c r="AA325">
        <v>1046.24</v>
      </c>
      <c r="AB325">
        <v>-342.99719999999991</v>
      </c>
      <c r="AC325">
        <v>-0.48773652570634191</v>
      </c>
    </row>
    <row r="326" spans="1:29" x14ac:dyDescent="0.3">
      <c r="A326" t="s">
        <v>338</v>
      </c>
      <c r="B326" s="3">
        <v>45544</v>
      </c>
      <c r="C326" s="3" t="str">
        <v>Sep-2024</v>
      </c>
      <c r="D326" s="11" t="str">
        <f t="shared" si="20"/>
        <v>Q3-2024</v>
      </c>
      <c r="E326" s="3">
        <v>45573</v>
      </c>
      <c r="F326" s="3">
        <v>45544</v>
      </c>
      <c r="G326" s="4">
        <f t="shared" si="21"/>
        <v>29</v>
      </c>
      <c r="H326" s="4" t="str">
        <v>delayed</v>
      </c>
      <c r="I326" s="4">
        <f t="shared" si="19"/>
        <v>0</v>
      </c>
      <c r="J326" t="s">
        <v>648</v>
      </c>
      <c r="K326" t="s">
        <v>655</v>
      </c>
      <c r="L326" t="s">
        <v>670</v>
      </c>
      <c r="M326" t="s">
        <v>702</v>
      </c>
      <c r="N326" t="s">
        <v>711</v>
      </c>
      <c r="O326" t="s">
        <v>713</v>
      </c>
      <c r="P326" t="s">
        <v>727</v>
      </c>
      <c r="Q326" t="str" cm="1">
        <f t="array" ref="Q326">_xlfn.IFS(U326&lt;=_xlfn.QUARTILE.INC($U$2:$U957,1),"Low",B326&lt;=_xlfn.QUARTILE.INC($U$2:$U$633,2),"Medium",TRUE,"High")</f>
        <v>High</v>
      </c>
      <c r="R326" t="s">
        <v>1058</v>
      </c>
      <c r="S326" s="4">
        <v>1010.33</v>
      </c>
      <c r="T326">
        <v>2492.14</v>
      </c>
      <c r="U326">
        <v>2492.14</v>
      </c>
      <c r="V326" s="7">
        <v>5.0999999999999997E-2</v>
      </c>
      <c r="W326" s="7">
        <v>5.0999999999999997E-2</v>
      </c>
      <c r="X326" s="7" t="str">
        <f t="shared" si="22"/>
        <v>okay</v>
      </c>
      <c r="Y326" s="9">
        <v>11</v>
      </c>
      <c r="Z326">
        <v>26015.449459999996</v>
      </c>
      <c r="AA326">
        <v>11113.630000000001</v>
      </c>
      <c r="AB326">
        <v>14901.819459999995</v>
      </c>
      <c r="AC326">
        <v>0.57280653493656752</v>
      </c>
    </row>
    <row r="327" spans="1:29" x14ac:dyDescent="0.3">
      <c r="A327" t="s">
        <v>339</v>
      </c>
      <c r="B327" s="3">
        <v>45053</v>
      </c>
      <c r="C327" s="3" t="str">
        <v>May-2023</v>
      </c>
      <c r="D327" s="11" t="str">
        <f t="shared" si="20"/>
        <v>Q2-2023</v>
      </c>
      <c r="E327" s="3">
        <v>45075</v>
      </c>
      <c r="F327" s="3">
        <v>45053</v>
      </c>
      <c r="G327" s="4">
        <f t="shared" si="21"/>
        <v>22</v>
      </c>
      <c r="H327" s="4" t="str">
        <v>delayed</v>
      </c>
      <c r="I327" s="4">
        <f t="shared" si="19"/>
        <v>0</v>
      </c>
      <c r="J327" t="s">
        <v>646</v>
      </c>
      <c r="K327" t="s">
        <v>661</v>
      </c>
      <c r="L327" t="s">
        <v>687</v>
      </c>
      <c r="M327" t="s">
        <v>702</v>
      </c>
      <c r="N327" t="s">
        <v>710</v>
      </c>
      <c r="O327" t="s">
        <v>723</v>
      </c>
      <c r="P327" t="s">
        <v>733</v>
      </c>
      <c r="Q327" t="str" cm="1">
        <f t="array" ref="Q327">_xlfn.IFS(U327&lt;=_xlfn.QUARTILE.INC($U$2:$U958,1),"Low",B327&lt;=_xlfn.QUARTILE.INC($U$2:$U$633,2),"Medium",TRUE,"High")</f>
        <v>High</v>
      </c>
      <c r="R327" t="s">
        <v>1059</v>
      </c>
      <c r="S327" s="4">
        <v>653.86</v>
      </c>
      <c r="T327">
        <v>931.84</v>
      </c>
      <c r="U327">
        <v>931.84</v>
      </c>
      <c r="V327" s="7">
        <v>0.121</v>
      </c>
      <c r="W327" s="7">
        <v>0.121</v>
      </c>
      <c r="X327" s="7" t="str">
        <f t="shared" si="22"/>
        <v>okay</v>
      </c>
      <c r="Y327" s="9">
        <v>12</v>
      </c>
      <c r="Z327">
        <v>9829.0483199999999</v>
      </c>
      <c r="AA327">
        <v>7846.32</v>
      </c>
      <c r="AB327">
        <v>1982.7283200000002</v>
      </c>
      <c r="AC327">
        <v>0.20172129136506273</v>
      </c>
    </row>
    <row r="328" spans="1:29" x14ac:dyDescent="0.3">
      <c r="A328" t="s">
        <v>340</v>
      </c>
      <c r="B328" s="3">
        <v>45303</v>
      </c>
      <c r="C328" s="3" t="str">
        <v>Jan-2024</v>
      </c>
      <c r="D328" s="11" t="str">
        <f t="shared" si="20"/>
        <v>Q1-2024</v>
      </c>
      <c r="E328" s="3">
        <v>45320</v>
      </c>
      <c r="F328" s="3">
        <v>45303</v>
      </c>
      <c r="G328" s="4">
        <f t="shared" si="21"/>
        <v>17</v>
      </c>
      <c r="H328" s="4" t="str">
        <v>delayed</v>
      </c>
      <c r="I328" s="4">
        <f t="shared" ref="I328:I391" si="23">IF(G328&lt;=7,1,0)</f>
        <v>0</v>
      </c>
      <c r="J328" t="s">
        <v>647</v>
      </c>
      <c r="K328" t="s">
        <v>654</v>
      </c>
      <c r="L328" t="s">
        <v>696</v>
      </c>
      <c r="M328" t="s">
        <v>705</v>
      </c>
      <c r="N328" t="s">
        <v>711</v>
      </c>
      <c r="O328" t="s">
        <v>717</v>
      </c>
      <c r="P328" t="s">
        <v>727</v>
      </c>
      <c r="Q328" t="str" cm="1">
        <f t="array" ref="Q328">_xlfn.IFS(U328&lt;=_xlfn.QUARTILE.INC($U$2:$U959,1),"Low",B328&lt;=_xlfn.QUARTILE.INC($U$2:$U$633,2),"Medium",TRUE,"High")</f>
        <v>High</v>
      </c>
      <c r="R328" t="s">
        <v>1060</v>
      </c>
      <c r="S328" s="4">
        <v>310.02</v>
      </c>
      <c r="T328">
        <v>619.51</v>
      </c>
      <c r="U328">
        <v>619.51</v>
      </c>
      <c r="V328" s="7">
        <v>4.2000000000000003E-2</v>
      </c>
      <c r="W328" s="7">
        <v>4.2000000000000003E-2</v>
      </c>
      <c r="X328" s="7" t="str">
        <f t="shared" si="22"/>
        <v>okay</v>
      </c>
      <c r="Y328" s="9">
        <v>4</v>
      </c>
      <c r="Z328">
        <v>2373.9623200000001</v>
      </c>
      <c r="AA328">
        <v>1240.08</v>
      </c>
      <c r="AB328">
        <v>1133.8823200000002</v>
      </c>
      <c r="AC328">
        <v>0.47763282106347843</v>
      </c>
    </row>
    <row r="329" spans="1:29" x14ac:dyDescent="0.3">
      <c r="A329" t="s">
        <v>341</v>
      </c>
      <c r="B329" s="3">
        <v>45087</v>
      </c>
      <c r="C329" s="3" t="str">
        <v>Jun-2023</v>
      </c>
      <c r="D329" s="11" t="str">
        <f t="shared" si="20"/>
        <v>Q2-2023</v>
      </c>
      <c r="E329" s="3">
        <v>45095</v>
      </c>
      <c r="F329" s="3">
        <v>45087</v>
      </c>
      <c r="G329" s="4">
        <f t="shared" si="21"/>
        <v>8</v>
      </c>
      <c r="H329" s="4" t="str">
        <v>delayed</v>
      </c>
      <c r="I329" s="4">
        <f t="shared" si="23"/>
        <v>0</v>
      </c>
      <c r="J329" t="s">
        <v>646</v>
      </c>
      <c r="K329" t="s">
        <v>650</v>
      </c>
      <c r="L329" t="s">
        <v>678</v>
      </c>
      <c r="M329" t="s">
        <v>706</v>
      </c>
      <c r="N329" t="s">
        <v>711</v>
      </c>
      <c r="O329" t="s">
        <v>722</v>
      </c>
      <c r="P329" t="s">
        <v>730</v>
      </c>
      <c r="Q329" t="str" cm="1">
        <f t="array" ref="Q329">_xlfn.IFS(U329&lt;=_xlfn.QUARTILE.INC($U$2:$U960,1),"Low",B329&lt;=_xlfn.QUARTILE.INC($U$2:$U$633,2),"Medium",TRUE,"High")</f>
        <v>High</v>
      </c>
      <c r="R329" t="s">
        <v>1061</v>
      </c>
      <c r="S329" s="4">
        <v>894.23</v>
      </c>
      <c r="T329">
        <v>1421.55</v>
      </c>
      <c r="U329">
        <v>1421.55</v>
      </c>
      <c r="V329" s="7">
        <v>0.109</v>
      </c>
      <c r="W329" s="7">
        <v>0.109</v>
      </c>
      <c r="X329" s="7" t="str">
        <f t="shared" si="22"/>
        <v>okay</v>
      </c>
      <c r="Y329" s="9">
        <v>3</v>
      </c>
      <c r="Z329">
        <v>3799.8031499999997</v>
      </c>
      <c r="AA329">
        <v>2682.69</v>
      </c>
      <c r="AB329">
        <v>1117.1131499999997</v>
      </c>
      <c r="AC329">
        <v>0.29399237431549574</v>
      </c>
    </row>
    <row r="330" spans="1:29" x14ac:dyDescent="0.3">
      <c r="A330" t="s">
        <v>342</v>
      </c>
      <c r="B330" s="3">
        <v>45796</v>
      </c>
      <c r="C330" s="3" t="str">
        <v>May-2025</v>
      </c>
      <c r="D330" s="11" t="str">
        <f t="shared" si="20"/>
        <v>Q2-2025</v>
      </c>
      <c r="E330" s="3">
        <v>45794</v>
      </c>
      <c r="F330" s="3">
        <v>45803</v>
      </c>
      <c r="G330" s="4">
        <f t="shared" si="21"/>
        <v>-9</v>
      </c>
      <c r="H330" s="4" t="str">
        <v>ontime</v>
      </c>
      <c r="I330" s="4">
        <f t="shared" si="23"/>
        <v>1</v>
      </c>
      <c r="J330" t="s">
        <v>648</v>
      </c>
      <c r="K330" t="s">
        <v>655</v>
      </c>
      <c r="L330" t="s">
        <v>670</v>
      </c>
      <c r="M330" t="s">
        <v>705</v>
      </c>
      <c r="N330" t="s">
        <v>710</v>
      </c>
      <c r="O330" t="s">
        <v>716</v>
      </c>
      <c r="P330" t="s">
        <v>732</v>
      </c>
      <c r="Q330" t="str" cm="1">
        <f t="array" ref="Q330">_xlfn.IFS(U330&lt;=_xlfn.QUARTILE.INC($U$2:$U961,1),"Low",B330&lt;=_xlfn.QUARTILE.INC($U$2:$U$633,2),"Medium",TRUE,"High")</f>
        <v>High</v>
      </c>
      <c r="R330" t="s">
        <v>1062</v>
      </c>
      <c r="S330" s="4">
        <v>383.77</v>
      </c>
      <c r="T330">
        <v>952.56</v>
      </c>
      <c r="U330">
        <v>952.56</v>
      </c>
      <c r="V330" s="7">
        <v>0.34599999999999997</v>
      </c>
      <c r="W330" s="7">
        <v>0.34599999999999997</v>
      </c>
      <c r="X330" s="7" t="str">
        <f t="shared" si="22"/>
        <v>High discount</v>
      </c>
      <c r="Y330" s="9">
        <v>10</v>
      </c>
      <c r="Z330">
        <v>6229.7423999999992</v>
      </c>
      <c r="AA330">
        <v>3837.7</v>
      </c>
      <c r="AB330">
        <v>2392.0423999999994</v>
      </c>
      <c r="AC330">
        <v>0.38397131797937578</v>
      </c>
    </row>
    <row r="331" spans="1:29" x14ac:dyDescent="0.3">
      <c r="A331" t="s">
        <v>343</v>
      </c>
      <c r="B331" s="3">
        <v>45221</v>
      </c>
      <c r="C331" s="3" t="str">
        <v>Oct-2023</v>
      </c>
      <c r="D331" s="11" t="str">
        <f t="shared" si="20"/>
        <v>Q4-2023</v>
      </c>
      <c r="E331" s="3">
        <v>45246</v>
      </c>
      <c r="F331" s="3">
        <v>45221</v>
      </c>
      <c r="G331" s="4">
        <f t="shared" si="21"/>
        <v>25</v>
      </c>
      <c r="H331" s="4" t="str">
        <v>delayed</v>
      </c>
      <c r="I331" s="4">
        <f t="shared" si="23"/>
        <v>0</v>
      </c>
      <c r="J331" t="s">
        <v>648</v>
      </c>
      <c r="K331" t="s">
        <v>653</v>
      </c>
      <c r="L331" t="s">
        <v>667</v>
      </c>
      <c r="M331" t="s">
        <v>705</v>
      </c>
      <c r="N331" t="s">
        <v>709</v>
      </c>
      <c r="O331" t="s">
        <v>714</v>
      </c>
      <c r="P331" t="s">
        <v>731</v>
      </c>
      <c r="Q331" t="str" cm="1">
        <f t="array" ref="Q331">_xlfn.IFS(U331&lt;=_xlfn.QUARTILE.INC($U$2:$U962,1),"Low",B331&lt;=_xlfn.QUARTILE.INC($U$2:$U$633,2),"Medium",TRUE,"High")</f>
        <v>High</v>
      </c>
      <c r="R331" t="s">
        <v>1063</v>
      </c>
      <c r="S331" s="4">
        <v>1373.31</v>
      </c>
      <c r="T331">
        <v>3154.14</v>
      </c>
      <c r="U331">
        <v>3154.14</v>
      </c>
      <c r="V331" s="7">
        <v>0.2</v>
      </c>
      <c r="W331" s="7">
        <v>0.2</v>
      </c>
      <c r="X331" s="7" t="str">
        <f t="shared" si="22"/>
        <v>okay</v>
      </c>
      <c r="Y331" s="9">
        <v>11</v>
      </c>
      <c r="Z331">
        <v>27756.432000000001</v>
      </c>
      <c r="AA331">
        <v>15106.41</v>
      </c>
      <c r="AB331">
        <v>12650.022000000001</v>
      </c>
      <c r="AC331">
        <v>0.45575101295440279</v>
      </c>
    </row>
    <row r="332" spans="1:29" x14ac:dyDescent="0.3">
      <c r="A332" t="s">
        <v>344</v>
      </c>
      <c r="B332" s="3">
        <v>45668</v>
      </c>
      <c r="C332" s="3" t="str">
        <v>Jan-2025</v>
      </c>
      <c r="D332" s="11" t="str">
        <f t="shared" si="20"/>
        <v>Q1-2025</v>
      </c>
      <c r="E332" s="3">
        <v>45680</v>
      </c>
      <c r="F332" s="3">
        <v>45668</v>
      </c>
      <c r="G332" s="4">
        <f t="shared" si="21"/>
        <v>12</v>
      </c>
      <c r="H332" s="4" t="str">
        <v>delayed</v>
      </c>
      <c r="I332" s="4">
        <f t="shared" si="23"/>
        <v>0</v>
      </c>
      <c r="J332" t="s">
        <v>648</v>
      </c>
      <c r="K332" t="s">
        <v>660</v>
      </c>
      <c r="L332" t="s">
        <v>697</v>
      </c>
      <c r="M332" t="s">
        <v>704</v>
      </c>
      <c r="N332" t="s">
        <v>710</v>
      </c>
      <c r="O332" t="s">
        <v>722</v>
      </c>
      <c r="P332" t="s">
        <v>730</v>
      </c>
      <c r="Q332" t="str" cm="1">
        <f t="array" ref="Q332">_xlfn.IFS(U332&lt;=_xlfn.QUARTILE.INC($U$2:$U963,1),"Low",B332&lt;=_xlfn.QUARTILE.INC($U$2:$U$633,2),"Medium",TRUE,"High")</f>
        <v>Low</v>
      </c>
      <c r="R332" t="s">
        <v>1064</v>
      </c>
      <c r="S332" s="4">
        <v>100.69</v>
      </c>
      <c r="T332">
        <v>226.14</v>
      </c>
      <c r="U332">
        <v>226.14</v>
      </c>
      <c r="V332" s="7">
        <v>6.5000000000000002E-2</v>
      </c>
      <c r="W332" s="7">
        <v>6.5000000000000002E-2</v>
      </c>
      <c r="X332" s="7" t="str">
        <f t="shared" si="22"/>
        <v>okay</v>
      </c>
      <c r="Y332" s="9">
        <v>12</v>
      </c>
      <c r="Z332">
        <v>2537.2908000000002</v>
      </c>
      <c r="AA332">
        <v>1208.28</v>
      </c>
      <c r="AB332">
        <v>1329.0108000000002</v>
      </c>
      <c r="AC332">
        <v>0.52379128162999689</v>
      </c>
    </row>
    <row r="333" spans="1:29" x14ac:dyDescent="0.3">
      <c r="A333" t="s">
        <v>345</v>
      </c>
      <c r="B333" s="3">
        <v>45914</v>
      </c>
      <c r="C333" s="3" t="str">
        <v>Sep-2025</v>
      </c>
      <c r="D333" s="11" t="str">
        <f t="shared" si="20"/>
        <v>Q3-2025</v>
      </c>
      <c r="E333" s="3">
        <v>45926</v>
      </c>
      <c r="F333" s="3">
        <v>45914</v>
      </c>
      <c r="G333" s="4">
        <f t="shared" si="21"/>
        <v>12</v>
      </c>
      <c r="H333" s="4" t="str">
        <v>delayed</v>
      </c>
      <c r="I333" s="4">
        <f t="shared" si="23"/>
        <v>0</v>
      </c>
      <c r="J333" t="s">
        <v>649</v>
      </c>
      <c r="K333" t="s">
        <v>658</v>
      </c>
      <c r="L333" t="s">
        <v>683</v>
      </c>
      <c r="M333" t="s">
        <v>705</v>
      </c>
      <c r="N333" t="s">
        <v>711</v>
      </c>
      <c r="O333" t="s">
        <v>725</v>
      </c>
      <c r="P333" t="s">
        <v>729</v>
      </c>
      <c r="Q333" t="str" cm="1">
        <f t="array" ref="Q333">_xlfn.IFS(U333&lt;=_xlfn.QUARTILE.INC($U$2:$U964,1),"Low",B333&lt;=_xlfn.QUARTILE.INC($U$2:$U$633,2),"Medium",TRUE,"High")</f>
        <v>High</v>
      </c>
      <c r="R333" t="s">
        <v>1065</v>
      </c>
      <c r="S333" s="4">
        <v>425.15</v>
      </c>
      <c r="T333">
        <v>885.92</v>
      </c>
      <c r="U333">
        <v>885.92</v>
      </c>
      <c r="V333" s="7">
        <v>0.23899999999999999</v>
      </c>
      <c r="W333" s="7">
        <v>0.23899999999999999</v>
      </c>
      <c r="X333" s="7" t="str">
        <f t="shared" si="22"/>
        <v>High discount</v>
      </c>
      <c r="Y333" s="9">
        <v>13</v>
      </c>
      <c r="Z333">
        <v>8764.4065599999994</v>
      </c>
      <c r="AA333">
        <v>5526.95</v>
      </c>
      <c r="AB333">
        <v>3237.4565599999996</v>
      </c>
      <c r="AC333">
        <v>0.3693868532725848</v>
      </c>
    </row>
    <row r="334" spans="1:29" x14ac:dyDescent="0.3">
      <c r="A334" t="s">
        <v>346</v>
      </c>
      <c r="B334" s="3">
        <v>45168</v>
      </c>
      <c r="C334" s="3" t="str">
        <v>Aug-2023</v>
      </c>
      <c r="D334" s="11" t="str">
        <f t="shared" si="20"/>
        <v>Q3-2023</v>
      </c>
      <c r="E334" s="3">
        <v>45172</v>
      </c>
      <c r="F334" s="3">
        <v>45168</v>
      </c>
      <c r="G334" s="4">
        <f t="shared" si="21"/>
        <v>4</v>
      </c>
      <c r="H334" s="4" t="str">
        <v>ontime</v>
      </c>
      <c r="I334" s="4">
        <f t="shared" si="23"/>
        <v>1</v>
      </c>
      <c r="J334" t="s">
        <v>647</v>
      </c>
      <c r="K334" t="s">
        <v>654</v>
      </c>
      <c r="L334" t="s">
        <v>680</v>
      </c>
      <c r="M334" t="s">
        <v>705</v>
      </c>
      <c r="N334" t="s">
        <v>709</v>
      </c>
      <c r="O334" t="s">
        <v>716</v>
      </c>
      <c r="P334" t="s">
        <v>733</v>
      </c>
      <c r="Q334" t="str" cm="1">
        <f t="array" ref="Q334">_xlfn.IFS(U334&lt;=_xlfn.QUARTILE.INC($U$2:$U965,1),"Low",B334&lt;=_xlfn.QUARTILE.INC($U$2:$U$633,2),"Medium",TRUE,"High")</f>
        <v>High</v>
      </c>
      <c r="R334" t="s">
        <v>1066</v>
      </c>
      <c r="S334" s="4">
        <v>1082.25</v>
      </c>
      <c r="T334">
        <v>2433.34</v>
      </c>
      <c r="U334">
        <v>2433.34</v>
      </c>
      <c r="V334" s="7">
        <v>0.27</v>
      </c>
      <c r="W334" s="7">
        <v>0.27</v>
      </c>
      <c r="X334" s="7" t="str">
        <f t="shared" si="22"/>
        <v>High discount</v>
      </c>
      <c r="Y334" s="9">
        <v>4</v>
      </c>
      <c r="Z334">
        <v>7105.3528000000006</v>
      </c>
      <c r="AA334">
        <v>4329</v>
      </c>
      <c r="AB334">
        <v>2776.3528000000006</v>
      </c>
      <c r="AC334">
        <v>0.3907410199251472</v>
      </c>
    </row>
    <row r="335" spans="1:29" x14ac:dyDescent="0.3">
      <c r="A335" t="s">
        <v>347</v>
      </c>
      <c r="B335" s="3">
        <v>45245</v>
      </c>
      <c r="C335" s="3" t="str">
        <v>Nov-2023</v>
      </c>
      <c r="D335" s="11" t="str">
        <f t="shared" si="20"/>
        <v>Q4-2023</v>
      </c>
      <c r="E335" s="3">
        <v>45266</v>
      </c>
      <c r="F335" s="3">
        <v>45245</v>
      </c>
      <c r="G335" s="4">
        <f t="shared" si="21"/>
        <v>21</v>
      </c>
      <c r="H335" s="4" t="str">
        <v>delayed</v>
      </c>
      <c r="I335" s="4">
        <f t="shared" si="23"/>
        <v>0</v>
      </c>
      <c r="J335" t="s">
        <v>649</v>
      </c>
      <c r="K335" t="s">
        <v>658</v>
      </c>
      <c r="L335" t="s">
        <v>693</v>
      </c>
      <c r="M335" t="s">
        <v>702</v>
      </c>
      <c r="N335" t="s">
        <v>711</v>
      </c>
      <c r="O335" t="s">
        <v>722</v>
      </c>
      <c r="P335" t="s">
        <v>733</v>
      </c>
      <c r="Q335" t="str" cm="1">
        <f t="array" ref="Q335">_xlfn.IFS(U335&lt;=_xlfn.QUARTILE.INC($U$2:$U966,1),"Low",B335&lt;=_xlfn.QUARTILE.INC($U$2:$U$633,2),"Medium",TRUE,"High")</f>
        <v>High</v>
      </c>
      <c r="R335" t="s">
        <v>1067</v>
      </c>
      <c r="S335" s="4">
        <v>1184.99</v>
      </c>
      <c r="T335">
        <v>1154.3399999999999</v>
      </c>
      <c r="U335">
        <v>1154.3399999999999</v>
      </c>
      <c r="V335" s="7">
        <v>2.8000000000000001E-2</v>
      </c>
      <c r="W335" s="7">
        <v>2.8000000000000001E-2</v>
      </c>
      <c r="X335" s="7" t="str">
        <f t="shared" si="22"/>
        <v>okay</v>
      </c>
      <c r="Y335" s="9">
        <v>5</v>
      </c>
      <c r="Z335">
        <v>5610.0923999999995</v>
      </c>
      <c r="AA335">
        <v>5924.95</v>
      </c>
      <c r="AB335">
        <v>-314.85760000000028</v>
      </c>
      <c r="AC335">
        <v>-5.6123424990290764E-2</v>
      </c>
    </row>
    <row r="336" spans="1:29" x14ac:dyDescent="0.3">
      <c r="A336" t="s">
        <v>348</v>
      </c>
      <c r="B336" s="3">
        <v>45774</v>
      </c>
      <c r="C336" s="3" t="str">
        <v>Apr-2025</v>
      </c>
      <c r="D336" s="11" t="str">
        <f t="shared" si="20"/>
        <v>Q2-2025</v>
      </c>
      <c r="E336" s="3">
        <v>45804</v>
      </c>
      <c r="F336" s="3">
        <v>45774</v>
      </c>
      <c r="G336" s="4">
        <f t="shared" si="21"/>
        <v>30</v>
      </c>
      <c r="H336" s="4" t="str">
        <v>delayed</v>
      </c>
      <c r="I336" s="4">
        <f t="shared" si="23"/>
        <v>0</v>
      </c>
      <c r="J336" t="s">
        <v>647</v>
      </c>
      <c r="K336" t="s">
        <v>654</v>
      </c>
      <c r="L336" t="s">
        <v>1421</v>
      </c>
      <c r="M336" t="s">
        <v>706</v>
      </c>
      <c r="N336" t="s">
        <v>709</v>
      </c>
      <c r="O336" t="s">
        <v>722</v>
      </c>
      <c r="P336" t="s">
        <v>730</v>
      </c>
      <c r="Q336" t="str" cm="1">
        <f t="array" ref="Q336">_xlfn.IFS(U336&lt;=_xlfn.QUARTILE.INC($U$2:$U967,1),"Low",B336&lt;=_xlfn.QUARTILE.INC($U$2:$U$633,2),"Medium",TRUE,"High")</f>
        <v>High</v>
      </c>
      <c r="R336" t="s">
        <v>1068</v>
      </c>
      <c r="S336" s="4">
        <v>481.32</v>
      </c>
      <c r="T336">
        <v>1135.99</v>
      </c>
      <c r="U336">
        <v>1135.99</v>
      </c>
      <c r="V336" s="7">
        <v>0.14499999999999999</v>
      </c>
      <c r="W336" s="7">
        <v>0.14499999999999999</v>
      </c>
      <c r="X336" s="7" t="str">
        <f t="shared" si="22"/>
        <v>okay</v>
      </c>
      <c r="Y336" s="9">
        <v>5</v>
      </c>
      <c r="Z336">
        <v>4856.35725</v>
      </c>
      <c r="AA336">
        <v>2406.6</v>
      </c>
      <c r="AB336">
        <v>2449.7572500000001</v>
      </c>
      <c r="AC336">
        <v>0.50444337677175621</v>
      </c>
    </row>
    <row r="337" spans="1:29" x14ac:dyDescent="0.3">
      <c r="A337" t="s">
        <v>349</v>
      </c>
      <c r="B337" s="3">
        <v>45391</v>
      </c>
      <c r="C337" s="3" t="str">
        <v>Apr-2024</v>
      </c>
      <c r="D337" s="11" t="str">
        <f t="shared" si="20"/>
        <v>Q2-2024</v>
      </c>
      <c r="E337" s="3">
        <v>45400</v>
      </c>
      <c r="F337" s="3">
        <v>45391</v>
      </c>
      <c r="G337" s="4">
        <f t="shared" si="21"/>
        <v>9</v>
      </c>
      <c r="H337" s="4" t="str">
        <v>delayed</v>
      </c>
      <c r="I337" s="4">
        <f t="shared" si="23"/>
        <v>0</v>
      </c>
      <c r="J337" t="s">
        <v>649</v>
      </c>
      <c r="K337" t="s">
        <v>657</v>
      </c>
      <c r="L337" t="s">
        <v>679</v>
      </c>
      <c r="M337" t="s">
        <v>704</v>
      </c>
      <c r="N337" t="s">
        <v>708</v>
      </c>
      <c r="O337" t="s">
        <v>718</v>
      </c>
      <c r="P337" t="s">
        <v>728</v>
      </c>
      <c r="Q337" t="str" cm="1">
        <f t="array" ref="Q337">_xlfn.IFS(U337&lt;=_xlfn.QUARTILE.INC($U$2:$U968,1),"Low",B337&lt;=_xlfn.QUARTILE.INC($U$2:$U$633,2),"Medium",TRUE,"High")</f>
        <v>High</v>
      </c>
      <c r="R337" t="s">
        <v>1069</v>
      </c>
      <c r="S337" s="4">
        <v>1288.8499999999999</v>
      </c>
      <c r="T337">
        <v>2751.84</v>
      </c>
      <c r="U337">
        <v>2751.84</v>
      </c>
      <c r="V337" s="7">
        <v>0.158</v>
      </c>
      <c r="W337" s="7">
        <v>0.158</v>
      </c>
      <c r="X337" s="7" t="str">
        <f t="shared" si="22"/>
        <v>okay</v>
      </c>
      <c r="Y337" s="9">
        <v>7</v>
      </c>
      <c r="Z337">
        <v>16219.34496</v>
      </c>
      <c r="AA337">
        <v>9021.9499999999989</v>
      </c>
      <c r="AB337">
        <v>7197.3949600000014</v>
      </c>
      <c r="AC337">
        <v>0.44375373837538756</v>
      </c>
    </row>
    <row r="338" spans="1:29" x14ac:dyDescent="0.3">
      <c r="A338" t="s">
        <v>350</v>
      </c>
      <c r="B338" s="3">
        <v>45484</v>
      </c>
      <c r="C338" s="3" t="str">
        <v>Jul-2024</v>
      </c>
      <c r="D338" s="11" t="str">
        <f t="shared" si="20"/>
        <v>Q3-2024</v>
      </c>
      <c r="E338" s="3">
        <v>45504</v>
      </c>
      <c r="F338" s="3">
        <v>45484</v>
      </c>
      <c r="G338" s="4">
        <f t="shared" si="21"/>
        <v>20</v>
      </c>
      <c r="H338" s="4" t="str">
        <v>delayed</v>
      </c>
      <c r="I338" s="4">
        <f t="shared" si="23"/>
        <v>0</v>
      </c>
      <c r="J338" t="s">
        <v>647</v>
      </c>
      <c r="K338" t="s">
        <v>659</v>
      </c>
      <c r="L338" t="s">
        <v>676</v>
      </c>
      <c r="M338" t="s">
        <v>704</v>
      </c>
      <c r="N338" t="s">
        <v>708</v>
      </c>
      <c r="O338" t="s">
        <v>715</v>
      </c>
      <c r="P338" t="s">
        <v>730</v>
      </c>
      <c r="Q338" t="str" cm="1">
        <f t="array" ref="Q338">_xlfn.IFS(U338&lt;=_xlfn.QUARTILE.INC($U$2:$U969,1),"Low",B338&lt;=_xlfn.QUARTILE.INC($U$2:$U$633,2),"Medium",TRUE,"High")</f>
        <v>High</v>
      </c>
      <c r="R338" t="s">
        <v>1070</v>
      </c>
      <c r="S338" s="4">
        <v>647.26</v>
      </c>
      <c r="T338">
        <v>1374.72</v>
      </c>
      <c r="U338">
        <v>1374.72</v>
      </c>
      <c r="V338" s="7">
        <v>6.6000000000000003E-2</v>
      </c>
      <c r="W338" s="7">
        <v>6.6000000000000003E-2</v>
      </c>
      <c r="X338" s="7" t="str">
        <f t="shared" si="22"/>
        <v>okay</v>
      </c>
      <c r="Y338" s="9">
        <v>22</v>
      </c>
      <c r="Z338">
        <v>28247.74656</v>
      </c>
      <c r="AA338">
        <v>14239.72</v>
      </c>
      <c r="AB338">
        <v>14008.02656</v>
      </c>
      <c r="AC338">
        <v>0.49589890401508901</v>
      </c>
    </row>
    <row r="339" spans="1:29" x14ac:dyDescent="0.3">
      <c r="A339" t="s">
        <v>351</v>
      </c>
      <c r="B339" s="3">
        <v>45340</v>
      </c>
      <c r="C339" s="3" t="str">
        <v>Feb-2024</v>
      </c>
      <c r="D339" s="11" t="str">
        <f t="shared" si="20"/>
        <v>Q1-2024</v>
      </c>
      <c r="E339" s="3">
        <v>45354</v>
      </c>
      <c r="F339" s="3">
        <v>45340</v>
      </c>
      <c r="G339" s="4">
        <f t="shared" si="21"/>
        <v>14</v>
      </c>
      <c r="H339" s="4" t="str">
        <v>delayed</v>
      </c>
      <c r="I339" s="4">
        <f t="shared" si="23"/>
        <v>0</v>
      </c>
      <c r="J339" t="s">
        <v>648</v>
      </c>
      <c r="K339" t="s">
        <v>655</v>
      </c>
      <c r="L339" t="s">
        <v>1421</v>
      </c>
      <c r="M339" t="s">
        <v>706</v>
      </c>
      <c r="N339" t="s">
        <v>710</v>
      </c>
      <c r="O339" t="s">
        <v>720</v>
      </c>
      <c r="P339" t="s">
        <v>728</v>
      </c>
      <c r="Q339" t="str" cm="1">
        <f t="array" ref="Q339">_xlfn.IFS(U339&lt;=_xlfn.QUARTILE.INC($U$2:$U970,1),"Low",B339&lt;=_xlfn.QUARTILE.INC($U$2:$U$633,2),"Medium",TRUE,"High")</f>
        <v>High</v>
      </c>
      <c r="R339" t="s">
        <v>1071</v>
      </c>
      <c r="S339" s="4">
        <v>624.23</v>
      </c>
      <c r="T339">
        <v>1318.37</v>
      </c>
      <c r="U339">
        <v>1318.37</v>
      </c>
      <c r="V339" s="7">
        <v>0.21</v>
      </c>
      <c r="W339" s="7">
        <v>0.21</v>
      </c>
      <c r="X339" s="7" t="str">
        <f t="shared" si="22"/>
        <v>High discount</v>
      </c>
      <c r="Y339" s="9">
        <v>37</v>
      </c>
      <c r="Z339">
        <v>38535.955099999999</v>
      </c>
      <c r="AA339">
        <v>23096.510000000002</v>
      </c>
      <c r="AB339">
        <v>15439.445099999997</v>
      </c>
      <c r="AC339">
        <v>0.40065038118128793</v>
      </c>
    </row>
    <row r="340" spans="1:29" x14ac:dyDescent="0.3">
      <c r="A340" t="s">
        <v>352</v>
      </c>
      <c r="B340" s="3">
        <v>45132</v>
      </c>
      <c r="C340" s="3" t="str">
        <v>Jul-2023</v>
      </c>
      <c r="D340" s="11" t="str">
        <f t="shared" si="20"/>
        <v>Q3-2023</v>
      </c>
      <c r="E340" s="3">
        <v>45148</v>
      </c>
      <c r="F340" s="3">
        <v>45132</v>
      </c>
      <c r="G340" s="4">
        <f t="shared" si="21"/>
        <v>16</v>
      </c>
      <c r="H340" s="4" t="str">
        <v>delayed</v>
      </c>
      <c r="I340" s="4">
        <f t="shared" si="23"/>
        <v>0</v>
      </c>
      <c r="J340" t="s">
        <v>646</v>
      </c>
      <c r="K340" t="s">
        <v>651</v>
      </c>
      <c r="L340" t="s">
        <v>663</v>
      </c>
      <c r="M340" t="s">
        <v>701</v>
      </c>
      <c r="N340" t="s">
        <v>710</v>
      </c>
      <c r="O340" t="s">
        <v>714</v>
      </c>
      <c r="P340" t="s">
        <v>733</v>
      </c>
      <c r="Q340" t="str" cm="1">
        <f t="array" ref="Q340">_xlfn.IFS(U340&lt;=_xlfn.QUARTILE.INC($U$2:$U971,1),"Low",B340&lt;=_xlfn.QUARTILE.INC($U$2:$U$633,2),"Medium",TRUE,"High")</f>
        <v>Low</v>
      </c>
      <c r="R340" t="s">
        <v>1072</v>
      </c>
      <c r="S340" s="4">
        <v>506.83</v>
      </c>
      <c r="T340">
        <v>441.74</v>
      </c>
      <c r="U340">
        <v>441.74</v>
      </c>
      <c r="V340" s="7">
        <v>0.24</v>
      </c>
      <c r="W340" s="7">
        <v>0.24</v>
      </c>
      <c r="X340" s="7" t="str">
        <f t="shared" si="22"/>
        <v>High discount</v>
      </c>
      <c r="Y340" s="9">
        <v>9</v>
      </c>
      <c r="Z340">
        <v>3021.5016000000001</v>
      </c>
      <c r="AA340">
        <v>4561.47</v>
      </c>
      <c r="AB340">
        <v>-1539.9684000000002</v>
      </c>
      <c r="AC340">
        <v>-0.50966989393618067</v>
      </c>
    </row>
    <row r="341" spans="1:29" x14ac:dyDescent="0.3">
      <c r="A341" t="s">
        <v>353</v>
      </c>
      <c r="B341" s="3">
        <v>45121</v>
      </c>
      <c r="C341" s="3" t="str">
        <v>Jul-2023</v>
      </c>
      <c r="D341" s="11" t="str">
        <f t="shared" si="20"/>
        <v>Q3-2023</v>
      </c>
      <c r="E341" s="3">
        <v>45128</v>
      </c>
      <c r="F341" s="3">
        <v>45121</v>
      </c>
      <c r="G341" s="4">
        <f t="shared" si="21"/>
        <v>7</v>
      </c>
      <c r="H341" s="4" t="str">
        <v>ontime</v>
      </c>
      <c r="I341" s="4">
        <f t="shared" si="23"/>
        <v>1</v>
      </c>
      <c r="J341" t="s">
        <v>646</v>
      </c>
      <c r="K341" t="s">
        <v>661</v>
      </c>
      <c r="L341" t="s">
        <v>687</v>
      </c>
      <c r="M341" t="s">
        <v>706</v>
      </c>
      <c r="N341" t="s">
        <v>709</v>
      </c>
      <c r="O341" t="s">
        <v>1421</v>
      </c>
      <c r="P341" t="s">
        <v>732</v>
      </c>
      <c r="Q341" t="str" cm="1">
        <f t="array" ref="Q341">_xlfn.IFS(U341&lt;=_xlfn.QUARTILE.INC($U$2:$U972,1),"Low",B341&lt;=_xlfn.QUARTILE.INC($U$2:$U$633,2),"Medium",TRUE,"High")</f>
        <v>High</v>
      </c>
      <c r="R341" t="s">
        <v>1073</v>
      </c>
      <c r="S341" s="4">
        <v>620.74</v>
      </c>
      <c r="T341">
        <v>1330.07</v>
      </c>
      <c r="U341">
        <v>1330.07</v>
      </c>
      <c r="V341" s="7">
        <v>0.29899999999999999</v>
      </c>
      <c r="W341" s="7">
        <v>0.29899999999999999</v>
      </c>
      <c r="X341" s="7" t="str">
        <f t="shared" si="22"/>
        <v>High discount</v>
      </c>
      <c r="Y341" s="9">
        <v>28</v>
      </c>
      <c r="Z341">
        <v>26106.613960000002</v>
      </c>
      <c r="AA341">
        <v>17380.72</v>
      </c>
      <c r="AB341">
        <v>8725.8939600000012</v>
      </c>
      <c r="AC341">
        <v>0.33424073965967516</v>
      </c>
    </row>
    <row r="342" spans="1:29" x14ac:dyDescent="0.3">
      <c r="A342" t="s">
        <v>354</v>
      </c>
      <c r="B342" s="3">
        <v>45131</v>
      </c>
      <c r="C342" s="3" t="str">
        <v>Jul-2023</v>
      </c>
      <c r="D342" s="11" t="str">
        <f t="shared" si="20"/>
        <v>Q3-2023</v>
      </c>
      <c r="E342" s="3">
        <v>45157</v>
      </c>
      <c r="F342" s="3">
        <v>45131</v>
      </c>
      <c r="G342" s="4">
        <f t="shared" si="21"/>
        <v>26</v>
      </c>
      <c r="H342" s="4" t="str">
        <v>delayed</v>
      </c>
      <c r="I342" s="4">
        <f t="shared" si="23"/>
        <v>0</v>
      </c>
      <c r="J342" t="s">
        <v>646</v>
      </c>
      <c r="K342" t="s">
        <v>650</v>
      </c>
      <c r="L342" t="s">
        <v>664</v>
      </c>
      <c r="M342" t="s">
        <v>706</v>
      </c>
      <c r="N342" t="s">
        <v>710</v>
      </c>
      <c r="O342" t="s">
        <v>724</v>
      </c>
      <c r="P342" t="s">
        <v>733</v>
      </c>
      <c r="Q342" t="str" cm="1">
        <f t="array" ref="Q342">_xlfn.IFS(U342&lt;=_xlfn.QUARTILE.INC($U$2:$U973,1),"Low",B342&lt;=_xlfn.QUARTILE.INC($U$2:$U$633,2),"Medium",TRUE,"High")</f>
        <v>High</v>
      </c>
      <c r="R342" t="s">
        <v>1074</v>
      </c>
      <c r="S342" s="4">
        <v>661.45</v>
      </c>
      <c r="T342">
        <v>1634.86</v>
      </c>
      <c r="U342">
        <v>1634.86</v>
      </c>
      <c r="V342" s="7">
        <v>0.56499999999999995</v>
      </c>
      <c r="W342" s="7">
        <v>0.56499999999999995</v>
      </c>
      <c r="X342" s="7" t="str">
        <f t="shared" si="22"/>
        <v>High discount</v>
      </c>
      <c r="Y342" s="9">
        <v>24</v>
      </c>
      <c r="Z342">
        <v>17067.938400000003</v>
      </c>
      <c r="AA342">
        <v>15874.800000000001</v>
      </c>
      <c r="AB342">
        <v>1193.1384000000016</v>
      </c>
      <c r="AC342">
        <v>6.9905244092045793E-2</v>
      </c>
    </row>
    <row r="343" spans="1:29" x14ac:dyDescent="0.3">
      <c r="A343" t="s">
        <v>355</v>
      </c>
      <c r="B343" s="3">
        <v>45029</v>
      </c>
      <c r="C343" s="3" t="str">
        <v>Apr-2023</v>
      </c>
      <c r="D343" s="11" t="str">
        <f t="shared" si="20"/>
        <v>Q2-2023</v>
      </c>
      <c r="E343" s="3">
        <v>45027</v>
      </c>
      <c r="F343" s="3">
        <v>45036</v>
      </c>
      <c r="G343" s="4">
        <f t="shared" si="21"/>
        <v>-9</v>
      </c>
      <c r="H343" s="4" t="str">
        <v>ontime</v>
      </c>
      <c r="I343" s="4">
        <f t="shared" si="23"/>
        <v>1</v>
      </c>
      <c r="J343" t="s">
        <v>648</v>
      </c>
      <c r="K343" t="s">
        <v>660</v>
      </c>
      <c r="L343" t="s">
        <v>686</v>
      </c>
      <c r="M343" t="s">
        <v>702</v>
      </c>
      <c r="N343" t="s">
        <v>709</v>
      </c>
      <c r="O343" t="s">
        <v>715</v>
      </c>
      <c r="P343" t="s">
        <v>729</v>
      </c>
      <c r="Q343" t="str" cm="1">
        <f t="array" ref="Q343">_xlfn.IFS(U343&lt;=_xlfn.QUARTILE.INC($U$2:$U974,1),"Low",B343&lt;=_xlfn.QUARTILE.INC($U$2:$U$633,2),"Medium",TRUE,"High")</f>
        <v>Low</v>
      </c>
      <c r="R343" t="s">
        <v>1075</v>
      </c>
      <c r="S343" s="4">
        <v>32.1</v>
      </c>
      <c r="T343">
        <v>70.599999999999994</v>
      </c>
      <c r="U343">
        <v>70.599999999999994</v>
      </c>
      <c r="V343" s="7">
        <v>0.28199999999999997</v>
      </c>
      <c r="W343" s="7">
        <v>0.28199999999999997</v>
      </c>
      <c r="X343" s="7" t="str">
        <f t="shared" si="22"/>
        <v>High discount</v>
      </c>
      <c r="Y343" s="9">
        <v>22</v>
      </c>
      <c r="Z343">
        <v>1115.1975999999997</v>
      </c>
      <c r="AA343">
        <v>706.2</v>
      </c>
      <c r="AB343">
        <v>408.99759999999969</v>
      </c>
      <c r="AC343">
        <v>0.36674899587301818</v>
      </c>
    </row>
    <row r="344" spans="1:29" x14ac:dyDescent="0.3">
      <c r="A344" t="s">
        <v>356</v>
      </c>
      <c r="B344" s="3">
        <v>45594</v>
      </c>
      <c r="C344" s="3" t="str">
        <v>Oct-2024</v>
      </c>
      <c r="D344" s="11" t="str">
        <f t="shared" si="20"/>
        <v>Q4-2024</v>
      </c>
      <c r="E344" s="3">
        <v>45600</v>
      </c>
      <c r="F344" s="3">
        <v>45594</v>
      </c>
      <c r="G344" s="4">
        <f t="shared" si="21"/>
        <v>6</v>
      </c>
      <c r="H344" s="4" t="str">
        <v>ontime</v>
      </c>
      <c r="I344" s="4">
        <f t="shared" si="23"/>
        <v>1</v>
      </c>
      <c r="J344" t="s">
        <v>646</v>
      </c>
      <c r="K344" t="s">
        <v>650</v>
      </c>
      <c r="L344" t="s">
        <v>664</v>
      </c>
      <c r="M344" t="s">
        <v>701</v>
      </c>
      <c r="N344" t="s">
        <v>710</v>
      </c>
      <c r="O344" t="s">
        <v>724</v>
      </c>
      <c r="P344" t="s">
        <v>728</v>
      </c>
      <c r="Q344" t="str" cm="1">
        <f t="array" ref="Q344">_xlfn.IFS(U344&lt;=_xlfn.QUARTILE.INC($U$2:$U975,1),"Low",B344&lt;=_xlfn.QUARTILE.INC($U$2:$U$633,2),"Medium",TRUE,"High")</f>
        <v>High</v>
      </c>
      <c r="R344" t="s">
        <v>1076</v>
      </c>
      <c r="S344" s="4">
        <v>805.81</v>
      </c>
      <c r="T344">
        <v>1823.04</v>
      </c>
      <c r="U344">
        <v>1823.04</v>
      </c>
      <c r="V344" s="7">
        <v>0</v>
      </c>
      <c r="W344" s="7">
        <v>0</v>
      </c>
      <c r="X344" s="7" t="str">
        <f t="shared" si="22"/>
        <v>okay</v>
      </c>
      <c r="Y344" s="9">
        <v>11</v>
      </c>
      <c r="Z344">
        <v>20053.439999999999</v>
      </c>
      <c r="AA344">
        <v>8863.91</v>
      </c>
      <c r="AB344">
        <v>11189.529999999999</v>
      </c>
      <c r="AC344">
        <v>0.55798556257679477</v>
      </c>
    </row>
    <row r="345" spans="1:29" x14ac:dyDescent="0.3">
      <c r="A345" t="s">
        <v>357</v>
      </c>
      <c r="B345" s="3">
        <v>45339</v>
      </c>
      <c r="C345" s="3" t="str">
        <v>Feb-2024</v>
      </c>
      <c r="D345" s="11" t="str">
        <f t="shared" si="20"/>
        <v>Q1-2024</v>
      </c>
      <c r="E345" s="3">
        <v>45355</v>
      </c>
      <c r="F345" s="3">
        <v>45339</v>
      </c>
      <c r="G345" s="4">
        <f t="shared" si="21"/>
        <v>16</v>
      </c>
      <c r="H345" s="4" t="str">
        <v>delayed</v>
      </c>
      <c r="I345" s="4">
        <f t="shared" si="23"/>
        <v>0</v>
      </c>
      <c r="J345" t="s">
        <v>647</v>
      </c>
      <c r="K345" t="s">
        <v>654</v>
      </c>
      <c r="L345" t="s">
        <v>680</v>
      </c>
      <c r="M345" t="s">
        <v>705</v>
      </c>
      <c r="N345" t="s">
        <v>709</v>
      </c>
      <c r="O345" t="s">
        <v>721</v>
      </c>
      <c r="P345" t="s">
        <v>730</v>
      </c>
      <c r="Q345" t="str" cm="1">
        <f t="array" ref="Q345">_xlfn.IFS(U345&lt;=_xlfn.QUARTILE.INC($U$2:$U976,1),"Low",B345&lt;=_xlfn.QUARTILE.INC($U$2:$U$633,2),"Medium",TRUE,"High")</f>
        <v>High</v>
      </c>
      <c r="R345" t="s">
        <v>1077</v>
      </c>
      <c r="S345" s="4">
        <v>1231.8</v>
      </c>
      <c r="T345">
        <v>2015.99</v>
      </c>
      <c r="U345">
        <v>2015.99</v>
      </c>
      <c r="V345" s="7">
        <v>0.26100000000000001</v>
      </c>
      <c r="W345" s="7">
        <v>0.26100000000000001</v>
      </c>
      <c r="X345" s="7" t="str">
        <f t="shared" si="22"/>
        <v>High discount</v>
      </c>
      <c r="Y345" s="9">
        <v>6</v>
      </c>
      <c r="Z345">
        <v>8938.8996600000009</v>
      </c>
      <c r="AA345">
        <v>7390.7999999999993</v>
      </c>
      <c r="AB345">
        <v>1548.0996600000017</v>
      </c>
      <c r="AC345">
        <v>0.17318682599464391</v>
      </c>
    </row>
    <row r="346" spans="1:29" x14ac:dyDescent="0.3">
      <c r="A346" t="s">
        <v>358</v>
      </c>
      <c r="B346" s="3">
        <v>45486</v>
      </c>
      <c r="C346" s="3" t="str">
        <v>Jul-2024</v>
      </c>
      <c r="D346" s="11" t="str">
        <f t="shared" si="20"/>
        <v>Q3-2024</v>
      </c>
      <c r="E346" s="3">
        <v>45485</v>
      </c>
      <c r="F346" s="3">
        <v>45493</v>
      </c>
      <c r="G346" s="4">
        <f t="shared" si="21"/>
        <v>-8</v>
      </c>
      <c r="H346" s="4" t="str">
        <v>ontime</v>
      </c>
      <c r="I346" s="4">
        <f t="shared" si="23"/>
        <v>1</v>
      </c>
      <c r="J346" t="s">
        <v>647</v>
      </c>
      <c r="K346" t="s">
        <v>652</v>
      </c>
      <c r="L346" t="s">
        <v>694</v>
      </c>
      <c r="M346" t="s">
        <v>705</v>
      </c>
      <c r="N346" t="s">
        <v>709</v>
      </c>
      <c r="O346" t="s">
        <v>721</v>
      </c>
      <c r="P346" t="s">
        <v>729</v>
      </c>
      <c r="Q346" t="str" cm="1">
        <f t="array" ref="Q346">_xlfn.IFS(U346&lt;=_xlfn.QUARTILE.INC($U$2:$U977,1),"Low",B346&lt;=_xlfn.QUARTILE.INC($U$2:$U$633,2),"Medium",TRUE,"High")</f>
        <v>Low</v>
      </c>
      <c r="R346" t="s">
        <v>1078</v>
      </c>
      <c r="S346" s="4">
        <v>105.13</v>
      </c>
      <c r="T346">
        <v>244.13</v>
      </c>
      <c r="U346">
        <v>244.13</v>
      </c>
      <c r="V346" s="7">
        <v>7.0999999999999994E-2</v>
      </c>
      <c r="W346" s="7">
        <v>7.0999999999999994E-2</v>
      </c>
      <c r="X346" s="7" t="str">
        <f t="shared" si="22"/>
        <v>okay</v>
      </c>
      <c r="Y346" s="9">
        <v>14</v>
      </c>
      <c r="Z346">
        <v>3175.1547799999998</v>
      </c>
      <c r="AA346">
        <v>1471.82</v>
      </c>
      <c r="AB346">
        <v>1703.3347799999999</v>
      </c>
      <c r="AC346">
        <v>0.53645724319618837</v>
      </c>
    </row>
    <row r="347" spans="1:29" x14ac:dyDescent="0.3">
      <c r="A347" t="s">
        <v>359</v>
      </c>
      <c r="B347" s="3">
        <v>45261</v>
      </c>
      <c r="C347" s="3" t="str">
        <v>Dec-2023</v>
      </c>
      <c r="D347" s="11" t="str">
        <f t="shared" si="20"/>
        <v>Q4-2023</v>
      </c>
      <c r="E347" s="3">
        <v>45278</v>
      </c>
      <c r="F347" s="3">
        <v>45261</v>
      </c>
      <c r="G347" s="4">
        <f t="shared" si="21"/>
        <v>17</v>
      </c>
      <c r="H347" s="4" t="str">
        <v>delayed</v>
      </c>
      <c r="I347" s="4">
        <f t="shared" si="23"/>
        <v>0</v>
      </c>
      <c r="J347" t="s">
        <v>647</v>
      </c>
      <c r="K347" t="s">
        <v>652</v>
      </c>
      <c r="L347" t="s">
        <v>694</v>
      </c>
      <c r="M347" t="s">
        <v>705</v>
      </c>
      <c r="N347" t="s">
        <v>711</v>
      </c>
      <c r="O347" t="s">
        <v>725</v>
      </c>
      <c r="P347" t="s">
        <v>731</v>
      </c>
      <c r="Q347" t="str" cm="1">
        <f t="array" ref="Q347">_xlfn.IFS(U347&lt;=_xlfn.QUARTILE.INC($U$2:$U978,1),"Low",B347&lt;=_xlfn.QUARTILE.INC($U$2:$U$633,2),"Medium",TRUE,"High")</f>
        <v>High</v>
      </c>
      <c r="R347" t="s">
        <v>1079</v>
      </c>
      <c r="S347" s="4">
        <v>1495.79</v>
      </c>
      <c r="T347">
        <v>2783.12</v>
      </c>
      <c r="U347">
        <v>2783.12</v>
      </c>
      <c r="V347" s="7">
        <v>0.02</v>
      </c>
      <c r="W347" s="7">
        <v>0.02</v>
      </c>
      <c r="X347" s="7" t="str">
        <f t="shared" si="22"/>
        <v>okay</v>
      </c>
      <c r="Y347" s="9">
        <v>5</v>
      </c>
      <c r="Z347">
        <v>13637.287999999999</v>
      </c>
      <c r="AA347">
        <v>7478.95</v>
      </c>
      <c r="AB347">
        <v>6158.3379999999988</v>
      </c>
      <c r="AC347">
        <v>0.45158084217331185</v>
      </c>
    </row>
    <row r="348" spans="1:29" x14ac:dyDescent="0.3">
      <c r="A348" t="s">
        <v>360</v>
      </c>
      <c r="B348" s="3">
        <v>45498</v>
      </c>
      <c r="C348" s="3" t="str">
        <v>Jul-2024</v>
      </c>
      <c r="D348" s="11" t="str">
        <f t="shared" si="20"/>
        <v>Q3-2024</v>
      </c>
      <c r="E348" s="3">
        <v>45506</v>
      </c>
      <c r="F348" s="3">
        <v>45498</v>
      </c>
      <c r="G348" s="4">
        <f t="shared" si="21"/>
        <v>8</v>
      </c>
      <c r="H348" s="4" t="str">
        <v>delayed</v>
      </c>
      <c r="I348" s="4">
        <f t="shared" si="23"/>
        <v>0</v>
      </c>
      <c r="J348" t="s">
        <v>648</v>
      </c>
      <c r="K348" t="s">
        <v>653</v>
      </c>
      <c r="L348" t="s">
        <v>681</v>
      </c>
      <c r="M348" t="s">
        <v>704</v>
      </c>
      <c r="N348" t="s">
        <v>711</v>
      </c>
      <c r="O348" t="s">
        <v>713</v>
      </c>
      <c r="P348" t="s">
        <v>733</v>
      </c>
      <c r="Q348" t="str" cm="1">
        <f t="array" ref="Q348">_xlfn.IFS(U348&lt;=_xlfn.QUARTILE.INC($U$2:$U979,1),"Low",B348&lt;=_xlfn.QUARTILE.INC($U$2:$U$633,2),"Medium",TRUE,"High")</f>
        <v>High</v>
      </c>
      <c r="R348" t="s">
        <v>1080</v>
      </c>
      <c r="S348" s="4">
        <v>986.81</v>
      </c>
      <c r="T348">
        <v>2050.31</v>
      </c>
      <c r="U348">
        <v>2050.31</v>
      </c>
      <c r="V348" s="7">
        <v>0.10299999999999999</v>
      </c>
      <c r="W348" s="7">
        <v>0.10299999999999999</v>
      </c>
      <c r="X348" s="7" t="str">
        <f t="shared" si="22"/>
        <v>okay</v>
      </c>
      <c r="Y348" s="9">
        <v>43</v>
      </c>
      <c r="Z348">
        <v>79082.507010000001</v>
      </c>
      <c r="AA348">
        <v>42432.829999999994</v>
      </c>
      <c r="AB348">
        <v>36649.677010000007</v>
      </c>
      <c r="AC348">
        <v>0.46343595310358138</v>
      </c>
    </row>
    <row r="349" spans="1:29" x14ac:dyDescent="0.3">
      <c r="A349" t="s">
        <v>361</v>
      </c>
      <c r="B349" s="3">
        <v>45050</v>
      </c>
      <c r="C349" s="3" t="str">
        <v>May-2023</v>
      </c>
      <c r="D349" s="11" t="str">
        <f t="shared" si="20"/>
        <v>Q2-2023</v>
      </c>
      <c r="E349" s="3">
        <v>45062</v>
      </c>
      <c r="F349" s="3">
        <v>45050</v>
      </c>
      <c r="G349" s="4">
        <f t="shared" si="21"/>
        <v>12</v>
      </c>
      <c r="H349" s="4" t="str">
        <v>delayed</v>
      </c>
      <c r="I349" s="4">
        <f t="shared" si="23"/>
        <v>0</v>
      </c>
      <c r="J349" t="s">
        <v>646</v>
      </c>
      <c r="K349" t="s">
        <v>651</v>
      </c>
      <c r="L349" t="s">
        <v>669</v>
      </c>
      <c r="M349" t="s">
        <v>705</v>
      </c>
      <c r="N349" t="s">
        <v>709</v>
      </c>
      <c r="O349" t="s">
        <v>713</v>
      </c>
      <c r="P349" t="s">
        <v>730</v>
      </c>
      <c r="Q349" t="str" cm="1">
        <f t="array" ref="Q349">_xlfn.IFS(U349&lt;=_xlfn.QUARTILE.INC($U$2:$U980,1),"Low",B349&lt;=_xlfn.QUARTILE.INC($U$2:$U$633,2),"Medium",TRUE,"High")</f>
        <v>Low</v>
      </c>
      <c r="R349" t="s">
        <v>1081</v>
      </c>
      <c r="S349" s="4">
        <v>77.739999999999995</v>
      </c>
      <c r="T349">
        <v>147.12</v>
      </c>
      <c r="U349">
        <v>147.12</v>
      </c>
      <c r="V349" s="7">
        <v>0</v>
      </c>
      <c r="W349" s="7">
        <v>0</v>
      </c>
      <c r="X349" s="7" t="str">
        <f t="shared" si="22"/>
        <v>okay</v>
      </c>
      <c r="Y349" s="9">
        <v>15</v>
      </c>
      <c r="Z349">
        <v>2206.8000000000002</v>
      </c>
      <c r="AA349">
        <v>1166.0999999999999</v>
      </c>
      <c r="AB349">
        <v>1040.7000000000003</v>
      </c>
      <c r="AC349">
        <v>0.47158781946710177</v>
      </c>
    </row>
    <row r="350" spans="1:29" x14ac:dyDescent="0.3">
      <c r="A350" t="s">
        <v>362</v>
      </c>
      <c r="B350" s="3">
        <v>45281</v>
      </c>
      <c r="C350" s="3" t="str">
        <v>Dec-2023</v>
      </c>
      <c r="D350" s="11" t="str">
        <f t="shared" si="20"/>
        <v>Q4-2023</v>
      </c>
      <c r="E350" s="3">
        <v>45297</v>
      </c>
      <c r="F350" s="3">
        <v>45281</v>
      </c>
      <c r="G350" s="4">
        <f t="shared" si="21"/>
        <v>16</v>
      </c>
      <c r="H350" s="4" t="str">
        <v>delayed</v>
      </c>
      <c r="I350" s="4">
        <f t="shared" si="23"/>
        <v>0</v>
      </c>
      <c r="J350" t="s">
        <v>646</v>
      </c>
      <c r="K350" t="s">
        <v>651</v>
      </c>
      <c r="L350" t="s">
        <v>1421</v>
      </c>
      <c r="M350" t="s">
        <v>701</v>
      </c>
      <c r="N350" t="s">
        <v>709</v>
      </c>
      <c r="O350" t="s">
        <v>723</v>
      </c>
      <c r="P350" t="s">
        <v>727</v>
      </c>
      <c r="Q350" t="str" cm="1">
        <f t="array" ref="Q350">_xlfn.IFS(U350&lt;=_xlfn.QUARTILE.INC($U$2:$U981,1),"Low",B350&lt;=_xlfn.QUARTILE.INC($U$2:$U$633,2),"Medium",TRUE,"High")</f>
        <v>High</v>
      </c>
      <c r="R350" t="s">
        <v>1082</v>
      </c>
      <c r="S350" s="4">
        <v>932.61</v>
      </c>
      <c r="T350">
        <v>1982.98</v>
      </c>
      <c r="U350">
        <v>1982.98</v>
      </c>
      <c r="V350" s="7">
        <v>0.14399999999999999</v>
      </c>
      <c r="W350" s="7">
        <v>0.14399999999999999</v>
      </c>
      <c r="X350" s="7" t="str">
        <f t="shared" si="22"/>
        <v>okay</v>
      </c>
      <c r="Y350" s="9">
        <v>16</v>
      </c>
      <c r="Z350">
        <v>27158.894079999998</v>
      </c>
      <c r="AA350">
        <v>14921.76</v>
      </c>
      <c r="AB350">
        <v>12237.134079999998</v>
      </c>
      <c r="AC350">
        <v>0.45057556629345635</v>
      </c>
    </row>
    <row r="351" spans="1:29" x14ac:dyDescent="0.3">
      <c r="A351" t="s">
        <v>363</v>
      </c>
      <c r="B351" s="3">
        <v>45825</v>
      </c>
      <c r="C351" s="3" t="str">
        <v>Jun-2025</v>
      </c>
      <c r="D351" s="11" t="str">
        <f t="shared" si="20"/>
        <v>Q2-2025</v>
      </c>
      <c r="E351" s="3">
        <v>45843</v>
      </c>
      <c r="F351" s="3">
        <v>45825</v>
      </c>
      <c r="G351" s="4">
        <f t="shared" si="21"/>
        <v>18</v>
      </c>
      <c r="H351" s="4" t="str">
        <v>delayed</v>
      </c>
      <c r="I351" s="4">
        <f t="shared" si="23"/>
        <v>0</v>
      </c>
      <c r="J351" t="s">
        <v>647</v>
      </c>
      <c r="K351" t="s">
        <v>654</v>
      </c>
      <c r="L351" t="s">
        <v>680</v>
      </c>
      <c r="M351" t="s">
        <v>704</v>
      </c>
      <c r="N351" t="s">
        <v>709</v>
      </c>
      <c r="O351" t="s">
        <v>716</v>
      </c>
      <c r="P351" t="s">
        <v>731</v>
      </c>
      <c r="Q351" t="str" cm="1">
        <f t="array" ref="Q351">_xlfn.IFS(U351&lt;=_xlfn.QUARTILE.INC($U$2:$U982,1),"Low",B351&lt;=_xlfn.QUARTILE.INC($U$2:$U$633,2),"Medium",TRUE,"High")</f>
        <v>High</v>
      </c>
      <c r="R351" t="s">
        <v>1083</v>
      </c>
      <c r="S351" s="4">
        <v>982.93</v>
      </c>
      <c r="T351">
        <v>2299.3000000000002</v>
      </c>
      <c r="U351">
        <v>2299.3000000000002</v>
      </c>
      <c r="V351" s="7">
        <v>0.113</v>
      </c>
      <c r="W351" s="7">
        <v>0.113</v>
      </c>
      <c r="X351" s="7" t="str">
        <f t="shared" si="22"/>
        <v>okay</v>
      </c>
      <c r="Y351" s="9">
        <v>6</v>
      </c>
      <c r="Z351">
        <v>12236.874600000001</v>
      </c>
      <c r="AA351">
        <v>5897.58</v>
      </c>
      <c r="AB351">
        <v>6339.2946000000011</v>
      </c>
      <c r="AC351">
        <v>0.51804850562087157</v>
      </c>
    </row>
    <row r="352" spans="1:29" x14ac:dyDescent="0.3">
      <c r="A352" t="s">
        <v>364</v>
      </c>
      <c r="B352" s="3">
        <v>44980</v>
      </c>
      <c r="C352" s="3" t="str">
        <v>Feb-2023</v>
      </c>
      <c r="D352" s="11" t="str">
        <f t="shared" si="20"/>
        <v>Q1-2023</v>
      </c>
      <c r="E352" s="3">
        <v>44993</v>
      </c>
      <c r="F352" s="3">
        <v>44980</v>
      </c>
      <c r="G352" s="4">
        <f t="shared" si="21"/>
        <v>13</v>
      </c>
      <c r="H352" s="4" t="str">
        <v>delayed</v>
      </c>
      <c r="I352" s="4">
        <f t="shared" si="23"/>
        <v>0</v>
      </c>
      <c r="J352" t="s">
        <v>649</v>
      </c>
      <c r="K352" t="s">
        <v>658</v>
      </c>
      <c r="L352" t="s">
        <v>693</v>
      </c>
      <c r="M352" t="s">
        <v>705</v>
      </c>
      <c r="N352" t="s">
        <v>711</v>
      </c>
      <c r="O352" t="s">
        <v>712</v>
      </c>
      <c r="P352" t="s">
        <v>728</v>
      </c>
      <c r="Q352" t="str" cm="1">
        <f t="array" ref="Q352">_xlfn.IFS(U352&lt;=_xlfn.QUARTILE.INC($U$2:$U983,1),"Low",B352&lt;=_xlfn.QUARTILE.INC($U$2:$U$633,2),"Medium",TRUE,"High")</f>
        <v>Low</v>
      </c>
      <c r="R352" t="s">
        <v>1084</v>
      </c>
      <c r="S352" s="4">
        <v>307.37</v>
      </c>
      <c r="T352">
        <v>462.61</v>
      </c>
      <c r="U352">
        <v>462.61</v>
      </c>
      <c r="V352" s="7">
        <v>0.188</v>
      </c>
      <c r="W352" s="7">
        <v>0.188</v>
      </c>
      <c r="X352" s="7" t="str">
        <f t="shared" si="22"/>
        <v>okay</v>
      </c>
      <c r="Y352" s="9">
        <v>11</v>
      </c>
      <c r="Z352">
        <v>4132.0325200000007</v>
      </c>
      <c r="AA352">
        <v>3381.07</v>
      </c>
      <c r="AB352">
        <v>750.9625200000005</v>
      </c>
      <c r="AC352">
        <v>0.18174167709599739</v>
      </c>
    </row>
    <row r="353" spans="1:29" x14ac:dyDescent="0.3">
      <c r="A353" t="s">
        <v>365</v>
      </c>
      <c r="B353" s="3">
        <v>45262</v>
      </c>
      <c r="C353" s="3" t="str">
        <v>Dec-2023</v>
      </c>
      <c r="D353" s="11" t="str">
        <f t="shared" si="20"/>
        <v>Q4-2023</v>
      </c>
      <c r="E353" s="3">
        <v>45276</v>
      </c>
      <c r="F353" s="3">
        <v>45262</v>
      </c>
      <c r="G353" s="4">
        <f t="shared" si="21"/>
        <v>14</v>
      </c>
      <c r="H353" s="4" t="str">
        <v>delayed</v>
      </c>
      <c r="I353" s="4">
        <f t="shared" si="23"/>
        <v>0</v>
      </c>
      <c r="J353" t="s">
        <v>649</v>
      </c>
      <c r="K353" t="s">
        <v>656</v>
      </c>
      <c r="L353" t="s">
        <v>698</v>
      </c>
      <c r="M353" t="s">
        <v>702</v>
      </c>
      <c r="N353" t="s">
        <v>711</v>
      </c>
      <c r="O353" t="s">
        <v>725</v>
      </c>
      <c r="P353" t="s">
        <v>732</v>
      </c>
      <c r="Q353" t="str" cm="1">
        <f t="array" ref="Q353">_xlfn.IFS(U353&lt;=_xlfn.QUARTILE.INC($U$2:$U984,1),"Low",B353&lt;=_xlfn.QUARTILE.INC($U$2:$U$633,2),"Medium",TRUE,"High")</f>
        <v>High</v>
      </c>
      <c r="R353" t="s">
        <v>1085</v>
      </c>
      <c r="S353" s="4">
        <v>879.08</v>
      </c>
      <c r="T353">
        <v>1093.3900000000001</v>
      </c>
      <c r="U353">
        <v>1093.3900000000001</v>
      </c>
      <c r="V353" s="7">
        <v>0.113</v>
      </c>
      <c r="W353" s="7">
        <v>0.113</v>
      </c>
      <c r="X353" s="7" t="str">
        <f t="shared" si="22"/>
        <v>okay</v>
      </c>
      <c r="Y353" s="9">
        <v>17</v>
      </c>
      <c r="Z353">
        <v>16487.22781</v>
      </c>
      <c r="AA353">
        <v>14944.36</v>
      </c>
      <c r="AB353">
        <v>1542.8678099999997</v>
      </c>
      <c r="AC353">
        <v>9.3579577341935186E-2</v>
      </c>
    </row>
    <row r="354" spans="1:29" x14ac:dyDescent="0.3">
      <c r="A354" t="s">
        <v>366</v>
      </c>
      <c r="B354" s="3">
        <v>45121</v>
      </c>
      <c r="C354" s="3" t="str">
        <v>Jul-2023</v>
      </c>
      <c r="D354" s="11" t="str">
        <f t="shared" si="20"/>
        <v>Q3-2023</v>
      </c>
      <c r="E354" s="3">
        <v>45121</v>
      </c>
      <c r="F354" s="3">
        <v>45121</v>
      </c>
      <c r="G354" s="4">
        <f t="shared" si="21"/>
        <v>0</v>
      </c>
      <c r="H354" s="4" t="str">
        <v>ontime</v>
      </c>
      <c r="I354" s="4">
        <f t="shared" si="23"/>
        <v>1</v>
      </c>
      <c r="J354" t="s">
        <v>646</v>
      </c>
      <c r="K354" t="s">
        <v>651</v>
      </c>
      <c r="L354" t="s">
        <v>665</v>
      </c>
      <c r="M354" t="s">
        <v>702</v>
      </c>
      <c r="N354" t="s">
        <v>707</v>
      </c>
      <c r="O354" t="s">
        <v>714</v>
      </c>
      <c r="P354" t="s">
        <v>733</v>
      </c>
      <c r="Q354" t="str" cm="1">
        <f t="array" ref="Q354">_xlfn.IFS(U354&lt;=_xlfn.QUARTILE.INC($U$2:$U985,1),"Low",B354&lt;=_xlfn.QUARTILE.INC($U$2:$U$633,2),"Medium",TRUE,"High")</f>
        <v>High</v>
      </c>
      <c r="R354" t="s">
        <v>1086</v>
      </c>
      <c r="S354" s="4">
        <v>956.38</v>
      </c>
      <c r="T354">
        <v>1454.22</v>
      </c>
      <c r="U354">
        <v>1454.22</v>
      </c>
      <c r="V354" s="7">
        <v>3.9E-2</v>
      </c>
      <c r="W354" s="7">
        <v>3.9E-2</v>
      </c>
      <c r="X354" s="7" t="str">
        <f t="shared" si="22"/>
        <v>okay</v>
      </c>
      <c r="Y354" s="9">
        <v>19</v>
      </c>
      <c r="Z354">
        <v>26552.60298</v>
      </c>
      <c r="AA354">
        <v>18171.22</v>
      </c>
      <c r="AB354">
        <v>8381.3829799999985</v>
      </c>
      <c r="AC354">
        <v>0.31565202802576603</v>
      </c>
    </row>
    <row r="355" spans="1:29" x14ac:dyDescent="0.3">
      <c r="A355" t="s">
        <v>367</v>
      </c>
      <c r="B355" s="3">
        <v>45512</v>
      </c>
      <c r="C355" s="3" t="str">
        <v>Aug-2024</v>
      </c>
      <c r="D355" s="11" t="str">
        <f t="shared" si="20"/>
        <v>Q3-2024</v>
      </c>
      <c r="E355" s="3">
        <v>45524</v>
      </c>
      <c r="F355" s="3">
        <v>45512</v>
      </c>
      <c r="G355" s="4">
        <f t="shared" si="21"/>
        <v>12</v>
      </c>
      <c r="H355" s="4" t="str">
        <v>delayed</v>
      </c>
      <c r="I355" s="4">
        <f t="shared" si="23"/>
        <v>0</v>
      </c>
      <c r="J355" t="s">
        <v>647</v>
      </c>
      <c r="K355" t="s">
        <v>652</v>
      </c>
      <c r="L355" t="s">
        <v>666</v>
      </c>
      <c r="M355" t="s">
        <v>705</v>
      </c>
      <c r="N355" t="s">
        <v>707</v>
      </c>
      <c r="O355" t="s">
        <v>722</v>
      </c>
      <c r="P355" t="s">
        <v>729</v>
      </c>
      <c r="Q355" t="str" cm="1">
        <f t="array" ref="Q355">_xlfn.IFS(U355&lt;=_xlfn.QUARTILE.INC($U$2:$U986,1),"Low",B355&lt;=_xlfn.QUARTILE.INC($U$2:$U$633,2),"Medium",TRUE,"High")</f>
        <v>High</v>
      </c>
      <c r="R355" t="s">
        <v>1087</v>
      </c>
      <c r="S355" s="4">
        <v>1233.3599999999999</v>
      </c>
      <c r="T355">
        <v>2120.4</v>
      </c>
      <c r="U355">
        <v>2120.4</v>
      </c>
      <c r="V355" s="7">
        <v>0.17899999999999999</v>
      </c>
      <c r="W355" s="7">
        <v>0.17899999999999999</v>
      </c>
      <c r="X355" s="7" t="str">
        <f t="shared" si="22"/>
        <v>okay</v>
      </c>
      <c r="Y355" s="9">
        <v>20</v>
      </c>
      <c r="Z355">
        <v>34816.968000000001</v>
      </c>
      <c r="AA355">
        <v>24667.199999999997</v>
      </c>
      <c r="AB355">
        <v>10149.768000000004</v>
      </c>
      <c r="AC355">
        <v>0.29151785991244278</v>
      </c>
    </row>
    <row r="356" spans="1:29" x14ac:dyDescent="0.3">
      <c r="A356" t="s">
        <v>368</v>
      </c>
      <c r="B356" s="3">
        <v>45603</v>
      </c>
      <c r="C356" s="3" t="str">
        <v>Nov-2024</v>
      </c>
      <c r="D356" s="11" t="str">
        <f t="shared" si="20"/>
        <v>Q4-2024</v>
      </c>
      <c r="E356" s="3">
        <v>45622</v>
      </c>
      <c r="F356" s="3">
        <v>45603</v>
      </c>
      <c r="G356" s="4">
        <f t="shared" si="21"/>
        <v>19</v>
      </c>
      <c r="H356" s="4" t="str">
        <v>delayed</v>
      </c>
      <c r="I356" s="4">
        <f t="shared" si="23"/>
        <v>0</v>
      </c>
      <c r="J356" t="s">
        <v>648</v>
      </c>
      <c r="K356" t="s">
        <v>655</v>
      </c>
      <c r="L356" t="s">
        <v>692</v>
      </c>
      <c r="M356" t="s">
        <v>703</v>
      </c>
      <c r="N356" t="s">
        <v>710</v>
      </c>
      <c r="O356" t="s">
        <v>713</v>
      </c>
      <c r="P356" t="s">
        <v>728</v>
      </c>
      <c r="Q356" t="str" cm="1">
        <f t="array" ref="Q356">_xlfn.IFS(U356&lt;=_xlfn.QUARTILE.INC($U$2:$U987,1),"Low",B356&lt;=_xlfn.QUARTILE.INC($U$2:$U$633,2),"Medium",TRUE,"High")</f>
        <v>Low</v>
      </c>
      <c r="R356" t="s">
        <v>1088</v>
      </c>
      <c r="S356" s="4">
        <v>55.35</v>
      </c>
      <c r="T356">
        <v>128.68</v>
      </c>
      <c r="U356">
        <v>128.68</v>
      </c>
      <c r="V356" s="7">
        <v>0.128</v>
      </c>
      <c r="W356" s="7">
        <v>0.128</v>
      </c>
      <c r="X356" s="7" t="str">
        <f t="shared" si="22"/>
        <v>okay</v>
      </c>
      <c r="Y356" s="9">
        <v>10</v>
      </c>
      <c r="Z356">
        <v>1122.0896000000002</v>
      </c>
      <c r="AA356">
        <v>553.5</v>
      </c>
      <c r="AB356">
        <v>568.58960000000025</v>
      </c>
      <c r="AC356">
        <v>0.50672388372550647</v>
      </c>
    </row>
    <row r="357" spans="1:29" x14ac:dyDescent="0.3">
      <c r="A357" t="s">
        <v>369</v>
      </c>
      <c r="B357" s="3">
        <v>45292</v>
      </c>
      <c r="C357" s="3" t="str">
        <v>Jan-2024</v>
      </c>
      <c r="D357" s="11" t="str">
        <f t="shared" si="20"/>
        <v>Q1-2024</v>
      </c>
      <c r="E357" s="3">
        <v>45318</v>
      </c>
      <c r="F357" s="3">
        <v>45292</v>
      </c>
      <c r="G357" s="4">
        <f t="shared" si="21"/>
        <v>26</v>
      </c>
      <c r="H357" s="4" t="str">
        <v>delayed</v>
      </c>
      <c r="I357" s="4">
        <f t="shared" si="23"/>
        <v>0</v>
      </c>
      <c r="J357" t="s">
        <v>649</v>
      </c>
      <c r="K357" t="s">
        <v>658</v>
      </c>
      <c r="L357" t="s">
        <v>693</v>
      </c>
      <c r="M357" t="s">
        <v>702</v>
      </c>
      <c r="N357" t="s">
        <v>710</v>
      </c>
      <c r="O357" t="s">
        <v>726</v>
      </c>
      <c r="P357" t="s">
        <v>733</v>
      </c>
      <c r="Q357" t="str" cm="1">
        <f t="array" ref="Q357">_xlfn.IFS(U357&lt;=_xlfn.QUARTILE.INC($U$2:$U988,1),"Low",B357&lt;=_xlfn.QUARTILE.INC($U$2:$U$633,2),"Medium",TRUE,"High")</f>
        <v>High</v>
      </c>
      <c r="R357" t="s">
        <v>1089</v>
      </c>
      <c r="S357" s="4">
        <v>657.45</v>
      </c>
      <c r="T357">
        <v>1325.96</v>
      </c>
      <c r="U357">
        <v>1325.96</v>
      </c>
      <c r="V357" s="7">
        <v>0.16700000000000001</v>
      </c>
      <c r="W357" s="7">
        <v>0.16700000000000001</v>
      </c>
      <c r="X357" s="7" t="str">
        <f t="shared" si="22"/>
        <v>okay</v>
      </c>
      <c r="Y357" s="9">
        <v>21</v>
      </c>
      <c r="Z357">
        <v>23195.01828</v>
      </c>
      <c r="AA357">
        <v>13806.45</v>
      </c>
      <c r="AB357">
        <v>9388.5682799999995</v>
      </c>
      <c r="AC357">
        <v>0.40476658249048808</v>
      </c>
    </row>
    <row r="358" spans="1:29" x14ac:dyDescent="0.3">
      <c r="A358" t="s">
        <v>370</v>
      </c>
      <c r="B358" s="3">
        <v>45883</v>
      </c>
      <c r="C358" s="3" t="str">
        <v>Aug-2025</v>
      </c>
      <c r="D358" s="11" t="str">
        <f t="shared" si="20"/>
        <v>Q3-2025</v>
      </c>
      <c r="E358" s="3">
        <v>45911</v>
      </c>
      <c r="F358" s="3">
        <v>45883</v>
      </c>
      <c r="G358" s="4">
        <f t="shared" si="21"/>
        <v>28</v>
      </c>
      <c r="H358" s="4" t="str">
        <v>delayed</v>
      </c>
      <c r="I358" s="4">
        <f t="shared" si="23"/>
        <v>0</v>
      </c>
      <c r="J358" t="s">
        <v>648</v>
      </c>
      <c r="K358" t="s">
        <v>655</v>
      </c>
      <c r="L358" t="s">
        <v>670</v>
      </c>
      <c r="M358" t="s">
        <v>703</v>
      </c>
      <c r="N358" t="s">
        <v>711</v>
      </c>
      <c r="O358" t="s">
        <v>721</v>
      </c>
      <c r="P358" t="s">
        <v>728</v>
      </c>
      <c r="Q358" t="str" cm="1">
        <f t="array" ref="Q358">_xlfn.IFS(U358&lt;=_xlfn.QUARTILE.INC($U$2:$U989,1),"Low",B358&lt;=_xlfn.QUARTILE.INC($U$2:$U$633,2),"Medium",TRUE,"High")</f>
        <v>High</v>
      </c>
      <c r="R358" t="s">
        <v>1090</v>
      </c>
      <c r="S358" s="4">
        <v>1203.02</v>
      </c>
      <c r="T358">
        <v>2439.33</v>
      </c>
      <c r="U358">
        <v>2439.33</v>
      </c>
      <c r="V358" s="7">
        <v>0</v>
      </c>
      <c r="W358" s="7">
        <v>0</v>
      </c>
      <c r="X358" s="7" t="str">
        <f t="shared" si="22"/>
        <v>okay</v>
      </c>
      <c r="Y358" s="9">
        <v>18</v>
      </c>
      <c r="Z358">
        <v>43907.94</v>
      </c>
      <c r="AA358">
        <v>21654.36</v>
      </c>
      <c r="AB358">
        <v>22253.58</v>
      </c>
      <c r="AC358">
        <v>0.50682359500354612</v>
      </c>
    </row>
    <row r="359" spans="1:29" x14ac:dyDescent="0.3">
      <c r="A359" t="s">
        <v>371</v>
      </c>
      <c r="B359" s="3">
        <v>45385</v>
      </c>
      <c r="C359" s="3" t="str">
        <v>Apr-2024</v>
      </c>
      <c r="D359" s="11" t="str">
        <f t="shared" si="20"/>
        <v>Q2-2024</v>
      </c>
      <c r="E359" s="3">
        <v>45403</v>
      </c>
      <c r="F359" s="3">
        <v>45385</v>
      </c>
      <c r="G359" s="4">
        <f t="shared" si="21"/>
        <v>18</v>
      </c>
      <c r="H359" s="4" t="str">
        <v>delayed</v>
      </c>
      <c r="I359" s="4">
        <f t="shared" si="23"/>
        <v>0</v>
      </c>
      <c r="J359" t="s">
        <v>648</v>
      </c>
      <c r="K359" t="s">
        <v>655</v>
      </c>
      <c r="L359" t="s">
        <v>672</v>
      </c>
      <c r="M359" t="s">
        <v>705</v>
      </c>
      <c r="N359" t="s">
        <v>710</v>
      </c>
      <c r="O359" t="s">
        <v>717</v>
      </c>
      <c r="P359" t="s">
        <v>729</v>
      </c>
      <c r="Q359" t="str" cm="1">
        <f t="array" ref="Q359">_xlfn.IFS(U359&lt;=_xlfn.QUARTILE.INC($U$2:$U990,1),"Low",B359&lt;=_xlfn.QUARTILE.INC($U$2:$U$633,2),"Medium",TRUE,"High")</f>
        <v>High</v>
      </c>
      <c r="R359" t="s">
        <v>1091</v>
      </c>
      <c r="S359" s="4">
        <v>1176.69</v>
      </c>
      <c r="T359">
        <v>2201.54</v>
      </c>
      <c r="U359">
        <v>2201.54</v>
      </c>
      <c r="V359" s="7">
        <v>0.17</v>
      </c>
      <c r="W359" s="7">
        <v>0.17</v>
      </c>
      <c r="X359" s="7" t="str">
        <f t="shared" si="22"/>
        <v>okay</v>
      </c>
      <c r="Y359" s="9">
        <v>27</v>
      </c>
      <c r="Z359">
        <v>49336.511399999996</v>
      </c>
      <c r="AA359">
        <v>31770.63</v>
      </c>
      <c r="AB359">
        <v>17565.881399999995</v>
      </c>
      <c r="AC359">
        <v>0.35604222717701106</v>
      </c>
    </row>
    <row r="360" spans="1:29" x14ac:dyDescent="0.3">
      <c r="A360" t="s">
        <v>372</v>
      </c>
      <c r="B360" s="3">
        <v>45621</v>
      </c>
      <c r="C360" s="3" t="str">
        <v>Nov-2024</v>
      </c>
      <c r="D360" s="11" t="str">
        <f t="shared" si="20"/>
        <v>Q4-2024</v>
      </c>
      <c r="E360" s="3">
        <v>45633</v>
      </c>
      <c r="F360" s="3">
        <v>45621</v>
      </c>
      <c r="G360" s="4">
        <f t="shared" si="21"/>
        <v>12</v>
      </c>
      <c r="H360" s="4" t="str">
        <v>delayed</v>
      </c>
      <c r="I360" s="4">
        <f t="shared" si="23"/>
        <v>0</v>
      </c>
      <c r="J360" t="s">
        <v>647</v>
      </c>
      <c r="K360" t="s">
        <v>659</v>
      </c>
      <c r="L360" t="s">
        <v>685</v>
      </c>
      <c r="M360" t="s">
        <v>701</v>
      </c>
      <c r="N360" t="s">
        <v>710</v>
      </c>
      <c r="O360" t="s">
        <v>720</v>
      </c>
      <c r="P360" t="s">
        <v>733</v>
      </c>
      <c r="Q360" t="str" cm="1">
        <f t="array" ref="Q360">_xlfn.IFS(U360&lt;=_xlfn.QUARTILE.INC($U$2:$U991,1),"Low",B360&lt;=_xlfn.QUARTILE.INC($U$2:$U$633,2),"Medium",TRUE,"High")</f>
        <v>High</v>
      </c>
      <c r="R360" t="s">
        <v>1092</v>
      </c>
      <c r="S360" s="4">
        <v>769.9</v>
      </c>
      <c r="T360">
        <v>814.36</v>
      </c>
      <c r="U360">
        <v>814.36</v>
      </c>
      <c r="V360" s="7">
        <v>0</v>
      </c>
      <c r="W360" s="7">
        <v>0</v>
      </c>
      <c r="X360" s="7" t="str">
        <f t="shared" si="22"/>
        <v>okay</v>
      </c>
      <c r="Y360" s="9">
        <v>5</v>
      </c>
      <c r="Z360">
        <v>4071.8</v>
      </c>
      <c r="AA360">
        <v>3849.5</v>
      </c>
      <c r="AB360">
        <v>222.30000000000018</v>
      </c>
      <c r="AC360">
        <v>5.4595019401738831E-2</v>
      </c>
    </row>
    <row r="361" spans="1:29" x14ac:dyDescent="0.3">
      <c r="A361" t="s">
        <v>373</v>
      </c>
      <c r="B361" s="3">
        <v>45309</v>
      </c>
      <c r="C361" s="3" t="str">
        <v>Jan-2024</v>
      </c>
      <c r="D361" s="11" t="str">
        <f t="shared" si="20"/>
        <v>Q1-2024</v>
      </c>
      <c r="E361" s="3">
        <v>45325</v>
      </c>
      <c r="F361" s="3">
        <v>45309</v>
      </c>
      <c r="G361" s="4">
        <f t="shared" si="21"/>
        <v>16</v>
      </c>
      <c r="H361" s="4" t="str">
        <v>delayed</v>
      </c>
      <c r="I361" s="4">
        <f t="shared" si="23"/>
        <v>0</v>
      </c>
      <c r="J361" t="s">
        <v>646</v>
      </c>
      <c r="K361" t="s">
        <v>661</v>
      </c>
      <c r="L361" t="s">
        <v>695</v>
      </c>
      <c r="M361" t="s">
        <v>703</v>
      </c>
      <c r="N361" t="s">
        <v>710</v>
      </c>
      <c r="O361" t="s">
        <v>716</v>
      </c>
      <c r="P361" t="s">
        <v>728</v>
      </c>
      <c r="Q361" t="str" cm="1">
        <f t="array" ref="Q361">_xlfn.IFS(U361&lt;=_xlfn.QUARTILE.INC($U$2:$U992,1),"Low",B361&lt;=_xlfn.QUARTILE.INC($U$2:$U$633,2),"Medium",TRUE,"High")</f>
        <v>High</v>
      </c>
      <c r="R361" t="s">
        <v>1093</v>
      </c>
      <c r="S361" s="4">
        <v>666.23</v>
      </c>
      <c r="T361">
        <v>1382.91</v>
      </c>
      <c r="U361">
        <v>1382.91</v>
      </c>
      <c r="V361" s="7">
        <v>0.17599999999999999</v>
      </c>
      <c r="W361" s="7">
        <v>0.17599999999999999</v>
      </c>
      <c r="X361" s="7" t="str">
        <f t="shared" si="22"/>
        <v>okay</v>
      </c>
      <c r="Y361" s="9">
        <v>13</v>
      </c>
      <c r="Z361">
        <v>14813.731920000002</v>
      </c>
      <c r="AA361">
        <v>8660.99</v>
      </c>
      <c r="AB361">
        <v>6152.7419200000022</v>
      </c>
      <c r="AC361">
        <v>0.41534043907553048</v>
      </c>
    </row>
    <row r="362" spans="1:29" x14ac:dyDescent="0.3">
      <c r="A362" t="s">
        <v>374</v>
      </c>
      <c r="B362" s="3">
        <v>45466</v>
      </c>
      <c r="C362" s="3" t="str">
        <v>Jun-2024</v>
      </c>
      <c r="D362" s="11" t="str">
        <f t="shared" si="20"/>
        <v>Q2-2024</v>
      </c>
      <c r="E362" s="3">
        <v>45468</v>
      </c>
      <c r="F362" s="3">
        <v>45466</v>
      </c>
      <c r="G362" s="4">
        <f t="shared" si="21"/>
        <v>2</v>
      </c>
      <c r="H362" s="4" t="str">
        <v>ontime</v>
      </c>
      <c r="I362" s="4">
        <f t="shared" si="23"/>
        <v>1</v>
      </c>
      <c r="J362" t="s">
        <v>649</v>
      </c>
      <c r="K362" t="s">
        <v>658</v>
      </c>
      <c r="L362" t="s">
        <v>674</v>
      </c>
      <c r="M362" t="s">
        <v>705</v>
      </c>
      <c r="N362" t="s">
        <v>709</v>
      </c>
      <c r="O362" t="s">
        <v>716</v>
      </c>
      <c r="P362" t="s">
        <v>733</v>
      </c>
      <c r="Q362" t="str" cm="1">
        <f t="array" ref="Q362">_xlfn.IFS(U362&lt;=_xlfn.QUARTILE.INC($U$2:$U993,1),"Low",B362&lt;=_xlfn.QUARTILE.INC($U$2:$U$633,2),"Medium",TRUE,"High")</f>
        <v>High</v>
      </c>
      <c r="R362" t="s">
        <v>1094</v>
      </c>
      <c r="S362" s="4">
        <v>951.44</v>
      </c>
      <c r="T362">
        <v>1646.43</v>
      </c>
      <c r="U362">
        <v>1646.43</v>
      </c>
      <c r="V362" s="7">
        <v>0.11</v>
      </c>
      <c r="W362" s="7">
        <v>0.11</v>
      </c>
      <c r="X362" s="7" t="str">
        <f t="shared" si="22"/>
        <v>okay</v>
      </c>
      <c r="Y362" s="9">
        <v>24</v>
      </c>
      <c r="Z362">
        <v>35167.7448</v>
      </c>
      <c r="AA362">
        <v>22834.560000000001</v>
      </c>
      <c r="AB362">
        <v>12333.184799999999</v>
      </c>
      <c r="AC362">
        <v>0.35069592520473475</v>
      </c>
    </row>
    <row r="363" spans="1:29" x14ac:dyDescent="0.3">
      <c r="A363" t="s">
        <v>375</v>
      </c>
      <c r="B363" s="3">
        <v>45833</v>
      </c>
      <c r="C363" s="3" t="str">
        <v>Jun-2025</v>
      </c>
      <c r="D363" s="11" t="str">
        <f t="shared" si="20"/>
        <v>Q2-2025</v>
      </c>
      <c r="E363" s="3">
        <v>45848</v>
      </c>
      <c r="F363" s="3">
        <v>45833</v>
      </c>
      <c r="G363" s="4">
        <f t="shared" si="21"/>
        <v>15</v>
      </c>
      <c r="H363" s="4" t="str">
        <v>delayed</v>
      </c>
      <c r="I363" s="4">
        <f t="shared" si="23"/>
        <v>0</v>
      </c>
      <c r="J363" t="s">
        <v>649</v>
      </c>
      <c r="K363" t="s">
        <v>658</v>
      </c>
      <c r="L363" t="s">
        <v>674</v>
      </c>
      <c r="M363" t="s">
        <v>703</v>
      </c>
      <c r="N363" t="s">
        <v>709</v>
      </c>
      <c r="O363" t="s">
        <v>726</v>
      </c>
      <c r="P363" t="s">
        <v>730</v>
      </c>
      <c r="Q363" t="str" cm="1">
        <f t="array" ref="Q363">_xlfn.IFS(U363&lt;=_xlfn.QUARTILE.INC($U$2:$U994,1),"Low",B363&lt;=_xlfn.QUARTILE.INC($U$2:$U$633,2),"Medium",TRUE,"High")</f>
        <v>Low</v>
      </c>
      <c r="R363" t="s">
        <v>1095</v>
      </c>
      <c r="S363" s="4">
        <v>546.83000000000004</v>
      </c>
      <c r="T363">
        <v>400.84</v>
      </c>
      <c r="U363">
        <v>400.84</v>
      </c>
      <c r="V363" s="7">
        <v>7.8E-2</v>
      </c>
      <c r="W363" s="7">
        <v>7.8E-2</v>
      </c>
      <c r="X363" s="7" t="str">
        <f t="shared" si="22"/>
        <v>okay</v>
      </c>
      <c r="Y363" s="9">
        <v>13</v>
      </c>
      <c r="Z363">
        <v>4804.4682400000002</v>
      </c>
      <c r="AA363">
        <v>7108.7900000000009</v>
      </c>
      <c r="AB363">
        <v>-2304.3217600000007</v>
      </c>
      <c r="AC363">
        <v>-0.47962056254533608</v>
      </c>
    </row>
    <row r="364" spans="1:29" x14ac:dyDescent="0.3">
      <c r="A364" t="s">
        <v>376</v>
      </c>
      <c r="B364" s="3">
        <v>45108</v>
      </c>
      <c r="C364" s="3" t="str">
        <v>Jul-2023</v>
      </c>
      <c r="D364" s="11" t="str">
        <f t="shared" si="20"/>
        <v>Q3-2023</v>
      </c>
      <c r="E364" s="3">
        <v>45115</v>
      </c>
      <c r="F364" s="3">
        <v>45108</v>
      </c>
      <c r="G364" s="4">
        <f t="shared" si="21"/>
        <v>7</v>
      </c>
      <c r="H364" s="4" t="str">
        <v>ontime</v>
      </c>
      <c r="I364" s="4">
        <f t="shared" si="23"/>
        <v>1</v>
      </c>
      <c r="J364" t="s">
        <v>646</v>
      </c>
      <c r="K364" t="s">
        <v>651</v>
      </c>
      <c r="L364" t="s">
        <v>663</v>
      </c>
      <c r="M364" t="s">
        <v>701</v>
      </c>
      <c r="N364" t="s">
        <v>707</v>
      </c>
      <c r="O364" t="s">
        <v>720</v>
      </c>
      <c r="P364" t="s">
        <v>731</v>
      </c>
      <c r="Q364" t="str" cm="1">
        <f t="array" ref="Q364">_xlfn.IFS(U364&lt;=_xlfn.QUARTILE.INC($U$2:$U995,1),"Low",B364&lt;=_xlfn.QUARTILE.INC($U$2:$U$633,2),"Medium",TRUE,"High")</f>
        <v>High</v>
      </c>
      <c r="R364" t="s">
        <v>1096</v>
      </c>
      <c r="S364" s="4">
        <v>834.26</v>
      </c>
      <c r="T364">
        <v>1780.56</v>
      </c>
      <c r="U364">
        <v>1780.56</v>
      </c>
      <c r="V364" s="7">
        <v>1.4E-2</v>
      </c>
      <c r="W364" s="7">
        <v>1.4E-2</v>
      </c>
      <c r="X364" s="7" t="str">
        <f t="shared" si="22"/>
        <v>okay</v>
      </c>
      <c r="Y364" s="9">
        <v>47</v>
      </c>
      <c r="Z364">
        <v>82514.711519999997</v>
      </c>
      <c r="AA364">
        <v>39210.22</v>
      </c>
      <c r="AB364">
        <v>43304.491519999996</v>
      </c>
      <c r="AC364">
        <v>0.5248093427497933</v>
      </c>
    </row>
    <row r="365" spans="1:29" x14ac:dyDescent="0.3">
      <c r="A365" t="s">
        <v>377</v>
      </c>
      <c r="B365" s="3">
        <v>45360</v>
      </c>
      <c r="C365" s="3" t="str">
        <v>Mar-2024</v>
      </c>
      <c r="D365" s="11" t="str">
        <f t="shared" si="20"/>
        <v>Q1-2024</v>
      </c>
      <c r="E365" s="3">
        <v>45377</v>
      </c>
      <c r="F365" s="3">
        <v>45360</v>
      </c>
      <c r="G365" s="4">
        <f t="shared" si="21"/>
        <v>17</v>
      </c>
      <c r="H365" s="4" t="str">
        <v>delayed</v>
      </c>
      <c r="I365" s="4">
        <f t="shared" si="23"/>
        <v>0</v>
      </c>
      <c r="J365" t="s">
        <v>647</v>
      </c>
      <c r="K365" t="s">
        <v>659</v>
      </c>
      <c r="L365" t="s">
        <v>676</v>
      </c>
      <c r="M365" t="s">
        <v>706</v>
      </c>
      <c r="N365" t="s">
        <v>708</v>
      </c>
      <c r="O365" t="s">
        <v>723</v>
      </c>
      <c r="P365" t="s">
        <v>732</v>
      </c>
      <c r="Q365" t="str" cm="1">
        <f t="array" ref="Q365">_xlfn.IFS(U365&lt;=_xlfn.QUARTILE.INC($U$2:$U996,1),"Low",B365&lt;=_xlfn.QUARTILE.INC($U$2:$U$633,2),"Medium",TRUE,"High")</f>
        <v>High</v>
      </c>
      <c r="R365" t="s">
        <v>1097</v>
      </c>
      <c r="S365" s="4">
        <v>1029.67</v>
      </c>
      <c r="T365">
        <v>1118.43</v>
      </c>
      <c r="U365">
        <v>1118.43</v>
      </c>
      <c r="V365" s="7">
        <v>0.27200000000000002</v>
      </c>
      <c r="W365" s="7">
        <v>0.27200000000000002</v>
      </c>
      <c r="X365" s="7" t="str">
        <f t="shared" si="22"/>
        <v>High discount</v>
      </c>
      <c r="Y365" s="9">
        <v>9</v>
      </c>
      <c r="Z365">
        <v>7327.9533600000004</v>
      </c>
      <c r="AA365">
        <v>9267.0300000000007</v>
      </c>
      <c r="AB365">
        <v>-1939.0766400000002</v>
      </c>
      <c r="AC365">
        <v>-0.26461367106736061</v>
      </c>
    </row>
    <row r="366" spans="1:29" x14ac:dyDescent="0.3">
      <c r="A366" t="s">
        <v>378</v>
      </c>
      <c r="B366" s="3">
        <v>45082</v>
      </c>
      <c r="C366" s="3" t="str">
        <v>Jun-2023</v>
      </c>
      <c r="D366" s="11" t="str">
        <f t="shared" si="20"/>
        <v>Q2-2023</v>
      </c>
      <c r="E366" s="3">
        <v>45105</v>
      </c>
      <c r="F366" s="3">
        <v>45082</v>
      </c>
      <c r="G366" s="4">
        <f t="shared" si="21"/>
        <v>23</v>
      </c>
      <c r="H366" s="4" t="str">
        <v>delayed</v>
      </c>
      <c r="I366" s="4">
        <f t="shared" si="23"/>
        <v>0</v>
      </c>
      <c r="J366" t="s">
        <v>649</v>
      </c>
      <c r="K366" t="s">
        <v>658</v>
      </c>
      <c r="L366" t="s">
        <v>674</v>
      </c>
      <c r="M366" t="s">
        <v>701</v>
      </c>
      <c r="N366" t="s">
        <v>711</v>
      </c>
      <c r="O366" t="s">
        <v>723</v>
      </c>
      <c r="P366" t="s">
        <v>728</v>
      </c>
      <c r="Q366" t="str" cm="1">
        <f t="array" ref="Q366">_xlfn.IFS(U366&lt;=_xlfn.QUARTILE.INC($U$2:$U997,1),"Low",B366&lt;=_xlfn.QUARTILE.INC($U$2:$U$633,2),"Medium",TRUE,"High")</f>
        <v>High</v>
      </c>
      <c r="R366" t="s">
        <v>1098</v>
      </c>
      <c r="S366" s="4">
        <v>605.82000000000005</v>
      </c>
      <c r="T366">
        <v>771.12</v>
      </c>
      <c r="U366">
        <v>771.12</v>
      </c>
      <c r="V366" s="7">
        <v>0.13200000000000001</v>
      </c>
      <c r="W366" s="7">
        <v>0.13200000000000001</v>
      </c>
      <c r="X366" s="7" t="str">
        <f t="shared" si="22"/>
        <v>okay</v>
      </c>
      <c r="Y366" s="9">
        <v>19</v>
      </c>
      <c r="Z366">
        <v>12717.311040000001</v>
      </c>
      <c r="AA366">
        <v>11510.580000000002</v>
      </c>
      <c r="AB366">
        <v>1206.7310399999988</v>
      </c>
      <c r="AC366">
        <v>9.4888851597986767E-2</v>
      </c>
    </row>
    <row r="367" spans="1:29" x14ac:dyDescent="0.3">
      <c r="A367" t="s">
        <v>379</v>
      </c>
      <c r="B367" s="3">
        <v>45737</v>
      </c>
      <c r="C367" s="3" t="str">
        <v>Mar-2025</v>
      </c>
      <c r="D367" s="11" t="str">
        <f t="shared" si="20"/>
        <v>Q1-2025</v>
      </c>
      <c r="E367" s="3">
        <v>45756</v>
      </c>
      <c r="F367" s="3">
        <v>45737</v>
      </c>
      <c r="G367" s="4">
        <f t="shared" si="21"/>
        <v>19</v>
      </c>
      <c r="H367" s="4" t="str">
        <v>delayed</v>
      </c>
      <c r="I367" s="4">
        <f t="shared" si="23"/>
        <v>0</v>
      </c>
      <c r="J367" t="s">
        <v>647</v>
      </c>
      <c r="K367" t="s">
        <v>652</v>
      </c>
      <c r="L367" t="s">
        <v>689</v>
      </c>
      <c r="M367" t="s">
        <v>705</v>
      </c>
      <c r="N367" t="s">
        <v>710</v>
      </c>
      <c r="O367" t="s">
        <v>718</v>
      </c>
      <c r="P367" t="s">
        <v>727</v>
      </c>
      <c r="Q367" t="str" cm="1">
        <f t="array" ref="Q367">_xlfn.IFS(U367&lt;=_xlfn.QUARTILE.INC($U$2:$U998,1),"Low",B367&lt;=_xlfn.QUARTILE.INC($U$2:$U$633,2),"Medium",TRUE,"High")</f>
        <v>High</v>
      </c>
      <c r="R367" t="s">
        <v>1099</v>
      </c>
      <c r="S367" s="4">
        <v>1055.45</v>
      </c>
      <c r="T367">
        <v>1210.04</v>
      </c>
      <c r="U367">
        <v>1210.04</v>
      </c>
      <c r="V367" s="7">
        <v>8.9999999999999993E-3</v>
      </c>
      <c r="W367" s="7">
        <v>8.9999999999999993E-3</v>
      </c>
      <c r="X367" s="7" t="str">
        <f t="shared" si="22"/>
        <v>okay</v>
      </c>
      <c r="Y367" s="9">
        <v>18</v>
      </c>
      <c r="Z367">
        <v>21584.693520000001</v>
      </c>
      <c r="AA367">
        <v>18998.100000000002</v>
      </c>
      <c r="AB367">
        <v>2586.5935199999985</v>
      </c>
      <c r="AC367">
        <v>0.1198346188053727</v>
      </c>
    </row>
    <row r="368" spans="1:29" x14ac:dyDescent="0.3">
      <c r="A368" t="s">
        <v>380</v>
      </c>
      <c r="B368" s="3">
        <v>45445</v>
      </c>
      <c r="C368" s="3" t="str">
        <v>Jun-2024</v>
      </c>
      <c r="D368" s="11" t="str">
        <f t="shared" si="20"/>
        <v>Q2-2024</v>
      </c>
      <c r="E368" s="3">
        <v>45458</v>
      </c>
      <c r="F368" s="3">
        <v>45445</v>
      </c>
      <c r="G368" s="4">
        <f t="shared" si="21"/>
        <v>13</v>
      </c>
      <c r="H368" s="4" t="str">
        <v>delayed</v>
      </c>
      <c r="I368" s="4">
        <f t="shared" si="23"/>
        <v>0</v>
      </c>
      <c r="J368" t="s">
        <v>646</v>
      </c>
      <c r="K368" t="s">
        <v>650</v>
      </c>
      <c r="L368" t="s">
        <v>675</v>
      </c>
      <c r="M368" t="s">
        <v>702</v>
      </c>
      <c r="N368" t="s">
        <v>708</v>
      </c>
      <c r="O368" t="s">
        <v>719</v>
      </c>
      <c r="P368" t="s">
        <v>730</v>
      </c>
      <c r="Q368" t="str" cm="1">
        <f t="array" ref="Q368">_xlfn.IFS(U368&lt;=_xlfn.QUARTILE.INC($U$2:$U999,1),"Low",B368&lt;=_xlfn.QUARTILE.INC($U$2:$U$633,2),"Medium",TRUE,"High")</f>
        <v>High</v>
      </c>
      <c r="R368" t="s">
        <v>1100</v>
      </c>
      <c r="S368" s="4">
        <v>1295.18</v>
      </c>
      <c r="T368">
        <v>3024.03</v>
      </c>
      <c r="U368">
        <v>3024.03</v>
      </c>
      <c r="V368" s="7">
        <v>0.192</v>
      </c>
      <c r="W368" s="7">
        <v>0.192</v>
      </c>
      <c r="X368" s="7" t="str">
        <f t="shared" si="22"/>
        <v>okay</v>
      </c>
      <c r="Y368" s="9">
        <v>8</v>
      </c>
      <c r="Z368">
        <v>19547.329920000004</v>
      </c>
      <c r="AA368">
        <v>10361.44</v>
      </c>
      <c r="AB368">
        <v>9185.8899200000033</v>
      </c>
      <c r="AC368">
        <v>0.46993067378483178</v>
      </c>
    </row>
    <row r="369" spans="1:29" x14ac:dyDescent="0.3">
      <c r="A369" t="s">
        <v>381</v>
      </c>
      <c r="B369" s="3">
        <v>45731</v>
      </c>
      <c r="C369" s="3" t="str">
        <v>Mar-2025</v>
      </c>
      <c r="D369" s="11" t="str">
        <f t="shared" si="20"/>
        <v>Q1-2025</v>
      </c>
      <c r="E369" s="3">
        <v>45745</v>
      </c>
      <c r="F369" s="3">
        <v>45731</v>
      </c>
      <c r="G369" s="4">
        <f t="shared" si="21"/>
        <v>14</v>
      </c>
      <c r="H369" s="4" t="str">
        <v>delayed</v>
      </c>
      <c r="I369" s="4">
        <f t="shared" si="23"/>
        <v>0</v>
      </c>
      <c r="J369" t="s">
        <v>647</v>
      </c>
      <c r="K369" t="s">
        <v>654</v>
      </c>
      <c r="L369" t="s">
        <v>691</v>
      </c>
      <c r="M369" t="s">
        <v>706</v>
      </c>
      <c r="N369" t="s">
        <v>711</v>
      </c>
      <c r="O369" t="s">
        <v>712</v>
      </c>
      <c r="P369" t="s">
        <v>727</v>
      </c>
      <c r="Q369" t="str" cm="1">
        <f t="array" ref="Q369">_xlfn.IFS(U369&lt;=_xlfn.QUARTILE.INC($U$2:$U1000,1),"Low",B369&lt;=_xlfn.QUARTILE.INC($U$2:$U$633,2),"Medium",TRUE,"High")</f>
        <v>High</v>
      </c>
      <c r="R369" t="s">
        <v>1101</v>
      </c>
      <c r="S369" s="4">
        <v>935.83</v>
      </c>
      <c r="T369">
        <v>2303.46</v>
      </c>
      <c r="U369">
        <v>2303.46</v>
      </c>
      <c r="V369" s="7">
        <v>0.105</v>
      </c>
      <c r="W369" s="7">
        <v>0.105</v>
      </c>
      <c r="X369" s="7" t="str">
        <f t="shared" si="22"/>
        <v>okay</v>
      </c>
      <c r="Y369" s="9">
        <v>9</v>
      </c>
      <c r="Z369">
        <v>18554.370299999999</v>
      </c>
      <c r="AA369">
        <v>8422.4700000000012</v>
      </c>
      <c r="AB369">
        <v>10131.900299999998</v>
      </c>
      <c r="AC369">
        <v>0.54606543559174292</v>
      </c>
    </row>
    <row r="370" spans="1:29" x14ac:dyDescent="0.3">
      <c r="A370" t="s">
        <v>382</v>
      </c>
      <c r="B370" s="3">
        <v>45194</v>
      </c>
      <c r="C370" s="3" t="str">
        <v>Sep-2023</v>
      </c>
      <c r="D370" s="11" t="str">
        <f t="shared" si="20"/>
        <v>Q3-2023</v>
      </c>
      <c r="E370" s="3">
        <v>45208</v>
      </c>
      <c r="F370" s="3">
        <v>45194</v>
      </c>
      <c r="G370" s="4">
        <f t="shared" si="21"/>
        <v>14</v>
      </c>
      <c r="H370" s="4" t="str">
        <v>delayed</v>
      </c>
      <c r="I370" s="4">
        <f t="shared" si="23"/>
        <v>0</v>
      </c>
      <c r="J370" t="s">
        <v>648</v>
      </c>
      <c r="K370" t="s">
        <v>660</v>
      </c>
      <c r="L370" t="s">
        <v>700</v>
      </c>
      <c r="M370" t="s">
        <v>705</v>
      </c>
      <c r="N370" t="s">
        <v>709</v>
      </c>
      <c r="O370" t="s">
        <v>713</v>
      </c>
      <c r="P370" t="s">
        <v>731</v>
      </c>
      <c r="Q370" t="str" cm="1">
        <f t="array" ref="Q370">_xlfn.IFS(U370&lt;=_xlfn.QUARTILE.INC($U$2:$U1001,1),"Low",B370&lt;=_xlfn.QUARTILE.INC($U$2:$U$633,2),"Medium",TRUE,"High")</f>
        <v>High</v>
      </c>
      <c r="R370" t="s">
        <v>1102</v>
      </c>
      <c r="S370" s="4">
        <v>1279.56</v>
      </c>
      <c r="T370">
        <v>3083.8</v>
      </c>
      <c r="U370">
        <v>3083.8</v>
      </c>
      <c r="V370" s="7">
        <v>0.106</v>
      </c>
      <c r="W370" s="7">
        <v>0.106</v>
      </c>
      <c r="X370" s="7" t="str">
        <f t="shared" si="22"/>
        <v>okay</v>
      </c>
      <c r="Y370" s="9">
        <v>5</v>
      </c>
      <c r="Z370">
        <v>13784.586000000001</v>
      </c>
      <c r="AA370">
        <v>6397.7999999999993</v>
      </c>
      <c r="AB370">
        <v>7386.7860000000019</v>
      </c>
      <c r="AC370">
        <v>0.53587289455047848</v>
      </c>
    </row>
    <row r="371" spans="1:29" x14ac:dyDescent="0.3">
      <c r="A371" t="s">
        <v>383</v>
      </c>
      <c r="B371" s="3">
        <v>45832</v>
      </c>
      <c r="C371" s="3" t="str">
        <v>Jun-2025</v>
      </c>
      <c r="D371" s="11" t="str">
        <f t="shared" si="20"/>
        <v>Q2-2025</v>
      </c>
      <c r="E371" s="3">
        <v>45861</v>
      </c>
      <c r="F371" s="3">
        <v>45832</v>
      </c>
      <c r="G371" s="4">
        <f t="shared" si="21"/>
        <v>29</v>
      </c>
      <c r="H371" s="4" t="str">
        <v>delayed</v>
      </c>
      <c r="I371" s="4">
        <f t="shared" si="23"/>
        <v>0</v>
      </c>
      <c r="J371" t="s">
        <v>648</v>
      </c>
      <c r="K371" t="s">
        <v>653</v>
      </c>
      <c r="L371" t="s">
        <v>688</v>
      </c>
      <c r="M371" t="s">
        <v>703</v>
      </c>
      <c r="N371" t="s">
        <v>709</v>
      </c>
      <c r="O371" t="s">
        <v>714</v>
      </c>
      <c r="P371" t="s">
        <v>728</v>
      </c>
      <c r="Q371" t="str" cm="1">
        <f t="array" ref="Q371">_xlfn.IFS(U371&lt;=_xlfn.QUARTILE.INC($U$2:$U1002,1),"Low",B371&lt;=_xlfn.QUARTILE.INC($U$2:$U$633,2),"Medium",TRUE,"High")</f>
        <v>Low</v>
      </c>
      <c r="R371" t="s">
        <v>1103</v>
      </c>
      <c r="S371" s="4">
        <v>255.4</v>
      </c>
      <c r="T371">
        <v>322.70999999999998</v>
      </c>
      <c r="U371">
        <v>322.70999999999998</v>
      </c>
      <c r="V371" s="7">
        <v>0.115</v>
      </c>
      <c r="W371" s="7">
        <v>0.115</v>
      </c>
      <c r="X371" s="7" t="str">
        <f t="shared" si="22"/>
        <v>okay</v>
      </c>
      <c r="Y371" s="9">
        <v>16</v>
      </c>
      <c r="Z371">
        <v>4569.5735999999997</v>
      </c>
      <c r="AA371">
        <v>4086.4</v>
      </c>
      <c r="AB371">
        <v>483.17359999999962</v>
      </c>
      <c r="AC371">
        <v>0.10573713048412212</v>
      </c>
    </row>
    <row r="372" spans="1:29" x14ac:dyDescent="0.3">
      <c r="A372" t="s">
        <v>384</v>
      </c>
      <c r="B372" s="3">
        <v>45286</v>
      </c>
      <c r="C372" s="3" t="str">
        <v>Dec-2023</v>
      </c>
      <c r="D372" s="11" t="str">
        <f t="shared" si="20"/>
        <v>Q4-2023</v>
      </c>
      <c r="E372" s="3">
        <v>45294</v>
      </c>
      <c r="F372" s="3">
        <v>45286</v>
      </c>
      <c r="G372" s="4">
        <f t="shared" si="21"/>
        <v>8</v>
      </c>
      <c r="H372" s="4" t="str">
        <v>delayed</v>
      </c>
      <c r="I372" s="4">
        <f t="shared" si="23"/>
        <v>0</v>
      </c>
      <c r="J372" t="s">
        <v>649</v>
      </c>
      <c r="K372" t="s">
        <v>657</v>
      </c>
      <c r="L372" t="s">
        <v>679</v>
      </c>
      <c r="M372" t="s">
        <v>705</v>
      </c>
      <c r="N372" t="s">
        <v>707</v>
      </c>
      <c r="O372" t="s">
        <v>724</v>
      </c>
      <c r="P372" t="s">
        <v>731</v>
      </c>
      <c r="Q372" t="str" cm="1">
        <f t="array" ref="Q372">_xlfn.IFS(U372&lt;=_xlfn.QUARTILE.INC($U$2:$U1003,1),"Low",B372&lt;=_xlfn.QUARTILE.INC($U$2:$U$633,2),"Medium",TRUE,"High")</f>
        <v>High</v>
      </c>
      <c r="R372" t="s">
        <v>1104</v>
      </c>
      <c r="S372" s="4">
        <v>492.75</v>
      </c>
      <c r="T372">
        <v>731.29</v>
      </c>
      <c r="U372">
        <v>731.29</v>
      </c>
      <c r="V372" s="7">
        <v>5.8000000000000003E-2</v>
      </c>
      <c r="W372" s="7">
        <v>5.8000000000000003E-2</v>
      </c>
      <c r="X372" s="7" t="str">
        <f t="shared" si="22"/>
        <v>okay</v>
      </c>
      <c r="Y372" s="9">
        <v>6</v>
      </c>
      <c r="Z372">
        <v>4133.25108</v>
      </c>
      <c r="AA372">
        <v>2956.5</v>
      </c>
      <c r="AB372">
        <v>1176.75108</v>
      </c>
      <c r="AC372">
        <v>0.28470350753528384</v>
      </c>
    </row>
    <row r="373" spans="1:29" x14ac:dyDescent="0.3">
      <c r="A373" t="s">
        <v>385</v>
      </c>
      <c r="B373" s="3">
        <v>44962</v>
      </c>
      <c r="C373" s="3" t="str">
        <v>Feb-2023</v>
      </c>
      <c r="D373" s="11" t="str">
        <f t="shared" si="20"/>
        <v>Q1-2023</v>
      </c>
      <c r="E373" s="3">
        <v>44985</v>
      </c>
      <c r="F373" s="3">
        <v>44962</v>
      </c>
      <c r="G373" s="4">
        <f t="shared" si="21"/>
        <v>23</v>
      </c>
      <c r="H373" s="4" t="str">
        <v>delayed</v>
      </c>
      <c r="I373" s="4">
        <f t="shared" si="23"/>
        <v>0</v>
      </c>
      <c r="J373" t="s">
        <v>648</v>
      </c>
      <c r="K373" t="s">
        <v>660</v>
      </c>
      <c r="L373" t="s">
        <v>697</v>
      </c>
      <c r="M373" t="s">
        <v>703</v>
      </c>
      <c r="N373" t="s">
        <v>710</v>
      </c>
      <c r="O373" t="s">
        <v>716</v>
      </c>
      <c r="P373" t="s">
        <v>730</v>
      </c>
      <c r="Q373" t="str" cm="1">
        <f t="array" ref="Q373">_xlfn.IFS(U373&lt;=_xlfn.QUARTILE.INC($U$2:$U1004,1),"Low",B373&lt;=_xlfn.QUARTILE.INC($U$2:$U$633,2),"Medium",TRUE,"High")</f>
        <v>High</v>
      </c>
      <c r="R373" t="s">
        <v>1105</v>
      </c>
      <c r="S373" s="4">
        <v>1214.49</v>
      </c>
      <c r="T373">
        <v>1533.95</v>
      </c>
      <c r="U373">
        <v>1533.95</v>
      </c>
      <c r="V373" s="7">
        <v>0</v>
      </c>
      <c r="W373" s="7">
        <v>0</v>
      </c>
      <c r="X373" s="7" t="str">
        <f t="shared" si="22"/>
        <v>okay</v>
      </c>
      <c r="Y373" s="9">
        <v>11</v>
      </c>
      <c r="Z373">
        <v>16873.45</v>
      </c>
      <c r="AA373">
        <v>13359.39</v>
      </c>
      <c r="AB373">
        <v>3514.0600000000013</v>
      </c>
      <c r="AC373">
        <v>0.20825972163369086</v>
      </c>
    </row>
    <row r="374" spans="1:29" x14ac:dyDescent="0.3">
      <c r="A374" t="s">
        <v>386</v>
      </c>
      <c r="B374" s="3">
        <v>45022</v>
      </c>
      <c r="C374" s="3" t="str">
        <v>Apr-2023</v>
      </c>
      <c r="D374" s="11" t="str">
        <f t="shared" si="20"/>
        <v>Q2-2023</v>
      </c>
      <c r="E374" s="3">
        <v>45024</v>
      </c>
      <c r="F374" s="3">
        <v>45022</v>
      </c>
      <c r="G374" s="4">
        <f t="shared" si="21"/>
        <v>2</v>
      </c>
      <c r="H374" s="4" t="str">
        <v>ontime</v>
      </c>
      <c r="I374" s="4">
        <f t="shared" si="23"/>
        <v>1</v>
      </c>
      <c r="J374" t="s">
        <v>646</v>
      </c>
      <c r="K374" t="s">
        <v>651</v>
      </c>
      <c r="L374" t="s">
        <v>669</v>
      </c>
      <c r="M374" t="s">
        <v>705</v>
      </c>
      <c r="N374" t="s">
        <v>709</v>
      </c>
      <c r="O374" t="s">
        <v>723</v>
      </c>
      <c r="P374" t="s">
        <v>732</v>
      </c>
      <c r="Q374" t="str" cm="1">
        <f t="array" ref="Q374">_xlfn.IFS(U374&lt;=_xlfn.QUARTILE.INC($U$2:$U1005,1),"Low",B374&lt;=_xlfn.QUARTILE.INC($U$2:$U$633,2),"Medium",TRUE,"High")</f>
        <v>High</v>
      </c>
      <c r="R374" t="s">
        <v>1106</v>
      </c>
      <c r="S374" s="4">
        <v>720.35</v>
      </c>
      <c r="T374">
        <v>1571.66</v>
      </c>
      <c r="U374">
        <v>1571.66</v>
      </c>
      <c r="V374" s="7">
        <v>0.107</v>
      </c>
      <c r="W374" s="7">
        <v>0.107</v>
      </c>
      <c r="X374" s="7" t="str">
        <f t="shared" si="22"/>
        <v>okay</v>
      </c>
      <c r="Y374" s="9">
        <v>23</v>
      </c>
      <c r="Z374">
        <v>32280.32474</v>
      </c>
      <c r="AA374">
        <v>16568.05</v>
      </c>
      <c r="AB374">
        <v>15712.274740000001</v>
      </c>
      <c r="AC374">
        <v>0.4867446305622265</v>
      </c>
    </row>
    <row r="375" spans="1:29" x14ac:dyDescent="0.3">
      <c r="A375" t="s">
        <v>387</v>
      </c>
      <c r="B375" s="3">
        <v>45751</v>
      </c>
      <c r="C375" s="3" t="str">
        <v>Apr-2025</v>
      </c>
      <c r="D375" s="11" t="str">
        <f t="shared" si="20"/>
        <v>Q2-2025</v>
      </c>
      <c r="E375" s="3">
        <v>45757</v>
      </c>
      <c r="F375" s="3">
        <v>45751</v>
      </c>
      <c r="G375" s="4">
        <f t="shared" si="21"/>
        <v>6</v>
      </c>
      <c r="H375" s="4" t="str">
        <v>ontime</v>
      </c>
      <c r="I375" s="4">
        <f t="shared" si="23"/>
        <v>1</v>
      </c>
      <c r="J375" t="s">
        <v>649</v>
      </c>
      <c r="K375" t="s">
        <v>658</v>
      </c>
      <c r="L375" t="s">
        <v>674</v>
      </c>
      <c r="M375" t="s">
        <v>703</v>
      </c>
      <c r="N375" t="s">
        <v>711</v>
      </c>
      <c r="O375" t="s">
        <v>725</v>
      </c>
      <c r="P375" t="s">
        <v>728</v>
      </c>
      <c r="Q375" t="str" cm="1">
        <f t="array" ref="Q375">_xlfn.IFS(U375&lt;=_xlfn.QUARTILE.INC($U$2:$U1006,1),"Low",B375&lt;=_xlfn.QUARTILE.INC($U$2:$U$633,2),"Medium",TRUE,"High")</f>
        <v>Low</v>
      </c>
      <c r="R375" t="s">
        <v>1107</v>
      </c>
      <c r="S375" s="4">
        <v>290.14</v>
      </c>
      <c r="T375">
        <v>250.73</v>
      </c>
      <c r="U375">
        <v>250.73</v>
      </c>
      <c r="V375" s="7">
        <v>3.4000000000000002E-2</v>
      </c>
      <c r="W375" s="7">
        <v>3.4000000000000002E-2</v>
      </c>
      <c r="X375" s="7" t="str">
        <f t="shared" si="22"/>
        <v>okay</v>
      </c>
      <c r="Y375" s="9">
        <v>17</v>
      </c>
      <c r="Z375">
        <v>4117.4880599999997</v>
      </c>
      <c r="AA375">
        <v>4932.38</v>
      </c>
      <c r="AB375">
        <v>-814.89194000000043</v>
      </c>
      <c r="AC375">
        <v>-0.19790997038131072</v>
      </c>
    </row>
    <row r="376" spans="1:29" x14ac:dyDescent="0.3">
      <c r="A376" t="s">
        <v>388</v>
      </c>
      <c r="B376" s="3">
        <v>45429</v>
      </c>
      <c r="C376" s="3" t="str">
        <v>May-2024</v>
      </c>
      <c r="D376" s="11" t="str">
        <f t="shared" si="20"/>
        <v>Q2-2024</v>
      </c>
      <c r="E376" s="3">
        <v>45439</v>
      </c>
      <c r="F376" s="3">
        <v>45429</v>
      </c>
      <c r="G376" s="4">
        <f t="shared" si="21"/>
        <v>10</v>
      </c>
      <c r="H376" s="4" t="str">
        <v>delayed</v>
      </c>
      <c r="I376" s="4">
        <f t="shared" si="23"/>
        <v>0</v>
      </c>
      <c r="J376" t="s">
        <v>648</v>
      </c>
      <c r="K376" t="s">
        <v>660</v>
      </c>
      <c r="L376" t="s">
        <v>697</v>
      </c>
      <c r="M376" t="s">
        <v>703</v>
      </c>
      <c r="N376" t="s">
        <v>708</v>
      </c>
      <c r="O376" t="s">
        <v>712</v>
      </c>
      <c r="P376" t="s">
        <v>730</v>
      </c>
      <c r="Q376" t="str" cm="1">
        <f t="array" ref="Q376">_xlfn.IFS(U376&lt;=_xlfn.QUARTILE.INC($U$2:$U1007,1),"Low",B376&lt;=_xlfn.QUARTILE.INC($U$2:$U$633,2),"Medium",TRUE,"High")</f>
        <v>High</v>
      </c>
      <c r="R376" t="s">
        <v>1108</v>
      </c>
      <c r="S376" s="4">
        <v>1484.23</v>
      </c>
      <c r="T376">
        <v>3472.81</v>
      </c>
      <c r="U376">
        <v>3472.81</v>
      </c>
      <c r="V376" s="7">
        <v>0.25600000000000001</v>
      </c>
      <c r="W376" s="7">
        <v>0.25600000000000001</v>
      </c>
      <c r="X376" s="7" t="str">
        <f t="shared" si="22"/>
        <v>High discount</v>
      </c>
      <c r="Y376" s="9">
        <v>12</v>
      </c>
      <c r="Z376">
        <v>31005.24768</v>
      </c>
      <c r="AA376">
        <v>17810.760000000002</v>
      </c>
      <c r="AB376">
        <v>13194.487679999998</v>
      </c>
      <c r="AC376">
        <v>0.42555659661803413</v>
      </c>
    </row>
    <row r="377" spans="1:29" x14ac:dyDescent="0.3">
      <c r="A377" t="s">
        <v>389</v>
      </c>
      <c r="B377" s="3">
        <v>45354</v>
      </c>
      <c r="C377" s="3" t="str">
        <v>Mar-2024</v>
      </c>
      <c r="D377" s="11" t="str">
        <f t="shared" si="20"/>
        <v>Q1-2024</v>
      </c>
      <c r="E377" s="3">
        <v>45370</v>
      </c>
      <c r="F377" s="3">
        <v>45354</v>
      </c>
      <c r="G377" s="4">
        <f t="shared" si="21"/>
        <v>16</v>
      </c>
      <c r="H377" s="4" t="str">
        <v>delayed</v>
      </c>
      <c r="I377" s="4">
        <f t="shared" si="23"/>
        <v>0</v>
      </c>
      <c r="J377" t="s">
        <v>647</v>
      </c>
      <c r="K377" t="s">
        <v>659</v>
      </c>
      <c r="L377" t="s">
        <v>699</v>
      </c>
      <c r="M377" t="s">
        <v>704</v>
      </c>
      <c r="N377" t="s">
        <v>710</v>
      </c>
      <c r="O377" t="s">
        <v>715</v>
      </c>
      <c r="P377" t="s">
        <v>730</v>
      </c>
      <c r="Q377" t="str" cm="1">
        <f t="array" ref="Q377">_xlfn.IFS(U377&lt;=_xlfn.QUARTILE.INC($U$2:$U1008,1),"Low",B377&lt;=_xlfn.QUARTILE.INC($U$2:$U$633,2),"Medium",TRUE,"High")</f>
        <v>High</v>
      </c>
      <c r="R377" t="s">
        <v>1109</v>
      </c>
      <c r="S377" s="4">
        <v>988.83</v>
      </c>
      <c r="T377">
        <v>1206.04</v>
      </c>
      <c r="U377">
        <v>1206.04</v>
      </c>
      <c r="V377" s="7">
        <v>6.3E-2</v>
      </c>
      <c r="W377" s="7">
        <v>6.3E-2</v>
      </c>
      <c r="X377" s="7" t="str">
        <f t="shared" si="22"/>
        <v>okay</v>
      </c>
      <c r="Y377" s="9">
        <v>34</v>
      </c>
      <c r="Z377">
        <v>38422.022320000004</v>
      </c>
      <c r="AA377">
        <v>33620.22</v>
      </c>
      <c r="AB377">
        <v>4801.8023200000025</v>
      </c>
      <c r="AC377">
        <v>0.12497526236406606</v>
      </c>
    </row>
    <row r="378" spans="1:29" x14ac:dyDescent="0.3">
      <c r="A378" t="s">
        <v>390</v>
      </c>
      <c r="B378" s="3">
        <v>45835</v>
      </c>
      <c r="C378" s="3" t="str">
        <v>Jun-2025</v>
      </c>
      <c r="D378" s="11" t="str">
        <f t="shared" si="20"/>
        <v>Q2-2025</v>
      </c>
      <c r="E378" s="3">
        <v>45849</v>
      </c>
      <c r="F378" s="3">
        <v>45835</v>
      </c>
      <c r="G378" s="4">
        <f t="shared" si="21"/>
        <v>14</v>
      </c>
      <c r="H378" s="4" t="str">
        <v>delayed</v>
      </c>
      <c r="I378" s="4">
        <f t="shared" si="23"/>
        <v>0</v>
      </c>
      <c r="J378" t="s">
        <v>647</v>
      </c>
      <c r="K378" t="s">
        <v>659</v>
      </c>
      <c r="L378" t="s">
        <v>685</v>
      </c>
      <c r="M378" t="s">
        <v>705</v>
      </c>
      <c r="N378" t="s">
        <v>709</v>
      </c>
      <c r="O378" t="s">
        <v>716</v>
      </c>
      <c r="P378" t="s">
        <v>729</v>
      </c>
      <c r="Q378" t="str" cm="1">
        <f t="array" ref="Q378">_xlfn.IFS(U378&lt;=_xlfn.QUARTILE.INC($U$2:$U1009,1),"Low",B378&lt;=_xlfn.QUARTILE.INC($U$2:$U$633,2),"Medium",TRUE,"High")</f>
        <v>High</v>
      </c>
      <c r="R378" t="s">
        <v>1110</v>
      </c>
      <c r="S378" s="4">
        <v>1227.7</v>
      </c>
      <c r="T378">
        <v>2197.23</v>
      </c>
      <c r="U378">
        <v>2197.23</v>
      </c>
      <c r="V378" s="7">
        <v>9.9000000000000005E-2</v>
      </c>
      <c r="W378" s="7">
        <v>9.9000000000000005E-2</v>
      </c>
      <c r="X378" s="7" t="str">
        <f t="shared" si="22"/>
        <v>okay</v>
      </c>
      <c r="Y378" s="9">
        <v>22</v>
      </c>
      <c r="Z378">
        <v>43553.493060000001</v>
      </c>
      <c r="AA378">
        <v>27009.4</v>
      </c>
      <c r="AB378">
        <v>16544.093059999999</v>
      </c>
      <c r="AC378">
        <v>0.37985685871873898</v>
      </c>
    </row>
    <row r="379" spans="1:29" x14ac:dyDescent="0.3">
      <c r="A379" t="s">
        <v>391</v>
      </c>
      <c r="B379" s="3">
        <v>44998</v>
      </c>
      <c r="C379" s="3" t="str">
        <v>Mar-2023</v>
      </c>
      <c r="D379" s="11" t="str">
        <f t="shared" si="20"/>
        <v>Q1-2023</v>
      </c>
      <c r="E379" s="3">
        <v>45020</v>
      </c>
      <c r="F379" s="3">
        <v>44998</v>
      </c>
      <c r="G379" s="4">
        <f t="shared" si="21"/>
        <v>22</v>
      </c>
      <c r="H379" s="4" t="str">
        <v>delayed</v>
      </c>
      <c r="I379" s="4">
        <f t="shared" si="23"/>
        <v>0</v>
      </c>
      <c r="J379" t="s">
        <v>646</v>
      </c>
      <c r="K379" t="s">
        <v>661</v>
      </c>
      <c r="L379" t="s">
        <v>687</v>
      </c>
      <c r="M379" t="s">
        <v>705</v>
      </c>
      <c r="N379" t="s">
        <v>707</v>
      </c>
      <c r="O379" t="s">
        <v>720</v>
      </c>
      <c r="P379" t="s">
        <v>727</v>
      </c>
      <c r="Q379" t="str" cm="1">
        <f t="array" ref="Q379">_xlfn.IFS(U379&lt;=_xlfn.QUARTILE.INC($U$2:$U1010,1),"Low",B379&lt;=_xlfn.QUARTILE.INC($U$2:$U$633,2),"Medium",TRUE,"High")</f>
        <v>High</v>
      </c>
      <c r="R379" t="s">
        <v>1111</v>
      </c>
      <c r="S379" s="4">
        <v>1113.7</v>
      </c>
      <c r="T379">
        <v>1620.6</v>
      </c>
      <c r="U379">
        <v>1620.6</v>
      </c>
      <c r="V379" s="7">
        <v>0.13900000000000001</v>
      </c>
      <c r="W379" s="7">
        <v>0.13900000000000001</v>
      </c>
      <c r="X379" s="7" t="str">
        <f t="shared" si="22"/>
        <v>okay</v>
      </c>
      <c r="Y379" s="9">
        <v>11</v>
      </c>
      <c r="Z379">
        <v>15348.702599999999</v>
      </c>
      <c r="AA379">
        <v>12250.7</v>
      </c>
      <c r="AB379">
        <v>3098.002599999998</v>
      </c>
      <c r="AC379">
        <v>0.20184133348182787</v>
      </c>
    </row>
    <row r="380" spans="1:29" x14ac:dyDescent="0.3">
      <c r="A380" t="s">
        <v>392</v>
      </c>
      <c r="B380" s="3">
        <v>45664</v>
      </c>
      <c r="C380" s="3" t="str">
        <v>Jan-2025</v>
      </c>
      <c r="D380" s="11" t="str">
        <f t="shared" si="20"/>
        <v>Q1-2025</v>
      </c>
      <c r="E380" s="3">
        <v>45677</v>
      </c>
      <c r="F380" s="3">
        <v>45664</v>
      </c>
      <c r="G380" s="4">
        <f t="shared" si="21"/>
        <v>13</v>
      </c>
      <c r="H380" s="4" t="str">
        <v>delayed</v>
      </c>
      <c r="I380" s="4">
        <f t="shared" si="23"/>
        <v>0</v>
      </c>
      <c r="J380" t="s">
        <v>646</v>
      </c>
      <c r="K380" t="s">
        <v>661</v>
      </c>
      <c r="L380" t="s">
        <v>695</v>
      </c>
      <c r="M380" t="s">
        <v>701</v>
      </c>
      <c r="N380" t="s">
        <v>711</v>
      </c>
      <c r="O380" t="s">
        <v>723</v>
      </c>
      <c r="P380" t="s">
        <v>729</v>
      </c>
      <c r="Q380" t="str" cm="1">
        <f t="array" ref="Q380">_xlfn.IFS(U380&lt;=_xlfn.QUARTILE.INC($U$2:$U1011,1),"Low",B380&lt;=_xlfn.QUARTILE.INC($U$2:$U$633,2),"Medium",TRUE,"High")</f>
        <v>High</v>
      </c>
      <c r="R380" t="s">
        <v>1112</v>
      </c>
      <c r="S380" s="4">
        <v>432.13</v>
      </c>
      <c r="T380">
        <v>1034.6600000000001</v>
      </c>
      <c r="U380">
        <v>1034.6600000000001</v>
      </c>
      <c r="V380" s="7">
        <v>9.1999999999999998E-2</v>
      </c>
      <c r="W380" s="7">
        <v>9.1999999999999998E-2</v>
      </c>
      <c r="X380" s="7" t="str">
        <f t="shared" si="22"/>
        <v>okay</v>
      </c>
      <c r="Y380" s="9">
        <v>7</v>
      </c>
      <c r="Z380">
        <v>6576.298960000001</v>
      </c>
      <c r="AA380">
        <v>3024.91</v>
      </c>
      <c r="AB380">
        <v>3551.3889600000011</v>
      </c>
      <c r="AC380">
        <v>0.54002851476204794</v>
      </c>
    </row>
    <row r="381" spans="1:29" x14ac:dyDescent="0.3">
      <c r="A381" t="s">
        <v>393</v>
      </c>
      <c r="B381" s="3">
        <v>45694</v>
      </c>
      <c r="C381" s="3" t="str">
        <v>Feb-2025</v>
      </c>
      <c r="D381" s="11" t="str">
        <f t="shared" si="20"/>
        <v>Q1-2025</v>
      </c>
      <c r="E381" s="3">
        <v>45703</v>
      </c>
      <c r="F381" s="3">
        <v>45694</v>
      </c>
      <c r="G381" s="4">
        <f t="shared" si="21"/>
        <v>9</v>
      </c>
      <c r="H381" s="4" t="str">
        <v>delayed</v>
      </c>
      <c r="I381" s="4">
        <f t="shared" si="23"/>
        <v>0</v>
      </c>
      <c r="J381" t="s">
        <v>648</v>
      </c>
      <c r="K381" t="s">
        <v>655</v>
      </c>
      <c r="L381" t="s">
        <v>670</v>
      </c>
      <c r="M381" t="s">
        <v>703</v>
      </c>
      <c r="N381" t="s">
        <v>710</v>
      </c>
      <c r="O381" t="s">
        <v>721</v>
      </c>
      <c r="P381" t="s">
        <v>729</v>
      </c>
      <c r="Q381" t="str" cm="1">
        <f t="array" ref="Q381">_xlfn.IFS(U381&lt;=_xlfn.QUARTILE.INC($U$2:$U1012,1),"Low",B381&lt;=_xlfn.QUARTILE.INC($U$2:$U$633,2),"Medium",TRUE,"High")</f>
        <v>High</v>
      </c>
      <c r="R381" t="s">
        <v>1113</v>
      </c>
      <c r="S381" s="4">
        <v>837.39</v>
      </c>
      <c r="T381">
        <v>1905.42</v>
      </c>
      <c r="U381">
        <v>1905.42</v>
      </c>
      <c r="V381" s="7">
        <v>3.2000000000000001E-2</v>
      </c>
      <c r="W381" s="7">
        <v>3.2000000000000001E-2</v>
      </c>
      <c r="X381" s="7" t="str">
        <f t="shared" si="22"/>
        <v>okay</v>
      </c>
      <c r="Y381" s="9">
        <v>18</v>
      </c>
      <c r="Z381">
        <v>33200.038079999998</v>
      </c>
      <c r="AA381">
        <v>15073.02</v>
      </c>
      <c r="AB381">
        <v>18127.018079999998</v>
      </c>
      <c r="AC381">
        <v>0.54599389423350919</v>
      </c>
    </row>
    <row r="382" spans="1:29" x14ac:dyDescent="0.3">
      <c r="A382" t="s">
        <v>394</v>
      </c>
      <c r="B382" s="3">
        <v>45688</v>
      </c>
      <c r="C382" s="3" t="str">
        <v>Jan-2025</v>
      </c>
      <c r="D382" s="11" t="str">
        <f t="shared" si="20"/>
        <v>Q1-2025</v>
      </c>
      <c r="E382" s="3">
        <v>45705</v>
      </c>
      <c r="F382" s="3">
        <v>45688</v>
      </c>
      <c r="G382" s="4">
        <f t="shared" si="21"/>
        <v>17</v>
      </c>
      <c r="H382" s="4" t="str">
        <v>delayed</v>
      </c>
      <c r="I382" s="4">
        <f t="shared" si="23"/>
        <v>0</v>
      </c>
      <c r="J382" t="s">
        <v>649</v>
      </c>
      <c r="K382" t="s">
        <v>658</v>
      </c>
      <c r="L382" t="s">
        <v>683</v>
      </c>
      <c r="M382" t="s">
        <v>706</v>
      </c>
      <c r="N382" t="s">
        <v>707</v>
      </c>
      <c r="O382" t="s">
        <v>722</v>
      </c>
      <c r="P382" t="s">
        <v>727</v>
      </c>
      <c r="Q382" t="str" cm="1">
        <f t="array" ref="Q382">_xlfn.IFS(U382&lt;=_xlfn.QUARTILE.INC($U$2:$U1013,1),"Low",B382&lt;=_xlfn.QUARTILE.INC($U$2:$U$633,2),"Medium",TRUE,"High")</f>
        <v>Low</v>
      </c>
      <c r="R382" t="s">
        <v>812</v>
      </c>
      <c r="S382" s="4">
        <v>378.26</v>
      </c>
      <c r="T382">
        <v>541.55999999999995</v>
      </c>
      <c r="U382">
        <v>541.55999999999995</v>
      </c>
      <c r="V382" s="7">
        <v>0.16300000000000001</v>
      </c>
      <c r="W382" s="7">
        <v>0.16300000000000001</v>
      </c>
      <c r="X382" s="7" t="str">
        <f t="shared" si="22"/>
        <v>okay</v>
      </c>
      <c r="Y382" s="9">
        <v>25</v>
      </c>
      <c r="Z382">
        <v>11332.142999999998</v>
      </c>
      <c r="AA382">
        <v>9456.5</v>
      </c>
      <c r="AB382">
        <v>1875.6429999999982</v>
      </c>
      <c r="AC382">
        <v>0.16551529573885526</v>
      </c>
    </row>
    <row r="383" spans="1:29" x14ac:dyDescent="0.3">
      <c r="A383" t="s">
        <v>395</v>
      </c>
      <c r="B383" s="3">
        <v>45876</v>
      </c>
      <c r="C383" s="3" t="str">
        <v>Aug-2025</v>
      </c>
      <c r="D383" s="11" t="str">
        <f t="shared" si="20"/>
        <v>Q3-2025</v>
      </c>
      <c r="E383" s="3">
        <v>45906</v>
      </c>
      <c r="F383" s="3">
        <v>45876</v>
      </c>
      <c r="G383" s="4">
        <f t="shared" si="21"/>
        <v>30</v>
      </c>
      <c r="H383" s="4" t="str">
        <v>delayed</v>
      </c>
      <c r="I383" s="4">
        <f t="shared" si="23"/>
        <v>0</v>
      </c>
      <c r="J383" t="s">
        <v>648</v>
      </c>
      <c r="K383" t="s">
        <v>653</v>
      </c>
      <c r="L383" t="s">
        <v>681</v>
      </c>
      <c r="M383" t="s">
        <v>702</v>
      </c>
      <c r="N383" t="s">
        <v>711</v>
      </c>
      <c r="O383" t="s">
        <v>724</v>
      </c>
      <c r="P383" t="s">
        <v>729</v>
      </c>
      <c r="Q383" t="str" cm="1">
        <f t="array" ref="Q383">_xlfn.IFS(U383&lt;=_xlfn.QUARTILE.INC($U$2:$U1014,1),"Low",B383&lt;=_xlfn.QUARTILE.INC($U$2:$U$633,2),"Medium",TRUE,"High")</f>
        <v>High</v>
      </c>
      <c r="R383" t="s">
        <v>1114</v>
      </c>
      <c r="S383" s="4">
        <v>833.73</v>
      </c>
      <c r="T383">
        <v>1116.5999999999999</v>
      </c>
      <c r="U383">
        <v>1116.5999999999999</v>
      </c>
      <c r="V383" s="7">
        <v>0.17599999999999999</v>
      </c>
      <c r="W383" s="7">
        <v>0.17599999999999999</v>
      </c>
      <c r="X383" s="7" t="str">
        <f t="shared" si="22"/>
        <v>okay</v>
      </c>
      <c r="Y383" s="9">
        <v>14</v>
      </c>
      <c r="Z383">
        <v>12881.097599999999</v>
      </c>
      <c r="AA383">
        <v>11672.220000000001</v>
      </c>
      <c r="AB383">
        <v>1208.877599999998</v>
      </c>
      <c r="AC383">
        <v>9.3848958958279924E-2</v>
      </c>
    </row>
    <row r="384" spans="1:29" x14ac:dyDescent="0.3">
      <c r="A384" t="s">
        <v>396</v>
      </c>
      <c r="B384" s="3">
        <v>45861</v>
      </c>
      <c r="C384" s="3" t="str">
        <v>Jul-2025</v>
      </c>
      <c r="D384" s="11" t="str">
        <f t="shared" si="20"/>
        <v>Q3-2025</v>
      </c>
      <c r="E384" s="3">
        <v>45886</v>
      </c>
      <c r="F384" s="3">
        <v>45861</v>
      </c>
      <c r="G384" s="4">
        <f t="shared" si="21"/>
        <v>25</v>
      </c>
      <c r="H384" s="4" t="str">
        <v>delayed</v>
      </c>
      <c r="I384" s="4">
        <f t="shared" si="23"/>
        <v>0</v>
      </c>
      <c r="J384" t="s">
        <v>649</v>
      </c>
      <c r="K384" t="s">
        <v>658</v>
      </c>
      <c r="L384" t="s">
        <v>674</v>
      </c>
      <c r="M384" t="s">
        <v>702</v>
      </c>
      <c r="N384" t="s">
        <v>708</v>
      </c>
      <c r="O384" t="s">
        <v>714</v>
      </c>
      <c r="P384" t="s">
        <v>728</v>
      </c>
      <c r="Q384" t="str" cm="1">
        <f t="array" ref="Q384">_xlfn.IFS(U384&lt;=_xlfn.QUARTILE.INC($U$2:$U1015,1),"Low",B384&lt;=_xlfn.QUARTILE.INC($U$2:$U$633,2),"Medium",TRUE,"High")</f>
        <v>High</v>
      </c>
      <c r="R384" t="s">
        <v>1115</v>
      </c>
      <c r="S384" s="4">
        <v>1142.06</v>
      </c>
      <c r="T384">
        <v>1455</v>
      </c>
      <c r="U384">
        <v>1455</v>
      </c>
      <c r="V384" s="7">
        <v>7.8E-2</v>
      </c>
      <c r="W384" s="7">
        <v>7.8E-2</v>
      </c>
      <c r="X384" s="7" t="str">
        <f t="shared" si="22"/>
        <v>okay</v>
      </c>
      <c r="Y384" s="9">
        <v>28</v>
      </c>
      <c r="Z384">
        <v>37562.28</v>
      </c>
      <c r="AA384">
        <v>31977.68</v>
      </c>
      <c r="AB384">
        <v>5584.5999999999985</v>
      </c>
      <c r="AC384">
        <v>0.1486757459877302</v>
      </c>
    </row>
    <row r="385" spans="1:29" x14ac:dyDescent="0.3">
      <c r="A385" t="s">
        <v>397</v>
      </c>
      <c r="B385" s="3">
        <v>45097</v>
      </c>
      <c r="C385" s="3" t="str">
        <v>Jun-2023</v>
      </c>
      <c r="D385" s="11" t="str">
        <f t="shared" si="20"/>
        <v>Q2-2023</v>
      </c>
      <c r="E385" s="3">
        <v>45115</v>
      </c>
      <c r="F385" s="3">
        <v>45097</v>
      </c>
      <c r="G385" s="4">
        <f t="shared" si="21"/>
        <v>18</v>
      </c>
      <c r="H385" s="4" t="str">
        <v>delayed</v>
      </c>
      <c r="I385" s="4">
        <f t="shared" si="23"/>
        <v>0</v>
      </c>
      <c r="J385" t="s">
        <v>648</v>
      </c>
      <c r="K385" t="s">
        <v>660</v>
      </c>
      <c r="L385" t="s">
        <v>700</v>
      </c>
      <c r="M385" t="s">
        <v>704</v>
      </c>
      <c r="N385" t="s">
        <v>709</v>
      </c>
      <c r="O385" t="s">
        <v>719</v>
      </c>
      <c r="P385" t="s">
        <v>729</v>
      </c>
      <c r="Q385" t="str" cm="1">
        <f t="array" ref="Q385">_xlfn.IFS(U385&lt;=_xlfn.QUARTILE.INC($U$2:$U1016,1),"Low",B385&lt;=_xlfn.QUARTILE.INC($U$2:$U$633,2),"Medium",TRUE,"High")</f>
        <v>High</v>
      </c>
      <c r="R385" t="s">
        <v>1116</v>
      </c>
      <c r="S385" s="4">
        <v>1145.53</v>
      </c>
      <c r="T385">
        <v>1278.3</v>
      </c>
      <c r="U385">
        <v>1278.3</v>
      </c>
      <c r="V385" s="7">
        <v>0.09</v>
      </c>
      <c r="W385" s="7">
        <v>0.09</v>
      </c>
      <c r="X385" s="7" t="str">
        <f t="shared" si="22"/>
        <v>okay</v>
      </c>
      <c r="Y385" s="9">
        <v>41</v>
      </c>
      <c r="Z385">
        <v>47693.373</v>
      </c>
      <c r="AA385">
        <v>46966.729999999996</v>
      </c>
      <c r="AB385">
        <v>726.64300000000367</v>
      </c>
      <c r="AC385">
        <v>1.5235722581416158E-2</v>
      </c>
    </row>
    <row r="386" spans="1:29" x14ac:dyDescent="0.3">
      <c r="A386" t="s">
        <v>398</v>
      </c>
      <c r="B386" s="3">
        <v>45491</v>
      </c>
      <c r="C386" s="3" t="str">
        <v>Jul-2024</v>
      </c>
      <c r="D386" s="11" t="str">
        <f t="shared" si="20"/>
        <v>Q3-2024</v>
      </c>
      <c r="E386" s="3">
        <v>45511</v>
      </c>
      <c r="F386" s="3">
        <v>45491</v>
      </c>
      <c r="G386" s="4">
        <f t="shared" si="21"/>
        <v>20</v>
      </c>
      <c r="H386" s="4" t="str">
        <v>delayed</v>
      </c>
      <c r="I386" s="4">
        <f t="shared" si="23"/>
        <v>0</v>
      </c>
      <c r="J386" t="s">
        <v>649</v>
      </c>
      <c r="K386" t="s">
        <v>657</v>
      </c>
      <c r="L386" t="s">
        <v>673</v>
      </c>
      <c r="M386" t="s">
        <v>701</v>
      </c>
      <c r="N386" t="s">
        <v>707</v>
      </c>
      <c r="O386" t="s">
        <v>721</v>
      </c>
      <c r="P386" t="s">
        <v>732</v>
      </c>
      <c r="Q386" t="str" cm="1">
        <f t="array" ref="Q386">_xlfn.IFS(U386&lt;=_xlfn.QUARTILE.INC($U$2:$U1017,1),"Low",B386&lt;=_xlfn.QUARTILE.INC($U$2:$U$633,2),"Medium",TRUE,"High")</f>
        <v>High</v>
      </c>
      <c r="R386" t="s">
        <v>1117</v>
      </c>
      <c r="S386" s="4">
        <v>941.35</v>
      </c>
      <c r="T386">
        <v>899.83</v>
      </c>
      <c r="U386">
        <v>899.83</v>
      </c>
      <c r="V386" s="7">
        <v>5.8000000000000003E-2</v>
      </c>
      <c r="W386" s="7">
        <v>5.8000000000000003E-2</v>
      </c>
      <c r="X386" s="7" t="str">
        <f t="shared" si="22"/>
        <v>okay</v>
      </c>
      <c r="Y386" s="9">
        <v>18</v>
      </c>
      <c r="Z386">
        <v>15257.51748</v>
      </c>
      <c r="AA386">
        <v>16944.3</v>
      </c>
      <c r="AB386">
        <v>-1686.7825199999988</v>
      </c>
      <c r="AC386">
        <v>-0.11055419220139073</v>
      </c>
    </row>
    <row r="387" spans="1:29" x14ac:dyDescent="0.3">
      <c r="A387" t="s">
        <v>399</v>
      </c>
      <c r="B387" s="3">
        <v>45066</v>
      </c>
      <c r="C387" s="3" t="str">
        <v>May-2023</v>
      </c>
      <c r="D387" s="11" t="str">
        <f t="shared" ref="D387:D450" si="24">"Q" &amp; ROUNDUP(MONTH(C387)/3,0) &amp; "-" &amp; YEAR(C387)</f>
        <v>Q2-2023</v>
      </c>
      <c r="E387" s="3">
        <v>45096</v>
      </c>
      <c r="F387" s="3">
        <v>45066</v>
      </c>
      <c r="G387" s="4">
        <f t="shared" ref="G387:G450" si="25">(E387-F387)</f>
        <v>30</v>
      </c>
      <c r="H387" s="4" t="str">
        <v>delayed</v>
      </c>
      <c r="I387" s="4">
        <f t="shared" si="23"/>
        <v>0</v>
      </c>
      <c r="J387" t="s">
        <v>647</v>
      </c>
      <c r="K387" t="s">
        <v>654</v>
      </c>
      <c r="L387" t="s">
        <v>680</v>
      </c>
      <c r="M387" t="s">
        <v>703</v>
      </c>
      <c r="N387" t="s">
        <v>709</v>
      </c>
      <c r="O387" t="s">
        <v>722</v>
      </c>
      <c r="P387" t="s">
        <v>731</v>
      </c>
      <c r="Q387" t="str" cm="1">
        <f t="array" ref="Q387">_xlfn.IFS(U387&lt;=_xlfn.QUARTILE.INC($U$2:$U1018,1),"Low",B387&lt;=_xlfn.QUARTILE.INC($U$2:$U$633,2),"Medium",TRUE,"High")</f>
        <v>High</v>
      </c>
      <c r="R387" t="s">
        <v>1118</v>
      </c>
      <c r="S387" s="4">
        <v>1161.2</v>
      </c>
      <c r="T387">
        <v>878.73</v>
      </c>
      <c r="U387">
        <v>878.73</v>
      </c>
      <c r="V387" s="7">
        <v>0.19</v>
      </c>
      <c r="W387" s="7">
        <v>0.19</v>
      </c>
      <c r="X387" s="7" t="str">
        <f t="shared" ref="X387:X450" si="26">IF(V387&gt;0.2, "High discount","okay")</f>
        <v>okay</v>
      </c>
      <c r="Y387" s="9">
        <v>31</v>
      </c>
      <c r="Z387">
        <v>22064.910300000003</v>
      </c>
      <c r="AA387">
        <v>35997.200000000004</v>
      </c>
      <c r="AB387">
        <v>-13932.289700000001</v>
      </c>
      <c r="AC387">
        <v>-0.63142290227212028</v>
      </c>
    </row>
    <row r="388" spans="1:29" x14ac:dyDescent="0.3">
      <c r="A388" t="s">
        <v>400</v>
      </c>
      <c r="B388" s="3">
        <v>45789</v>
      </c>
      <c r="C388" s="3" t="str">
        <v>May-2025</v>
      </c>
      <c r="D388" s="11" t="str">
        <f t="shared" si="24"/>
        <v>Q2-2025</v>
      </c>
      <c r="E388" s="3">
        <v>45803</v>
      </c>
      <c r="F388" s="3">
        <v>45789</v>
      </c>
      <c r="G388" s="4">
        <f t="shared" si="25"/>
        <v>14</v>
      </c>
      <c r="H388" s="4" t="str">
        <v>delayed</v>
      </c>
      <c r="I388" s="4">
        <f t="shared" si="23"/>
        <v>0</v>
      </c>
      <c r="J388" t="s">
        <v>647</v>
      </c>
      <c r="K388" t="s">
        <v>654</v>
      </c>
      <c r="L388" t="s">
        <v>696</v>
      </c>
      <c r="M388" t="s">
        <v>701</v>
      </c>
      <c r="N388" t="s">
        <v>709</v>
      </c>
      <c r="O388" t="s">
        <v>715</v>
      </c>
      <c r="P388" t="s">
        <v>728</v>
      </c>
      <c r="Q388" t="str" cm="1">
        <f t="array" ref="Q388">_xlfn.IFS(U388&lt;=_xlfn.QUARTILE.INC($U$2:$U1019,1),"Low",B388&lt;=_xlfn.QUARTILE.INC($U$2:$U$633,2),"Medium",TRUE,"High")</f>
        <v>Low</v>
      </c>
      <c r="R388" t="s">
        <v>1119</v>
      </c>
      <c r="S388" s="4">
        <v>320.12</v>
      </c>
      <c r="T388">
        <v>594.41999999999996</v>
      </c>
      <c r="U388">
        <v>594.41999999999996</v>
      </c>
      <c r="V388" s="7">
        <v>0.104</v>
      </c>
      <c r="W388" s="7">
        <v>0.104</v>
      </c>
      <c r="X388" s="7" t="str">
        <f t="shared" si="26"/>
        <v>okay</v>
      </c>
      <c r="Y388" s="9">
        <v>18</v>
      </c>
      <c r="Z388">
        <v>9586.8057599999993</v>
      </c>
      <c r="AA388">
        <v>5762.16</v>
      </c>
      <c r="AB388">
        <v>3824.6457599999994</v>
      </c>
      <c r="AC388">
        <v>0.39894891538931104</v>
      </c>
    </row>
    <row r="389" spans="1:29" x14ac:dyDescent="0.3">
      <c r="A389" t="s">
        <v>401</v>
      </c>
      <c r="B389" s="3">
        <v>45419</v>
      </c>
      <c r="C389" s="3" t="str">
        <v>May-2024</v>
      </c>
      <c r="D389" s="11" t="str">
        <f t="shared" si="24"/>
        <v>Q2-2024</v>
      </c>
      <c r="E389" s="3">
        <v>45424</v>
      </c>
      <c r="F389" s="3">
        <v>45419</v>
      </c>
      <c r="G389" s="4">
        <f t="shared" si="25"/>
        <v>5</v>
      </c>
      <c r="H389" s="4" t="str">
        <v>ontime</v>
      </c>
      <c r="I389" s="4">
        <f t="shared" si="23"/>
        <v>1</v>
      </c>
      <c r="J389" t="s">
        <v>646</v>
      </c>
      <c r="K389" t="s">
        <v>651</v>
      </c>
      <c r="L389" t="s">
        <v>669</v>
      </c>
      <c r="M389" t="s">
        <v>703</v>
      </c>
      <c r="N389" t="s">
        <v>710</v>
      </c>
      <c r="O389" t="s">
        <v>716</v>
      </c>
      <c r="P389" t="s">
        <v>731</v>
      </c>
      <c r="Q389" t="str" cm="1">
        <f t="array" ref="Q389">_xlfn.IFS(U389&lt;=_xlfn.QUARTILE.INC($U$2:$U1020,1),"Low",B389&lt;=_xlfn.QUARTILE.INC($U$2:$U$633,2),"Medium",TRUE,"High")</f>
        <v>High</v>
      </c>
      <c r="R389" t="s">
        <v>1120</v>
      </c>
      <c r="S389" s="4">
        <v>1163.99</v>
      </c>
      <c r="T389">
        <v>1617.85</v>
      </c>
      <c r="U389">
        <v>1617.85</v>
      </c>
      <c r="V389" s="7">
        <v>0.127</v>
      </c>
      <c r="W389" s="7">
        <v>0.127</v>
      </c>
      <c r="X389" s="7" t="str">
        <f t="shared" si="26"/>
        <v>okay</v>
      </c>
      <c r="Y389" s="9">
        <v>14</v>
      </c>
      <c r="Z389">
        <v>19773.362699999998</v>
      </c>
      <c r="AA389">
        <v>16295.86</v>
      </c>
      <c r="AB389">
        <v>3477.5026999999973</v>
      </c>
      <c r="AC389">
        <v>0.17586804797749436</v>
      </c>
    </row>
    <row r="390" spans="1:29" x14ac:dyDescent="0.3">
      <c r="A390" t="s">
        <v>402</v>
      </c>
      <c r="B390" s="3">
        <v>45199</v>
      </c>
      <c r="C390" s="3" t="str">
        <v>Sep-2023</v>
      </c>
      <c r="D390" s="11" t="str">
        <f t="shared" si="24"/>
        <v>Q3-2023</v>
      </c>
      <c r="E390" s="3">
        <v>45202</v>
      </c>
      <c r="F390" s="3">
        <v>45199</v>
      </c>
      <c r="G390" s="4">
        <f t="shared" si="25"/>
        <v>3</v>
      </c>
      <c r="H390" s="4" t="str">
        <v>ontime</v>
      </c>
      <c r="I390" s="4">
        <f t="shared" si="23"/>
        <v>1</v>
      </c>
      <c r="J390" t="s">
        <v>647</v>
      </c>
      <c r="K390" t="s">
        <v>659</v>
      </c>
      <c r="L390" t="s">
        <v>699</v>
      </c>
      <c r="M390" t="s">
        <v>703</v>
      </c>
      <c r="N390" t="s">
        <v>707</v>
      </c>
      <c r="O390" t="s">
        <v>713</v>
      </c>
      <c r="P390" t="s">
        <v>731</v>
      </c>
      <c r="Q390" t="str" cm="1">
        <f t="array" ref="Q390">_xlfn.IFS(U390&lt;=_xlfn.QUARTILE.INC($U$2:$U1021,1),"Low",B390&lt;=_xlfn.QUARTILE.INC($U$2:$U$633,2),"Medium",TRUE,"High")</f>
        <v>High</v>
      </c>
      <c r="R390" t="s">
        <v>1121</v>
      </c>
      <c r="S390" s="4">
        <v>1019.36</v>
      </c>
      <c r="T390">
        <v>972.91</v>
      </c>
      <c r="U390">
        <v>972.91</v>
      </c>
      <c r="V390" s="7">
        <v>0.14699999999999999</v>
      </c>
      <c r="W390" s="7">
        <v>0.14699999999999999</v>
      </c>
      <c r="X390" s="7" t="str">
        <f t="shared" si="26"/>
        <v>okay</v>
      </c>
      <c r="Y390" s="9">
        <v>17</v>
      </c>
      <c r="Z390">
        <v>14108.16791</v>
      </c>
      <c r="AA390">
        <v>17329.12</v>
      </c>
      <c r="AB390">
        <v>-3220.9520899999989</v>
      </c>
      <c r="AC390">
        <v>-0.22830406545678819</v>
      </c>
    </row>
    <row r="391" spans="1:29" x14ac:dyDescent="0.3">
      <c r="A391" t="s">
        <v>403</v>
      </c>
      <c r="B391" s="3">
        <v>45225</v>
      </c>
      <c r="C391" s="3" t="str">
        <v>Oct-2023</v>
      </c>
      <c r="D391" s="11" t="str">
        <f t="shared" si="24"/>
        <v>Q4-2023</v>
      </c>
      <c r="E391" s="3">
        <v>45235</v>
      </c>
      <c r="F391" s="3">
        <v>45225</v>
      </c>
      <c r="G391" s="4">
        <f t="shared" si="25"/>
        <v>10</v>
      </c>
      <c r="H391" s="4" t="str">
        <v>delayed</v>
      </c>
      <c r="I391" s="4">
        <f t="shared" si="23"/>
        <v>0</v>
      </c>
      <c r="J391" t="s">
        <v>646</v>
      </c>
      <c r="K391" t="s">
        <v>661</v>
      </c>
      <c r="L391" t="s">
        <v>695</v>
      </c>
      <c r="M391" t="s">
        <v>703</v>
      </c>
      <c r="N391" t="s">
        <v>708</v>
      </c>
      <c r="O391" t="s">
        <v>714</v>
      </c>
      <c r="P391" t="s">
        <v>731</v>
      </c>
      <c r="Q391" t="str" cm="1">
        <f t="array" ref="Q391">_xlfn.IFS(U391&lt;=_xlfn.QUARTILE.INC($U$2:$U1022,1),"Low",B391&lt;=_xlfn.QUARTILE.INC($U$2:$U$633,2),"Medium",TRUE,"High")</f>
        <v>Low</v>
      </c>
      <c r="R391" t="s">
        <v>1122</v>
      </c>
      <c r="S391" s="4">
        <v>20.38</v>
      </c>
      <c r="T391">
        <v>42.56</v>
      </c>
      <c r="U391">
        <v>42.56</v>
      </c>
      <c r="V391" s="7">
        <v>7.1999999999999995E-2</v>
      </c>
      <c r="W391" s="7">
        <v>7.1999999999999995E-2</v>
      </c>
      <c r="X391" s="7" t="str">
        <f t="shared" si="26"/>
        <v>okay</v>
      </c>
      <c r="Y391" s="9">
        <v>11</v>
      </c>
      <c r="Z391">
        <v>434.45248000000004</v>
      </c>
      <c r="AA391">
        <v>224.17999999999998</v>
      </c>
      <c r="AB391">
        <v>210.27248000000006</v>
      </c>
      <c r="AC391">
        <v>0.48399419885921713</v>
      </c>
    </row>
    <row r="392" spans="1:29" x14ac:dyDescent="0.3">
      <c r="A392" t="s">
        <v>404</v>
      </c>
      <c r="B392" s="3">
        <v>45823</v>
      </c>
      <c r="C392" s="3" t="str">
        <v>Jun-2025</v>
      </c>
      <c r="D392" s="11" t="str">
        <f t="shared" si="24"/>
        <v>Q2-2025</v>
      </c>
      <c r="E392" s="3">
        <v>45838</v>
      </c>
      <c r="F392" s="3">
        <v>45823</v>
      </c>
      <c r="G392" s="4">
        <f t="shared" si="25"/>
        <v>15</v>
      </c>
      <c r="H392" s="4" t="str">
        <v>delayed</v>
      </c>
      <c r="I392" s="4">
        <f t="shared" ref="I392:I455" si="27">IF(G392&lt;=7,1,0)</f>
        <v>0</v>
      </c>
      <c r="J392" t="s">
        <v>646</v>
      </c>
      <c r="K392" t="s">
        <v>661</v>
      </c>
      <c r="L392" t="s">
        <v>682</v>
      </c>
      <c r="M392" t="s">
        <v>705</v>
      </c>
      <c r="N392" t="s">
        <v>711</v>
      </c>
      <c r="O392" t="s">
        <v>712</v>
      </c>
      <c r="P392" t="s">
        <v>732</v>
      </c>
      <c r="Q392" t="str" cm="1">
        <f t="array" ref="Q392">_xlfn.IFS(U392&lt;=_xlfn.QUARTILE.INC($U$2:$U1023,1),"Low",B392&lt;=_xlfn.QUARTILE.INC($U$2:$U$633,2),"Medium",TRUE,"High")</f>
        <v>High</v>
      </c>
      <c r="R392" t="s">
        <v>1123</v>
      </c>
      <c r="S392" s="4">
        <v>1487.59</v>
      </c>
      <c r="T392">
        <v>1480.83</v>
      </c>
      <c r="U392">
        <v>1480.83</v>
      </c>
      <c r="V392" s="7">
        <v>8.9999999999999993E-3</v>
      </c>
      <c r="W392" s="7">
        <v>8.9999999999999993E-3</v>
      </c>
      <c r="X392" s="7" t="str">
        <f t="shared" si="26"/>
        <v>okay</v>
      </c>
      <c r="Y392" s="9">
        <v>11</v>
      </c>
      <c r="Z392">
        <v>16142.527829999999</v>
      </c>
      <c r="AA392">
        <v>16363.49</v>
      </c>
      <c r="AB392">
        <v>-220.9621700000007</v>
      </c>
      <c r="AC392">
        <v>-1.3688201273492908E-2</v>
      </c>
    </row>
    <row r="393" spans="1:29" x14ac:dyDescent="0.3">
      <c r="A393" t="s">
        <v>405</v>
      </c>
      <c r="B393" s="3">
        <v>45514</v>
      </c>
      <c r="C393" s="3" t="str">
        <v>Aug-2024</v>
      </c>
      <c r="D393" s="11" t="str">
        <f t="shared" si="24"/>
        <v>Q3-2024</v>
      </c>
      <c r="E393" s="3">
        <v>45542</v>
      </c>
      <c r="F393" s="3">
        <v>45514</v>
      </c>
      <c r="G393" s="4">
        <f t="shared" si="25"/>
        <v>28</v>
      </c>
      <c r="H393" s="4" t="str">
        <v>delayed</v>
      </c>
      <c r="I393" s="4">
        <f t="shared" si="27"/>
        <v>0</v>
      </c>
      <c r="J393" t="s">
        <v>649</v>
      </c>
      <c r="K393" t="s">
        <v>657</v>
      </c>
      <c r="L393" t="s">
        <v>673</v>
      </c>
      <c r="M393" t="s">
        <v>703</v>
      </c>
      <c r="N393" t="s">
        <v>711</v>
      </c>
      <c r="O393" t="s">
        <v>721</v>
      </c>
      <c r="P393" t="s">
        <v>728</v>
      </c>
      <c r="Q393" t="str" cm="1">
        <f t="array" ref="Q393">_xlfn.IFS(U393&lt;=_xlfn.QUARTILE.INC($U$2:$U1024,1),"Low",B393&lt;=_xlfn.QUARTILE.INC($U$2:$U$633,2),"Medium",TRUE,"High")</f>
        <v>Low</v>
      </c>
      <c r="R393" t="s">
        <v>1124</v>
      </c>
      <c r="S393" s="4">
        <v>229.96</v>
      </c>
      <c r="T393">
        <v>564.26</v>
      </c>
      <c r="U393">
        <v>564.26</v>
      </c>
      <c r="V393" s="7">
        <v>0.105</v>
      </c>
      <c r="W393" s="7">
        <v>0.105</v>
      </c>
      <c r="X393" s="7" t="str">
        <f t="shared" si="26"/>
        <v>okay</v>
      </c>
      <c r="Y393" s="9">
        <v>5</v>
      </c>
      <c r="Z393">
        <v>2525.0635000000002</v>
      </c>
      <c r="AA393">
        <v>1149.8</v>
      </c>
      <c r="AB393">
        <v>1375.2635000000002</v>
      </c>
      <c r="AC393">
        <v>0.54464511486542821</v>
      </c>
    </row>
    <row r="394" spans="1:29" x14ac:dyDescent="0.3">
      <c r="A394" t="s">
        <v>406</v>
      </c>
      <c r="B394" s="3">
        <v>45208</v>
      </c>
      <c r="C394" s="3" t="str">
        <v>Oct-2023</v>
      </c>
      <c r="D394" s="11" t="str">
        <f t="shared" si="24"/>
        <v>Q4-2023</v>
      </c>
      <c r="E394" s="3">
        <v>45225</v>
      </c>
      <c r="F394" s="3">
        <v>45208</v>
      </c>
      <c r="G394" s="4">
        <f t="shared" si="25"/>
        <v>17</v>
      </c>
      <c r="H394" s="4" t="str">
        <v>delayed</v>
      </c>
      <c r="I394" s="4">
        <f t="shared" si="27"/>
        <v>0</v>
      </c>
      <c r="J394" t="s">
        <v>647</v>
      </c>
      <c r="K394" t="s">
        <v>659</v>
      </c>
      <c r="L394" t="s">
        <v>685</v>
      </c>
      <c r="M394" t="s">
        <v>704</v>
      </c>
      <c r="N394" t="s">
        <v>709</v>
      </c>
      <c r="O394" t="s">
        <v>712</v>
      </c>
      <c r="P394" t="s">
        <v>727</v>
      </c>
      <c r="Q394" t="str" cm="1">
        <f t="array" ref="Q394">_xlfn.IFS(U394&lt;=_xlfn.QUARTILE.INC($U$2:$U1025,1),"Low",B394&lt;=_xlfn.QUARTILE.INC($U$2:$U$633,2),"Medium",TRUE,"High")</f>
        <v>High</v>
      </c>
      <c r="R394" t="s">
        <v>1125</v>
      </c>
      <c r="S394" s="4">
        <v>1132.03</v>
      </c>
      <c r="T394">
        <v>2137.21</v>
      </c>
      <c r="U394">
        <v>2137.21</v>
      </c>
      <c r="V394" s="7">
        <v>0.35699999999999998</v>
      </c>
      <c r="W394" s="7">
        <v>0.35699999999999998</v>
      </c>
      <c r="X394" s="7" t="str">
        <f t="shared" si="26"/>
        <v>High discount</v>
      </c>
      <c r="Y394" s="9">
        <v>35</v>
      </c>
      <c r="Z394">
        <v>48097.911050000002</v>
      </c>
      <c r="AA394">
        <v>39621.049999999996</v>
      </c>
      <c r="AB394">
        <v>8476.8610500000068</v>
      </c>
      <c r="AC394">
        <v>0.17624177152284051</v>
      </c>
    </row>
    <row r="395" spans="1:29" x14ac:dyDescent="0.3">
      <c r="A395" t="s">
        <v>407</v>
      </c>
      <c r="B395" s="3">
        <v>45360</v>
      </c>
      <c r="C395" s="3" t="str">
        <v>Mar-2024</v>
      </c>
      <c r="D395" s="11" t="str">
        <f t="shared" si="24"/>
        <v>Q1-2024</v>
      </c>
      <c r="E395" s="3">
        <v>45377</v>
      </c>
      <c r="F395" s="3">
        <v>45360</v>
      </c>
      <c r="G395" s="4">
        <f t="shared" si="25"/>
        <v>17</v>
      </c>
      <c r="H395" s="4" t="str">
        <v>delayed</v>
      </c>
      <c r="I395" s="4">
        <f t="shared" si="27"/>
        <v>0</v>
      </c>
      <c r="J395" t="s">
        <v>648</v>
      </c>
      <c r="K395" t="s">
        <v>660</v>
      </c>
      <c r="L395" t="s">
        <v>686</v>
      </c>
      <c r="M395" t="s">
        <v>702</v>
      </c>
      <c r="N395" t="s">
        <v>711</v>
      </c>
      <c r="O395" t="s">
        <v>714</v>
      </c>
      <c r="P395" t="s">
        <v>730</v>
      </c>
      <c r="Q395" t="str" cm="1">
        <f t="array" ref="Q395">_xlfn.IFS(U395&lt;=_xlfn.QUARTILE.INC($U$2:$U1026,1),"Low",B395&lt;=_xlfn.QUARTILE.INC($U$2:$U$633,2),"Medium",TRUE,"High")</f>
        <v>High</v>
      </c>
      <c r="R395" t="s">
        <v>1126</v>
      </c>
      <c r="S395" s="4">
        <v>1137.4100000000001</v>
      </c>
      <c r="T395">
        <v>1680.93</v>
      </c>
      <c r="U395">
        <v>1680.93</v>
      </c>
      <c r="V395" s="7">
        <v>0.254</v>
      </c>
      <c r="W395" s="7">
        <v>0.254</v>
      </c>
      <c r="X395" s="7" t="str">
        <f t="shared" si="26"/>
        <v>High discount</v>
      </c>
      <c r="Y395" s="9">
        <v>9</v>
      </c>
      <c r="Z395">
        <v>11285.764020000001</v>
      </c>
      <c r="AA395">
        <v>10236.69</v>
      </c>
      <c r="AB395">
        <v>1049.07402</v>
      </c>
      <c r="AC395">
        <v>9.2955516183121464E-2</v>
      </c>
    </row>
    <row r="396" spans="1:29" x14ac:dyDescent="0.3">
      <c r="A396" t="s">
        <v>408</v>
      </c>
      <c r="B396" s="3">
        <v>45075</v>
      </c>
      <c r="C396" s="3" t="str">
        <v>May-2023</v>
      </c>
      <c r="D396" s="11" t="str">
        <f t="shared" si="24"/>
        <v>Q2-2023</v>
      </c>
      <c r="E396" s="3">
        <v>45097</v>
      </c>
      <c r="F396" s="3">
        <v>45075</v>
      </c>
      <c r="G396" s="4">
        <f t="shared" si="25"/>
        <v>22</v>
      </c>
      <c r="H396" s="4" t="str">
        <v>delayed</v>
      </c>
      <c r="I396" s="4">
        <f t="shared" si="27"/>
        <v>0</v>
      </c>
      <c r="J396" t="s">
        <v>649</v>
      </c>
      <c r="K396" t="s">
        <v>658</v>
      </c>
      <c r="L396" t="s">
        <v>683</v>
      </c>
      <c r="M396" t="s">
        <v>705</v>
      </c>
      <c r="N396" t="s">
        <v>711</v>
      </c>
      <c r="O396" t="s">
        <v>723</v>
      </c>
      <c r="P396" t="s">
        <v>727</v>
      </c>
      <c r="Q396" t="str" cm="1">
        <f t="array" ref="Q396">_xlfn.IFS(U396&lt;=_xlfn.QUARTILE.INC($U$2:$U1027,1),"Low",B396&lt;=_xlfn.QUARTILE.INC($U$2:$U$633,2),"Medium",TRUE,"High")</f>
        <v>High</v>
      </c>
      <c r="R396" t="s">
        <v>1127</v>
      </c>
      <c r="S396" s="4">
        <v>1295.3900000000001</v>
      </c>
      <c r="T396">
        <v>2905.06</v>
      </c>
      <c r="U396">
        <v>2905.06</v>
      </c>
      <c r="V396" s="7">
        <v>0.14799999999999999</v>
      </c>
      <c r="W396" s="7">
        <v>0.14799999999999999</v>
      </c>
      <c r="X396" s="7" t="str">
        <f t="shared" si="26"/>
        <v>okay</v>
      </c>
      <c r="Y396" s="9">
        <v>8</v>
      </c>
      <c r="Z396">
        <v>19800.88896</v>
      </c>
      <c r="AA396">
        <v>10363.120000000001</v>
      </c>
      <c r="AB396">
        <v>9437.7689599999994</v>
      </c>
      <c r="AC396">
        <v>0.47663359857556614</v>
      </c>
    </row>
    <row r="397" spans="1:29" x14ac:dyDescent="0.3">
      <c r="A397" t="s">
        <v>409</v>
      </c>
      <c r="B397" s="3">
        <v>45804</v>
      </c>
      <c r="C397" s="3" t="str">
        <v>May-2025</v>
      </c>
      <c r="D397" s="11" t="str">
        <f t="shared" si="24"/>
        <v>Q2-2025</v>
      </c>
      <c r="E397" s="3">
        <v>45816</v>
      </c>
      <c r="F397" s="3">
        <v>45804</v>
      </c>
      <c r="G397" s="4">
        <f t="shared" si="25"/>
        <v>12</v>
      </c>
      <c r="H397" s="4" t="str">
        <v>delayed</v>
      </c>
      <c r="I397" s="4">
        <f t="shared" si="27"/>
        <v>0</v>
      </c>
      <c r="J397" t="s">
        <v>647</v>
      </c>
      <c r="K397" t="s">
        <v>652</v>
      </c>
      <c r="L397" t="s">
        <v>666</v>
      </c>
      <c r="M397" t="s">
        <v>701</v>
      </c>
      <c r="N397" t="s">
        <v>707</v>
      </c>
      <c r="O397" t="s">
        <v>722</v>
      </c>
      <c r="P397" t="s">
        <v>733</v>
      </c>
      <c r="Q397" t="str" cm="1">
        <f t="array" ref="Q397">_xlfn.IFS(U397&lt;=_xlfn.QUARTILE.INC($U$2:$U1028,1),"Low",B397&lt;=_xlfn.QUARTILE.INC($U$2:$U$633,2),"Medium",TRUE,"High")</f>
        <v>High</v>
      </c>
      <c r="R397" t="s">
        <v>1128</v>
      </c>
      <c r="S397" s="4">
        <v>653.6</v>
      </c>
      <c r="T397">
        <v>842.09</v>
      </c>
      <c r="U397">
        <v>842.09</v>
      </c>
      <c r="V397" s="7">
        <v>9.8000000000000004E-2</v>
      </c>
      <c r="W397" s="7">
        <v>9.8000000000000004E-2</v>
      </c>
      <c r="X397" s="7" t="str">
        <f t="shared" si="26"/>
        <v>okay</v>
      </c>
      <c r="Y397" s="9">
        <v>19</v>
      </c>
      <c r="Z397">
        <v>14431.738420000001</v>
      </c>
      <c r="AA397">
        <v>12418.4</v>
      </c>
      <c r="AB397">
        <v>2013.3384200000019</v>
      </c>
      <c r="AC397">
        <v>0.13950768517324622</v>
      </c>
    </row>
    <row r="398" spans="1:29" x14ac:dyDescent="0.3">
      <c r="A398" t="s">
        <v>410</v>
      </c>
      <c r="B398" s="3">
        <v>45890</v>
      </c>
      <c r="C398" s="3" t="str">
        <v>Aug-2025</v>
      </c>
      <c r="D398" s="11" t="str">
        <f t="shared" si="24"/>
        <v>Q3-2025</v>
      </c>
      <c r="E398" s="3">
        <v>45914</v>
      </c>
      <c r="F398" s="3">
        <v>45890</v>
      </c>
      <c r="G398" s="4">
        <f t="shared" si="25"/>
        <v>24</v>
      </c>
      <c r="H398" s="4" t="str">
        <v>delayed</v>
      </c>
      <c r="I398" s="4">
        <f t="shared" si="27"/>
        <v>0</v>
      </c>
      <c r="J398" t="s">
        <v>649</v>
      </c>
      <c r="K398" t="s">
        <v>656</v>
      </c>
      <c r="L398" t="s">
        <v>671</v>
      </c>
      <c r="M398" t="s">
        <v>703</v>
      </c>
      <c r="N398" t="s">
        <v>708</v>
      </c>
      <c r="O398" t="s">
        <v>720</v>
      </c>
      <c r="P398" t="s">
        <v>732</v>
      </c>
      <c r="Q398" t="str" cm="1">
        <f t="array" ref="Q398">_xlfn.IFS(U398&lt;=_xlfn.QUARTILE.INC($U$2:$U1029,1),"Low",B398&lt;=_xlfn.QUARTILE.INC($U$2:$U$633,2),"Medium",TRUE,"High")</f>
        <v>High</v>
      </c>
      <c r="R398" t="s">
        <v>1129</v>
      </c>
      <c r="S398" s="4">
        <v>1397.67</v>
      </c>
      <c r="T398">
        <v>3131.37</v>
      </c>
      <c r="U398">
        <v>3131.37</v>
      </c>
      <c r="V398" s="7">
        <v>0.10299999999999999</v>
      </c>
      <c r="W398" s="7">
        <v>0.10299999999999999</v>
      </c>
      <c r="X398" s="7" t="str">
        <f t="shared" si="26"/>
        <v>okay</v>
      </c>
      <c r="Y398" s="9">
        <v>20</v>
      </c>
      <c r="Z398">
        <v>56176.777799999996</v>
      </c>
      <c r="AA398">
        <v>27953.4</v>
      </c>
      <c r="AB398">
        <v>28223.377799999995</v>
      </c>
      <c r="AC398">
        <v>0.50240293062874808</v>
      </c>
    </row>
    <row r="399" spans="1:29" x14ac:dyDescent="0.3">
      <c r="A399" t="s">
        <v>411</v>
      </c>
      <c r="B399" s="3">
        <v>45638</v>
      </c>
      <c r="C399" s="3" t="str">
        <v>Dec-2024</v>
      </c>
      <c r="D399" s="11" t="str">
        <f t="shared" si="24"/>
        <v>Q4-2024</v>
      </c>
      <c r="E399" s="3">
        <v>45646</v>
      </c>
      <c r="F399" s="3">
        <v>45638</v>
      </c>
      <c r="G399" s="4">
        <f t="shared" si="25"/>
        <v>8</v>
      </c>
      <c r="H399" s="4" t="str">
        <v>delayed</v>
      </c>
      <c r="I399" s="4">
        <f t="shared" si="27"/>
        <v>0</v>
      </c>
      <c r="J399" t="s">
        <v>647</v>
      </c>
      <c r="K399" t="s">
        <v>652</v>
      </c>
      <c r="L399" t="s">
        <v>689</v>
      </c>
      <c r="M399" t="s">
        <v>701</v>
      </c>
      <c r="N399" t="s">
        <v>707</v>
      </c>
      <c r="O399" t="s">
        <v>717</v>
      </c>
      <c r="P399" t="s">
        <v>731</v>
      </c>
      <c r="Q399" t="str" cm="1">
        <f t="array" ref="Q399">_xlfn.IFS(U399&lt;=_xlfn.QUARTILE.INC($U$2:$U1030,1),"Low",B399&lt;=_xlfn.QUARTILE.INC($U$2:$U$633,2),"Medium",TRUE,"High")</f>
        <v>High</v>
      </c>
      <c r="R399" t="s">
        <v>1130</v>
      </c>
      <c r="S399" s="4">
        <v>1202.47</v>
      </c>
      <c r="T399">
        <v>1444.72</v>
      </c>
      <c r="U399">
        <v>1444.72</v>
      </c>
      <c r="V399" s="7">
        <v>0.24099999999999999</v>
      </c>
      <c r="W399" s="7">
        <v>0.24099999999999999</v>
      </c>
      <c r="X399" s="7" t="str">
        <f t="shared" si="26"/>
        <v>High discount</v>
      </c>
      <c r="Y399" s="9">
        <v>17</v>
      </c>
      <c r="Z399">
        <v>18641.222160000001</v>
      </c>
      <c r="AA399">
        <v>20441.990000000002</v>
      </c>
      <c r="AB399">
        <v>-1800.7678400000004</v>
      </c>
      <c r="AC399">
        <v>-9.6601382921343834E-2</v>
      </c>
    </row>
    <row r="400" spans="1:29" x14ac:dyDescent="0.3">
      <c r="A400" t="s">
        <v>412</v>
      </c>
      <c r="B400" s="3">
        <v>45914</v>
      </c>
      <c r="C400" s="3" t="str">
        <v>Sep-2025</v>
      </c>
      <c r="D400" s="11" t="str">
        <f t="shared" si="24"/>
        <v>Q3-2025</v>
      </c>
      <c r="E400" s="3">
        <v>45923</v>
      </c>
      <c r="F400" s="3">
        <v>45914</v>
      </c>
      <c r="G400" s="4">
        <f t="shared" si="25"/>
        <v>9</v>
      </c>
      <c r="H400" s="4" t="str">
        <v>delayed</v>
      </c>
      <c r="I400" s="4">
        <f t="shared" si="27"/>
        <v>0</v>
      </c>
      <c r="J400" t="s">
        <v>646</v>
      </c>
      <c r="K400" t="s">
        <v>661</v>
      </c>
      <c r="L400" t="s">
        <v>687</v>
      </c>
      <c r="M400" t="s">
        <v>703</v>
      </c>
      <c r="N400" t="s">
        <v>708</v>
      </c>
      <c r="O400" t="s">
        <v>726</v>
      </c>
      <c r="P400" t="s">
        <v>727</v>
      </c>
      <c r="Q400" t="str" cm="1">
        <f t="array" ref="Q400">_xlfn.IFS(U400&lt;=_xlfn.QUARTILE.INC($U$2:$U1031,1),"Low",B400&lt;=_xlfn.QUARTILE.INC($U$2:$U$633,2),"Medium",TRUE,"High")</f>
        <v>High</v>
      </c>
      <c r="R400" t="s">
        <v>1131</v>
      </c>
      <c r="S400" s="4">
        <v>1310.3</v>
      </c>
      <c r="T400">
        <v>2875.8</v>
      </c>
      <c r="U400">
        <v>2875.8</v>
      </c>
      <c r="V400" s="7">
        <v>8.3000000000000004E-2</v>
      </c>
      <c r="W400" s="7">
        <v>8.3000000000000004E-2</v>
      </c>
      <c r="X400" s="7" t="str">
        <f t="shared" si="26"/>
        <v>okay</v>
      </c>
      <c r="Y400" s="9">
        <v>5</v>
      </c>
      <c r="Z400">
        <v>13185.543</v>
      </c>
      <c r="AA400">
        <v>6551.5</v>
      </c>
      <c r="AB400">
        <v>6634.0429999999997</v>
      </c>
      <c r="AC400">
        <v>0.50313005691157353</v>
      </c>
    </row>
    <row r="401" spans="1:29" x14ac:dyDescent="0.3">
      <c r="A401" t="s">
        <v>413</v>
      </c>
      <c r="B401" s="3">
        <v>45541</v>
      </c>
      <c r="C401" s="3" t="str">
        <v>Sep-2024</v>
      </c>
      <c r="D401" s="11" t="str">
        <f t="shared" si="24"/>
        <v>Q3-2024</v>
      </c>
      <c r="E401" s="3">
        <v>45569</v>
      </c>
      <c r="F401" s="3">
        <v>45541</v>
      </c>
      <c r="G401" s="4">
        <f t="shared" si="25"/>
        <v>28</v>
      </c>
      <c r="H401" s="4" t="str">
        <v>delayed</v>
      </c>
      <c r="I401" s="4">
        <f t="shared" si="27"/>
        <v>0</v>
      </c>
      <c r="J401" t="s">
        <v>646</v>
      </c>
      <c r="K401" t="s">
        <v>661</v>
      </c>
      <c r="L401" t="s">
        <v>695</v>
      </c>
      <c r="M401" t="s">
        <v>701</v>
      </c>
      <c r="N401" t="s">
        <v>709</v>
      </c>
      <c r="O401" t="s">
        <v>726</v>
      </c>
      <c r="P401" t="s">
        <v>732</v>
      </c>
      <c r="Q401" t="str" cm="1">
        <f t="array" ref="Q401">_xlfn.IFS(U401&lt;=_xlfn.QUARTILE.INC($U$2:$U1032,1),"Low",B401&lt;=_xlfn.QUARTILE.INC($U$2:$U$633,2),"Medium",TRUE,"High")</f>
        <v>High</v>
      </c>
      <c r="R401" t="s">
        <v>1132</v>
      </c>
      <c r="S401" s="4">
        <v>1174.17</v>
      </c>
      <c r="T401">
        <v>1641.61</v>
      </c>
      <c r="U401">
        <v>1641.61</v>
      </c>
      <c r="V401" s="7">
        <v>0.122</v>
      </c>
      <c r="W401" s="7">
        <v>0.122</v>
      </c>
      <c r="X401" s="7" t="str">
        <f t="shared" si="26"/>
        <v>okay</v>
      </c>
      <c r="Y401" s="9">
        <v>9</v>
      </c>
      <c r="Z401">
        <v>12972.00222</v>
      </c>
      <c r="AA401">
        <v>10567.53</v>
      </c>
      <c r="AB401">
        <v>2404.4722199999997</v>
      </c>
      <c r="AC401">
        <v>0.18535860380079394</v>
      </c>
    </row>
    <row r="402" spans="1:29" x14ac:dyDescent="0.3">
      <c r="A402" t="s">
        <v>414</v>
      </c>
      <c r="B402" s="3">
        <v>45759</v>
      </c>
      <c r="C402" s="3" t="str">
        <v>Apr-2025</v>
      </c>
      <c r="D402" s="11" t="str">
        <f t="shared" si="24"/>
        <v>Q2-2025</v>
      </c>
      <c r="E402" s="3">
        <v>45777</v>
      </c>
      <c r="F402" s="3">
        <v>45759</v>
      </c>
      <c r="G402" s="4">
        <f t="shared" si="25"/>
        <v>18</v>
      </c>
      <c r="H402" s="4" t="str">
        <v>delayed</v>
      </c>
      <c r="I402" s="4">
        <f t="shared" si="27"/>
        <v>0</v>
      </c>
      <c r="J402" t="s">
        <v>646</v>
      </c>
      <c r="K402" t="s">
        <v>650</v>
      </c>
      <c r="L402" t="s">
        <v>662</v>
      </c>
      <c r="M402" t="s">
        <v>701</v>
      </c>
      <c r="N402" t="s">
        <v>709</v>
      </c>
      <c r="O402" t="s">
        <v>721</v>
      </c>
      <c r="P402" t="s">
        <v>729</v>
      </c>
      <c r="Q402" t="str" cm="1">
        <f t="array" ref="Q402">_xlfn.IFS(U402&lt;=_xlfn.QUARTILE.INC($U$2:$U1033,1),"Low",B402&lt;=_xlfn.QUARTILE.INC($U$2:$U$633,2),"Medium",TRUE,"High")</f>
        <v>High</v>
      </c>
      <c r="R402" t="s">
        <v>1133</v>
      </c>
      <c r="S402" s="4">
        <v>1119.04</v>
      </c>
      <c r="T402">
        <v>1299.02</v>
      </c>
      <c r="U402">
        <v>1299.02</v>
      </c>
      <c r="V402" s="7">
        <v>2.5000000000000001E-2</v>
      </c>
      <c r="W402" s="7">
        <v>2.5000000000000001E-2</v>
      </c>
      <c r="X402" s="7" t="str">
        <f t="shared" si="26"/>
        <v>okay</v>
      </c>
      <c r="Y402" s="9">
        <v>14</v>
      </c>
      <c r="Z402">
        <v>17731.623</v>
      </c>
      <c r="AA402">
        <v>15666.56</v>
      </c>
      <c r="AB402">
        <v>2065.0630000000001</v>
      </c>
      <c r="AC402">
        <v>0.11646215352085933</v>
      </c>
    </row>
    <row r="403" spans="1:29" x14ac:dyDescent="0.3">
      <c r="A403" t="s">
        <v>415</v>
      </c>
      <c r="B403" s="3">
        <v>45516</v>
      </c>
      <c r="C403" s="3" t="str">
        <v>Aug-2024</v>
      </c>
      <c r="D403" s="11" t="str">
        <f t="shared" si="24"/>
        <v>Q3-2024</v>
      </c>
      <c r="E403" s="3">
        <v>45519</v>
      </c>
      <c r="F403" s="3">
        <v>45516</v>
      </c>
      <c r="G403" s="4">
        <f t="shared" si="25"/>
        <v>3</v>
      </c>
      <c r="H403" s="4" t="str">
        <v>ontime</v>
      </c>
      <c r="I403" s="4">
        <f t="shared" si="27"/>
        <v>1</v>
      </c>
      <c r="J403" t="s">
        <v>648</v>
      </c>
      <c r="K403" t="s">
        <v>660</v>
      </c>
      <c r="L403" t="s">
        <v>677</v>
      </c>
      <c r="M403" t="s">
        <v>701</v>
      </c>
      <c r="N403" t="s">
        <v>709</v>
      </c>
      <c r="O403" t="s">
        <v>726</v>
      </c>
      <c r="P403" t="s">
        <v>728</v>
      </c>
      <c r="Q403" t="str" cm="1">
        <f t="array" ref="Q403">_xlfn.IFS(U403&lt;=_xlfn.QUARTILE.INC($U$2:$U1034,1),"Low",B403&lt;=_xlfn.QUARTILE.INC($U$2:$U$633,2),"Medium",TRUE,"High")</f>
        <v>High</v>
      </c>
      <c r="R403" t="s">
        <v>1134</v>
      </c>
      <c r="S403" s="4">
        <v>850.7</v>
      </c>
      <c r="T403">
        <v>1118.56</v>
      </c>
      <c r="U403">
        <v>1118.56</v>
      </c>
      <c r="V403" s="7">
        <v>0.18</v>
      </c>
      <c r="W403" s="7">
        <v>0.18</v>
      </c>
      <c r="X403" s="7" t="str">
        <f t="shared" si="26"/>
        <v>okay</v>
      </c>
      <c r="Y403" s="9">
        <v>19</v>
      </c>
      <c r="Z403">
        <v>17427.164800000002</v>
      </c>
      <c r="AA403">
        <v>16163.300000000001</v>
      </c>
      <c r="AB403">
        <v>1263.8648000000012</v>
      </c>
      <c r="AC403">
        <v>7.2522685962090688E-2</v>
      </c>
    </row>
    <row r="404" spans="1:29" x14ac:dyDescent="0.3">
      <c r="A404" t="s">
        <v>416</v>
      </c>
      <c r="B404" s="3">
        <v>45601</v>
      </c>
      <c r="C404" s="3" t="str">
        <v>Nov-2024</v>
      </c>
      <c r="D404" s="11" t="str">
        <f t="shared" si="24"/>
        <v>Q4-2024</v>
      </c>
      <c r="E404" s="3">
        <v>45604</v>
      </c>
      <c r="F404" s="3">
        <v>45601</v>
      </c>
      <c r="G404" s="4">
        <f t="shared" si="25"/>
        <v>3</v>
      </c>
      <c r="H404" s="4" t="str">
        <v>ontime</v>
      </c>
      <c r="I404" s="4">
        <f t="shared" si="27"/>
        <v>1</v>
      </c>
      <c r="J404" t="s">
        <v>648</v>
      </c>
      <c r="K404" t="s">
        <v>653</v>
      </c>
      <c r="L404" t="s">
        <v>667</v>
      </c>
      <c r="M404" t="s">
        <v>702</v>
      </c>
      <c r="N404" t="s">
        <v>709</v>
      </c>
      <c r="O404" t="s">
        <v>719</v>
      </c>
      <c r="P404" t="s">
        <v>727</v>
      </c>
      <c r="Q404" t="str" cm="1">
        <f t="array" ref="Q404">_xlfn.IFS(U404&lt;=_xlfn.QUARTILE.INC($U$2:$U1035,1),"Low",B404&lt;=_xlfn.QUARTILE.INC($U$2:$U$633,2),"Medium",TRUE,"High")</f>
        <v>High</v>
      </c>
      <c r="R404" t="s">
        <v>1135</v>
      </c>
      <c r="S404" s="4">
        <v>1020.4</v>
      </c>
      <c r="T404">
        <v>1184.71</v>
      </c>
      <c r="U404">
        <v>1184.71</v>
      </c>
      <c r="V404" s="7">
        <v>0.106</v>
      </c>
      <c r="W404" s="7">
        <v>0.106</v>
      </c>
      <c r="X404" s="7" t="str">
        <f t="shared" si="26"/>
        <v>okay</v>
      </c>
      <c r="Y404" s="9">
        <v>16</v>
      </c>
      <c r="Z404">
        <v>16946.091840000001</v>
      </c>
      <c r="AA404">
        <v>16326.4</v>
      </c>
      <c r="AB404">
        <v>619.69184000000132</v>
      </c>
      <c r="AC404">
        <v>3.6568422138328345E-2</v>
      </c>
    </row>
    <row r="405" spans="1:29" x14ac:dyDescent="0.3">
      <c r="A405" t="s">
        <v>417</v>
      </c>
      <c r="B405" s="3">
        <v>45497</v>
      </c>
      <c r="C405" s="3" t="str">
        <v>Jul-2024</v>
      </c>
      <c r="D405" s="11" t="str">
        <f t="shared" si="24"/>
        <v>Q3-2024</v>
      </c>
      <c r="E405" s="3">
        <v>45512</v>
      </c>
      <c r="F405" s="3">
        <v>45497</v>
      </c>
      <c r="G405" s="4">
        <f t="shared" si="25"/>
        <v>15</v>
      </c>
      <c r="H405" s="4" t="str">
        <v>delayed</v>
      </c>
      <c r="I405" s="4">
        <f t="shared" si="27"/>
        <v>0</v>
      </c>
      <c r="J405" t="s">
        <v>649</v>
      </c>
      <c r="K405" t="s">
        <v>657</v>
      </c>
      <c r="L405" t="s">
        <v>673</v>
      </c>
      <c r="M405" t="s">
        <v>706</v>
      </c>
      <c r="N405" t="s">
        <v>709</v>
      </c>
      <c r="O405" t="s">
        <v>722</v>
      </c>
      <c r="P405" t="s">
        <v>731</v>
      </c>
      <c r="Q405" t="str" cm="1">
        <f t="array" ref="Q405">_xlfn.IFS(U405&lt;=_xlfn.QUARTILE.INC($U$2:$U1036,1),"Low",B405&lt;=_xlfn.QUARTILE.INC($U$2:$U$633,2),"Medium",TRUE,"High")</f>
        <v>High</v>
      </c>
      <c r="R405" t="s">
        <v>1136</v>
      </c>
      <c r="S405" s="4">
        <v>501.5</v>
      </c>
      <c r="T405">
        <v>1201.47</v>
      </c>
      <c r="U405">
        <v>1201.47</v>
      </c>
      <c r="V405" s="7">
        <v>0.126</v>
      </c>
      <c r="W405" s="7">
        <v>0.126</v>
      </c>
      <c r="X405" s="7" t="str">
        <f t="shared" si="26"/>
        <v>okay</v>
      </c>
      <c r="Y405" s="9">
        <v>5</v>
      </c>
      <c r="Z405">
        <v>5250.4239000000007</v>
      </c>
      <c r="AA405">
        <v>2507.5</v>
      </c>
      <c r="AB405">
        <v>2742.9239000000007</v>
      </c>
      <c r="AC405">
        <v>0.52241951359394057</v>
      </c>
    </row>
    <row r="406" spans="1:29" x14ac:dyDescent="0.3">
      <c r="A406" t="s">
        <v>418</v>
      </c>
      <c r="B406" s="3">
        <v>45677</v>
      </c>
      <c r="C406" s="3" t="str">
        <v>Jan-2025</v>
      </c>
      <c r="D406" s="11" t="str">
        <f t="shared" si="24"/>
        <v>Q1-2025</v>
      </c>
      <c r="E406" s="3">
        <v>45691</v>
      </c>
      <c r="F406" s="3">
        <v>45677</v>
      </c>
      <c r="G406" s="4">
        <f t="shared" si="25"/>
        <v>14</v>
      </c>
      <c r="H406" s="4" t="str">
        <v>delayed</v>
      </c>
      <c r="I406" s="4">
        <f t="shared" si="27"/>
        <v>0</v>
      </c>
      <c r="J406" t="s">
        <v>648</v>
      </c>
      <c r="K406" t="s">
        <v>655</v>
      </c>
      <c r="L406" t="s">
        <v>672</v>
      </c>
      <c r="M406" t="s">
        <v>706</v>
      </c>
      <c r="N406" t="s">
        <v>709</v>
      </c>
      <c r="O406" t="s">
        <v>721</v>
      </c>
      <c r="P406" t="s">
        <v>727</v>
      </c>
      <c r="Q406" t="str" cm="1">
        <f t="array" ref="Q406">_xlfn.IFS(U406&lt;=_xlfn.QUARTILE.INC($U$2:$U1037,1),"Low",B406&lt;=_xlfn.QUARTILE.INC($U$2:$U$633,2),"Medium",TRUE,"High")</f>
        <v>High</v>
      </c>
      <c r="R406" t="s">
        <v>1137</v>
      </c>
      <c r="S406" s="4">
        <v>974.11</v>
      </c>
      <c r="T406">
        <v>880.99</v>
      </c>
      <c r="U406">
        <v>880.99</v>
      </c>
      <c r="V406" s="7">
        <v>0.111</v>
      </c>
      <c r="W406" s="7">
        <v>0.111</v>
      </c>
      <c r="X406" s="7" t="str">
        <f t="shared" si="26"/>
        <v>okay</v>
      </c>
      <c r="Y406" s="9">
        <v>10</v>
      </c>
      <c r="Z406">
        <v>7832.0010999999995</v>
      </c>
      <c r="AA406">
        <v>9741.1</v>
      </c>
      <c r="AB406">
        <v>-1909.0989000000009</v>
      </c>
      <c r="AC406">
        <v>-0.2437562093805121</v>
      </c>
    </row>
    <row r="407" spans="1:29" x14ac:dyDescent="0.3">
      <c r="A407" t="s">
        <v>419</v>
      </c>
      <c r="B407" s="3">
        <v>44991</v>
      </c>
      <c r="C407" s="3" t="str">
        <v>Mar-2023</v>
      </c>
      <c r="D407" s="11" t="str">
        <f t="shared" si="24"/>
        <v>Q1-2023</v>
      </c>
      <c r="E407" s="3">
        <v>45020</v>
      </c>
      <c r="F407" s="3">
        <v>44991</v>
      </c>
      <c r="G407" s="4">
        <f t="shared" si="25"/>
        <v>29</v>
      </c>
      <c r="H407" s="4" t="str">
        <v>delayed</v>
      </c>
      <c r="I407" s="4">
        <f t="shared" si="27"/>
        <v>0</v>
      </c>
      <c r="J407" t="s">
        <v>647</v>
      </c>
      <c r="K407" t="s">
        <v>659</v>
      </c>
      <c r="L407" t="s">
        <v>699</v>
      </c>
      <c r="M407" t="s">
        <v>705</v>
      </c>
      <c r="N407" t="s">
        <v>711</v>
      </c>
      <c r="O407" t="s">
        <v>712</v>
      </c>
      <c r="P407" t="s">
        <v>732</v>
      </c>
      <c r="Q407" t="str" cm="1">
        <f t="array" ref="Q407">_xlfn.IFS(U407&lt;=_xlfn.QUARTILE.INC($U$2:$U1038,1),"Low",B407&lt;=_xlfn.QUARTILE.INC($U$2:$U$633,2),"Medium",TRUE,"High")</f>
        <v>High</v>
      </c>
      <c r="R407" t="s">
        <v>1138</v>
      </c>
      <c r="S407" s="4">
        <v>1126.29</v>
      </c>
      <c r="T407">
        <v>2050.87</v>
      </c>
      <c r="U407">
        <v>2050.87</v>
      </c>
      <c r="V407" s="7">
        <v>6.4000000000000001E-2</v>
      </c>
      <c r="W407" s="7">
        <v>6.4000000000000001E-2</v>
      </c>
      <c r="X407" s="7" t="str">
        <f t="shared" si="26"/>
        <v>okay</v>
      </c>
      <c r="Y407" s="9">
        <v>7</v>
      </c>
      <c r="Z407">
        <v>13437.300239999999</v>
      </c>
      <c r="AA407">
        <v>7884.03</v>
      </c>
      <c r="AB407">
        <v>5553.2702399999989</v>
      </c>
      <c r="AC407">
        <v>0.41327276616690373</v>
      </c>
    </row>
    <row r="408" spans="1:29" x14ac:dyDescent="0.3">
      <c r="A408" t="s">
        <v>420</v>
      </c>
      <c r="B408" s="3">
        <v>45646</v>
      </c>
      <c r="C408" s="3" t="str">
        <v>Dec-2024</v>
      </c>
      <c r="D408" s="11" t="str">
        <f t="shared" si="24"/>
        <v>Q4-2024</v>
      </c>
      <c r="E408" s="3">
        <v>45671</v>
      </c>
      <c r="F408" s="3">
        <v>45646</v>
      </c>
      <c r="G408" s="4">
        <f t="shared" si="25"/>
        <v>25</v>
      </c>
      <c r="H408" s="4" t="str">
        <v>delayed</v>
      </c>
      <c r="I408" s="4">
        <f t="shared" si="27"/>
        <v>0</v>
      </c>
      <c r="J408" t="s">
        <v>647</v>
      </c>
      <c r="K408" t="s">
        <v>654</v>
      </c>
      <c r="L408" t="s">
        <v>680</v>
      </c>
      <c r="M408" t="s">
        <v>705</v>
      </c>
      <c r="N408" t="s">
        <v>707</v>
      </c>
      <c r="O408" t="s">
        <v>724</v>
      </c>
      <c r="P408" t="s">
        <v>728</v>
      </c>
      <c r="Q408" t="str" cm="1">
        <f t="array" ref="Q408">_xlfn.IFS(U408&lt;=_xlfn.QUARTILE.INC($U$2:$U1039,1),"Low",B408&lt;=_xlfn.QUARTILE.INC($U$2:$U$633,2),"Medium",TRUE,"High")</f>
        <v>High</v>
      </c>
      <c r="R408" t="s">
        <v>1139</v>
      </c>
      <c r="S408" s="4">
        <v>1361.34</v>
      </c>
      <c r="T408">
        <v>1737.9</v>
      </c>
      <c r="U408">
        <v>1737.9</v>
      </c>
      <c r="V408" s="7">
        <v>7.6999999999999999E-2</v>
      </c>
      <c r="W408" s="7">
        <v>7.6999999999999999E-2</v>
      </c>
      <c r="X408" s="7" t="str">
        <f t="shared" si="26"/>
        <v>okay</v>
      </c>
      <c r="Y408" s="9">
        <v>14</v>
      </c>
      <c r="Z408">
        <v>22457.143800000002</v>
      </c>
      <c r="AA408">
        <v>19058.759999999998</v>
      </c>
      <c r="AB408">
        <v>3398.3838000000032</v>
      </c>
      <c r="AC408">
        <v>0.15132751654731813</v>
      </c>
    </row>
    <row r="409" spans="1:29" x14ac:dyDescent="0.3">
      <c r="A409" t="s">
        <v>421</v>
      </c>
      <c r="B409" s="3">
        <v>45709</v>
      </c>
      <c r="C409" s="3" t="str">
        <v>Feb-2025</v>
      </c>
      <c r="D409" s="11" t="str">
        <f t="shared" si="24"/>
        <v>Q1-2025</v>
      </c>
      <c r="E409" s="3">
        <v>45737</v>
      </c>
      <c r="F409" s="3">
        <v>45709</v>
      </c>
      <c r="G409" s="4">
        <f t="shared" si="25"/>
        <v>28</v>
      </c>
      <c r="H409" s="4" t="str">
        <v>delayed</v>
      </c>
      <c r="I409" s="4">
        <f t="shared" si="27"/>
        <v>0</v>
      </c>
      <c r="J409" t="s">
        <v>646</v>
      </c>
      <c r="K409" t="s">
        <v>651</v>
      </c>
      <c r="L409" t="s">
        <v>669</v>
      </c>
      <c r="M409" t="s">
        <v>706</v>
      </c>
      <c r="N409" t="s">
        <v>709</v>
      </c>
      <c r="O409" t="s">
        <v>714</v>
      </c>
      <c r="P409" t="s">
        <v>730</v>
      </c>
      <c r="Q409" t="str" cm="1">
        <f t="array" ref="Q409">_xlfn.IFS(U409&lt;=_xlfn.QUARTILE.INC($U$2:$U1040,1),"Low",B409&lt;=_xlfn.QUARTILE.INC($U$2:$U$633,2),"Medium",TRUE,"High")</f>
        <v>High</v>
      </c>
      <c r="R409" t="s">
        <v>1140</v>
      </c>
      <c r="S409" s="4">
        <v>1437.39</v>
      </c>
      <c r="T409">
        <v>1388.31</v>
      </c>
      <c r="U409">
        <v>1388.31</v>
      </c>
      <c r="V409" s="7">
        <v>0.13800000000000001</v>
      </c>
      <c r="W409" s="7">
        <v>0.13800000000000001</v>
      </c>
      <c r="X409" s="7" t="str">
        <f t="shared" si="26"/>
        <v>okay</v>
      </c>
      <c r="Y409" s="9">
        <v>18</v>
      </c>
      <c r="Z409">
        <v>21541.017959999997</v>
      </c>
      <c r="AA409">
        <v>25873.02</v>
      </c>
      <c r="AB409">
        <v>-4332.002040000003</v>
      </c>
      <c r="AC409">
        <v>-0.20110479681341872</v>
      </c>
    </row>
    <row r="410" spans="1:29" x14ac:dyDescent="0.3">
      <c r="A410" t="s">
        <v>422</v>
      </c>
      <c r="B410" s="3">
        <v>45724</v>
      </c>
      <c r="C410" s="3" t="str">
        <v>Mar-2025</v>
      </c>
      <c r="D410" s="11" t="str">
        <f t="shared" si="24"/>
        <v>Q1-2025</v>
      </c>
      <c r="E410" s="3">
        <v>45731</v>
      </c>
      <c r="F410" s="3">
        <v>45724</v>
      </c>
      <c r="G410" s="4">
        <f t="shared" si="25"/>
        <v>7</v>
      </c>
      <c r="H410" s="4" t="str">
        <v>ontime</v>
      </c>
      <c r="I410" s="4">
        <f t="shared" si="27"/>
        <v>1</v>
      </c>
      <c r="J410" t="s">
        <v>647</v>
      </c>
      <c r="K410" t="s">
        <v>654</v>
      </c>
      <c r="L410" t="s">
        <v>668</v>
      </c>
      <c r="M410" t="s">
        <v>701</v>
      </c>
      <c r="N410" t="s">
        <v>710</v>
      </c>
      <c r="O410" t="s">
        <v>723</v>
      </c>
      <c r="P410" t="s">
        <v>731</v>
      </c>
      <c r="Q410" t="str" cm="1">
        <f t="array" ref="Q410">_xlfn.IFS(U410&lt;=_xlfn.QUARTILE.INC($U$2:$U1041,1),"Low",B410&lt;=_xlfn.QUARTILE.INC($U$2:$U$633,2),"Medium",TRUE,"High")</f>
        <v>Low</v>
      </c>
      <c r="R410" t="s">
        <v>1141</v>
      </c>
      <c r="S410" s="4">
        <v>475.66</v>
      </c>
      <c r="T410">
        <v>529.14</v>
      </c>
      <c r="U410">
        <v>529.14</v>
      </c>
      <c r="V410" s="7">
        <v>0.19600000000000001</v>
      </c>
      <c r="W410" s="7">
        <v>0.19600000000000001</v>
      </c>
      <c r="X410" s="7" t="str">
        <f t="shared" si="26"/>
        <v>okay</v>
      </c>
      <c r="Y410" s="9">
        <v>11</v>
      </c>
      <c r="Z410">
        <v>4679.7141600000004</v>
      </c>
      <c r="AA410">
        <v>5232.26</v>
      </c>
      <c r="AB410">
        <v>-552.54583999999977</v>
      </c>
      <c r="AC410">
        <v>-0.11807256193613323</v>
      </c>
    </row>
    <row r="411" spans="1:29" x14ac:dyDescent="0.3">
      <c r="A411" t="s">
        <v>423</v>
      </c>
      <c r="B411" s="3">
        <v>45276</v>
      </c>
      <c r="C411" s="3" t="str">
        <v>Dec-2023</v>
      </c>
      <c r="D411" s="11" t="str">
        <f t="shared" si="24"/>
        <v>Q4-2023</v>
      </c>
      <c r="E411" s="3">
        <v>45279</v>
      </c>
      <c r="F411" s="3">
        <v>45276</v>
      </c>
      <c r="G411" s="4">
        <f t="shared" si="25"/>
        <v>3</v>
      </c>
      <c r="H411" s="4" t="str">
        <v>ontime</v>
      </c>
      <c r="I411" s="4">
        <f t="shared" si="27"/>
        <v>1</v>
      </c>
      <c r="J411" t="s">
        <v>647</v>
      </c>
      <c r="K411" t="s">
        <v>659</v>
      </c>
      <c r="L411" t="s">
        <v>699</v>
      </c>
      <c r="M411" t="s">
        <v>702</v>
      </c>
      <c r="N411" t="s">
        <v>707</v>
      </c>
      <c r="O411" t="s">
        <v>720</v>
      </c>
      <c r="P411" t="s">
        <v>733</v>
      </c>
      <c r="Q411" t="str" cm="1">
        <f t="array" ref="Q411">_xlfn.IFS(U411&lt;=_xlfn.QUARTILE.INC($U$2:$U1042,1),"Low",B411&lt;=_xlfn.QUARTILE.INC($U$2:$U$633,2),"Medium",TRUE,"High")</f>
        <v>High</v>
      </c>
      <c r="R411" t="s">
        <v>1142</v>
      </c>
      <c r="S411" s="4">
        <v>1415.05</v>
      </c>
      <c r="T411">
        <v>1972.38</v>
      </c>
      <c r="U411">
        <v>1972.38</v>
      </c>
      <c r="V411" s="7">
        <v>0</v>
      </c>
      <c r="W411" s="7">
        <v>0</v>
      </c>
      <c r="X411" s="7" t="str">
        <f t="shared" si="26"/>
        <v>okay</v>
      </c>
      <c r="Y411" s="9">
        <v>12</v>
      </c>
      <c r="Z411">
        <v>23668.560000000001</v>
      </c>
      <c r="AA411">
        <v>16980.599999999999</v>
      </c>
      <c r="AB411">
        <v>6687.9600000000028</v>
      </c>
      <c r="AC411">
        <v>0.28256725377462771</v>
      </c>
    </row>
    <row r="412" spans="1:29" x14ac:dyDescent="0.3">
      <c r="A412" t="s">
        <v>424</v>
      </c>
      <c r="B412" s="3">
        <v>45534</v>
      </c>
      <c r="C412" s="3" t="str">
        <v>Aug-2024</v>
      </c>
      <c r="D412" s="11" t="str">
        <f t="shared" si="24"/>
        <v>Q3-2024</v>
      </c>
      <c r="E412" s="3">
        <v>45540</v>
      </c>
      <c r="F412" s="3">
        <v>45534</v>
      </c>
      <c r="G412" s="4">
        <f t="shared" si="25"/>
        <v>6</v>
      </c>
      <c r="H412" s="4" t="str">
        <v>ontime</v>
      </c>
      <c r="I412" s="4">
        <f t="shared" si="27"/>
        <v>1</v>
      </c>
      <c r="J412" t="s">
        <v>647</v>
      </c>
      <c r="K412" t="s">
        <v>652</v>
      </c>
      <c r="L412" t="s">
        <v>694</v>
      </c>
      <c r="M412" t="s">
        <v>702</v>
      </c>
      <c r="N412" t="s">
        <v>708</v>
      </c>
      <c r="O412" t="s">
        <v>725</v>
      </c>
      <c r="P412" t="s">
        <v>731</v>
      </c>
      <c r="Q412" t="str" cm="1">
        <f t="array" ref="Q412">_xlfn.IFS(U412&lt;=_xlfn.QUARTILE.INC($U$2:$U1043,1),"Low",B412&lt;=_xlfn.QUARTILE.INC($U$2:$U$633,2),"Medium",TRUE,"High")</f>
        <v>High</v>
      </c>
      <c r="R412" t="s">
        <v>1143</v>
      </c>
      <c r="S412" s="4">
        <v>466.16</v>
      </c>
      <c r="T412">
        <v>876.81</v>
      </c>
      <c r="U412">
        <v>876.81</v>
      </c>
      <c r="V412" s="7">
        <v>0.24099999999999999</v>
      </c>
      <c r="W412" s="7">
        <v>0.24099999999999999</v>
      </c>
      <c r="X412" s="7" t="str">
        <f t="shared" si="26"/>
        <v>High discount</v>
      </c>
      <c r="Y412" s="9">
        <v>8</v>
      </c>
      <c r="Z412">
        <v>5323.9903199999999</v>
      </c>
      <c r="AA412">
        <v>3729.28</v>
      </c>
      <c r="AB412">
        <v>1594.7103199999997</v>
      </c>
      <c r="AC412">
        <v>0.29953291124691594</v>
      </c>
    </row>
    <row r="413" spans="1:29" x14ac:dyDescent="0.3">
      <c r="A413" t="s">
        <v>425</v>
      </c>
      <c r="B413" s="3">
        <v>45430</v>
      </c>
      <c r="C413" s="3" t="str">
        <v>May-2024</v>
      </c>
      <c r="D413" s="11" t="str">
        <f t="shared" si="24"/>
        <v>Q2-2024</v>
      </c>
      <c r="E413" s="3">
        <v>45433</v>
      </c>
      <c r="F413" s="3">
        <v>45430</v>
      </c>
      <c r="G413" s="4">
        <f t="shared" si="25"/>
        <v>3</v>
      </c>
      <c r="H413" s="4" t="str">
        <v>ontime</v>
      </c>
      <c r="I413" s="4">
        <f t="shared" si="27"/>
        <v>1</v>
      </c>
      <c r="J413" t="s">
        <v>649</v>
      </c>
      <c r="K413" t="s">
        <v>657</v>
      </c>
      <c r="L413" t="s">
        <v>673</v>
      </c>
      <c r="M413" t="s">
        <v>703</v>
      </c>
      <c r="N413" t="s">
        <v>709</v>
      </c>
      <c r="O413" t="s">
        <v>726</v>
      </c>
      <c r="P413" t="s">
        <v>728</v>
      </c>
      <c r="Q413" t="str" cm="1">
        <f t="array" ref="Q413">_xlfn.IFS(U413&lt;=_xlfn.QUARTILE.INC($U$2:$U1044,1),"Low",B413&lt;=_xlfn.QUARTILE.INC($U$2:$U$633,2),"Medium",TRUE,"High")</f>
        <v>High</v>
      </c>
      <c r="R413" t="s">
        <v>1144</v>
      </c>
      <c r="S413" s="4">
        <v>663.66</v>
      </c>
      <c r="T413">
        <v>824.26</v>
      </c>
      <c r="U413">
        <v>824.26</v>
      </c>
      <c r="V413" s="7">
        <v>0.23899999999999999</v>
      </c>
      <c r="W413" s="7">
        <v>0.23899999999999999</v>
      </c>
      <c r="X413" s="7" t="str">
        <f t="shared" si="26"/>
        <v>High discount</v>
      </c>
      <c r="Y413" s="9">
        <v>11</v>
      </c>
      <c r="Z413">
        <v>6899.8804600000003</v>
      </c>
      <c r="AA413">
        <v>7300.2599999999993</v>
      </c>
      <c r="AB413">
        <v>-400.379539999999</v>
      </c>
      <c r="AC413">
        <v>-5.8027025587048933E-2</v>
      </c>
    </row>
    <row r="414" spans="1:29" x14ac:dyDescent="0.3">
      <c r="A414" t="s">
        <v>426</v>
      </c>
      <c r="B414" s="3">
        <v>45002</v>
      </c>
      <c r="C414" s="3" t="str">
        <v>Mar-2023</v>
      </c>
      <c r="D414" s="11" t="str">
        <f t="shared" si="24"/>
        <v>Q1-2023</v>
      </c>
      <c r="E414" s="3">
        <v>45022</v>
      </c>
      <c r="F414" s="3">
        <v>45002</v>
      </c>
      <c r="G414" s="4">
        <f t="shared" si="25"/>
        <v>20</v>
      </c>
      <c r="H414" s="4" t="str">
        <v>delayed</v>
      </c>
      <c r="I414" s="4">
        <f t="shared" si="27"/>
        <v>0</v>
      </c>
      <c r="J414" t="s">
        <v>649</v>
      </c>
      <c r="K414" t="s">
        <v>656</v>
      </c>
      <c r="L414" t="s">
        <v>684</v>
      </c>
      <c r="M414" t="s">
        <v>704</v>
      </c>
      <c r="N414" t="s">
        <v>707</v>
      </c>
      <c r="O414" t="s">
        <v>719</v>
      </c>
      <c r="P414" t="s">
        <v>730</v>
      </c>
      <c r="Q414" t="str" cm="1">
        <f t="array" ref="Q414">_xlfn.IFS(U414&lt;=_xlfn.QUARTILE.INC($U$2:$U1045,1),"Low",B414&lt;=_xlfn.QUARTILE.INC($U$2:$U$633,2),"Medium",TRUE,"High")</f>
        <v>High</v>
      </c>
      <c r="R414" t="s">
        <v>1145</v>
      </c>
      <c r="S414" s="4">
        <v>692.18</v>
      </c>
      <c r="T414">
        <v>1159.3499999999999</v>
      </c>
      <c r="U414">
        <v>1159.3499999999999</v>
      </c>
      <c r="V414" s="7">
        <v>0.112</v>
      </c>
      <c r="W414" s="7">
        <v>0.112</v>
      </c>
      <c r="X414" s="7" t="str">
        <f t="shared" si="26"/>
        <v>okay</v>
      </c>
      <c r="Y414" s="9">
        <v>2</v>
      </c>
      <c r="Z414">
        <v>2059.0056</v>
      </c>
      <c r="AA414">
        <v>1384.36</v>
      </c>
      <c r="AB414">
        <v>674.64560000000006</v>
      </c>
      <c r="AC414">
        <v>0.32765602968734037</v>
      </c>
    </row>
    <row r="415" spans="1:29" x14ac:dyDescent="0.3">
      <c r="A415" t="s">
        <v>427</v>
      </c>
      <c r="B415" s="3">
        <v>45163</v>
      </c>
      <c r="C415" s="3" t="str">
        <v>Aug-2023</v>
      </c>
      <c r="D415" s="11" t="str">
        <f t="shared" si="24"/>
        <v>Q3-2023</v>
      </c>
      <c r="E415" s="3">
        <v>45185</v>
      </c>
      <c r="F415" s="3">
        <v>45163</v>
      </c>
      <c r="G415" s="4">
        <f t="shared" si="25"/>
        <v>22</v>
      </c>
      <c r="H415" s="4" t="str">
        <v>delayed</v>
      </c>
      <c r="I415" s="4">
        <f t="shared" si="27"/>
        <v>0</v>
      </c>
      <c r="J415" t="s">
        <v>646</v>
      </c>
      <c r="K415" t="s">
        <v>651</v>
      </c>
      <c r="L415" t="s">
        <v>669</v>
      </c>
      <c r="M415" t="s">
        <v>701</v>
      </c>
      <c r="N415" t="s">
        <v>709</v>
      </c>
      <c r="O415" t="s">
        <v>716</v>
      </c>
      <c r="P415" t="s">
        <v>730</v>
      </c>
      <c r="Q415" t="str" cm="1">
        <f t="array" ref="Q415">_xlfn.IFS(U415&lt;=_xlfn.QUARTILE.INC($U$2:$U1046,1),"Low",B415&lt;=_xlfn.QUARTILE.INC($U$2:$U$633,2),"Medium",TRUE,"High")</f>
        <v>High</v>
      </c>
      <c r="R415" t="s">
        <v>1146</v>
      </c>
      <c r="S415" s="4">
        <v>1196.83</v>
      </c>
      <c r="T415">
        <v>2513.5100000000002</v>
      </c>
      <c r="U415">
        <v>2513.5100000000002</v>
      </c>
      <c r="V415" s="7">
        <v>8.3000000000000004E-2</v>
      </c>
      <c r="W415" s="7">
        <v>8.3000000000000004E-2</v>
      </c>
      <c r="X415" s="7" t="str">
        <f t="shared" si="26"/>
        <v>okay</v>
      </c>
      <c r="Y415" s="9">
        <v>7</v>
      </c>
      <c r="Z415">
        <v>16134.22069</v>
      </c>
      <c r="AA415">
        <v>8377.81</v>
      </c>
      <c r="AB415">
        <v>7756.4106900000006</v>
      </c>
      <c r="AC415">
        <v>0.48074281609445374</v>
      </c>
    </row>
    <row r="416" spans="1:29" x14ac:dyDescent="0.3">
      <c r="A416" t="s">
        <v>428</v>
      </c>
      <c r="B416" s="3">
        <v>45449</v>
      </c>
      <c r="C416" s="3" t="str">
        <v>Jun-2024</v>
      </c>
      <c r="D416" s="11" t="str">
        <f t="shared" si="24"/>
        <v>Q2-2024</v>
      </c>
      <c r="E416" s="3">
        <v>45467</v>
      </c>
      <c r="F416" s="3">
        <v>45449</v>
      </c>
      <c r="G416" s="4">
        <f t="shared" si="25"/>
        <v>18</v>
      </c>
      <c r="H416" s="4" t="str">
        <v>delayed</v>
      </c>
      <c r="I416" s="4">
        <f t="shared" si="27"/>
        <v>0</v>
      </c>
      <c r="J416" t="s">
        <v>647</v>
      </c>
      <c r="K416" t="s">
        <v>654</v>
      </c>
      <c r="L416" t="s">
        <v>668</v>
      </c>
      <c r="M416" t="s">
        <v>705</v>
      </c>
      <c r="N416" t="s">
        <v>711</v>
      </c>
      <c r="O416" t="s">
        <v>722</v>
      </c>
      <c r="P416" t="s">
        <v>729</v>
      </c>
      <c r="Q416" t="str" cm="1">
        <f t="array" ref="Q416">_xlfn.IFS(U416&lt;=_xlfn.QUARTILE.INC($U$2:$U1047,1),"Low",B416&lt;=_xlfn.QUARTILE.INC($U$2:$U$633,2),"Medium",TRUE,"High")</f>
        <v>High</v>
      </c>
      <c r="R416" t="s">
        <v>1147</v>
      </c>
      <c r="S416" s="4">
        <v>1253.25</v>
      </c>
      <c r="T416">
        <v>3087.13</v>
      </c>
      <c r="U416">
        <v>3087.13</v>
      </c>
      <c r="V416" s="7">
        <v>7.1999999999999995E-2</v>
      </c>
      <c r="W416" s="7">
        <v>7.1999999999999995E-2</v>
      </c>
      <c r="X416" s="7" t="str">
        <f t="shared" si="26"/>
        <v>okay</v>
      </c>
      <c r="Y416" s="9">
        <v>11</v>
      </c>
      <c r="Z416">
        <v>31513.423040000001</v>
      </c>
      <c r="AA416">
        <v>13785.75</v>
      </c>
      <c r="AB416">
        <v>17727.673040000001</v>
      </c>
      <c r="AC416">
        <v>0.562543555408064</v>
      </c>
    </row>
    <row r="417" spans="1:29" x14ac:dyDescent="0.3">
      <c r="A417" t="s">
        <v>429</v>
      </c>
      <c r="B417" s="3">
        <v>45167</v>
      </c>
      <c r="C417" s="3" t="str">
        <v>Aug-2023</v>
      </c>
      <c r="D417" s="11" t="str">
        <f t="shared" si="24"/>
        <v>Q3-2023</v>
      </c>
      <c r="E417" s="3">
        <v>45182</v>
      </c>
      <c r="F417" s="3">
        <v>45167</v>
      </c>
      <c r="G417" s="4">
        <f t="shared" si="25"/>
        <v>15</v>
      </c>
      <c r="H417" s="4" t="str">
        <v>delayed</v>
      </c>
      <c r="I417" s="4">
        <f t="shared" si="27"/>
        <v>0</v>
      </c>
      <c r="J417" t="s">
        <v>648</v>
      </c>
      <c r="K417" t="s">
        <v>653</v>
      </c>
      <c r="L417" t="s">
        <v>688</v>
      </c>
      <c r="M417" t="s">
        <v>705</v>
      </c>
      <c r="N417" t="s">
        <v>709</v>
      </c>
      <c r="O417" t="s">
        <v>719</v>
      </c>
      <c r="P417" t="s">
        <v>728</v>
      </c>
      <c r="Q417" t="str" cm="1">
        <f t="array" ref="Q417">_xlfn.IFS(U417&lt;=_xlfn.QUARTILE.INC($U$2:$U1048,1),"Low",B417&lt;=_xlfn.QUARTILE.INC($U$2:$U$633,2),"Medium",TRUE,"High")</f>
        <v>High</v>
      </c>
      <c r="R417" t="s">
        <v>1148</v>
      </c>
      <c r="S417" s="4">
        <v>1287.6400000000001</v>
      </c>
      <c r="T417">
        <v>2717.15</v>
      </c>
      <c r="U417">
        <v>2717.15</v>
      </c>
      <c r="V417" s="7">
        <v>3.2000000000000001E-2</v>
      </c>
      <c r="W417" s="7">
        <v>3.2000000000000001E-2</v>
      </c>
      <c r="X417" s="7" t="str">
        <f t="shared" si="26"/>
        <v>okay</v>
      </c>
      <c r="Y417" s="9">
        <v>7</v>
      </c>
      <c r="Z417">
        <v>18411.4084</v>
      </c>
      <c r="AA417">
        <v>9013.4800000000014</v>
      </c>
      <c r="AB417">
        <v>9397.9283999999989</v>
      </c>
      <c r="AC417">
        <v>0.51044049405802105</v>
      </c>
    </row>
    <row r="418" spans="1:29" x14ac:dyDescent="0.3">
      <c r="A418" t="s">
        <v>430</v>
      </c>
      <c r="B418" s="3">
        <v>45626</v>
      </c>
      <c r="C418" s="3" t="str">
        <v>Nov-2024</v>
      </c>
      <c r="D418" s="11" t="str">
        <f t="shared" si="24"/>
        <v>Q4-2024</v>
      </c>
      <c r="E418" s="3">
        <v>45636</v>
      </c>
      <c r="F418" s="3">
        <v>45626</v>
      </c>
      <c r="G418" s="4">
        <f t="shared" si="25"/>
        <v>10</v>
      </c>
      <c r="H418" s="4" t="str">
        <v>delayed</v>
      </c>
      <c r="I418" s="4">
        <f t="shared" si="27"/>
        <v>0</v>
      </c>
      <c r="J418" t="s">
        <v>647</v>
      </c>
      <c r="K418" t="s">
        <v>654</v>
      </c>
      <c r="L418" t="s">
        <v>696</v>
      </c>
      <c r="M418" t="s">
        <v>705</v>
      </c>
      <c r="N418" t="s">
        <v>707</v>
      </c>
      <c r="O418" t="s">
        <v>721</v>
      </c>
      <c r="P418" t="s">
        <v>733</v>
      </c>
      <c r="Q418" t="str" cm="1">
        <f t="array" ref="Q418">_xlfn.IFS(U418&lt;=_xlfn.QUARTILE.INC($U$2:$U1049,1),"Low",B418&lt;=_xlfn.QUARTILE.INC($U$2:$U$633,2),"Medium",TRUE,"High")</f>
        <v>High</v>
      </c>
      <c r="R418" t="s">
        <v>1149</v>
      </c>
      <c r="S418" s="4">
        <v>851.49</v>
      </c>
      <c r="T418">
        <v>901.79</v>
      </c>
      <c r="U418">
        <v>901.79</v>
      </c>
      <c r="V418" s="7">
        <v>0.245</v>
      </c>
      <c r="W418" s="7">
        <v>0.245</v>
      </c>
      <c r="X418" s="7" t="str">
        <f t="shared" si="26"/>
        <v>High discount</v>
      </c>
      <c r="Y418" s="9">
        <v>16</v>
      </c>
      <c r="Z418">
        <v>10893.6232</v>
      </c>
      <c r="AA418">
        <v>13623.84</v>
      </c>
      <c r="AB418">
        <v>-2730.2168000000001</v>
      </c>
      <c r="AC418">
        <v>-0.25062522816100341</v>
      </c>
    </row>
    <row r="419" spans="1:29" x14ac:dyDescent="0.3">
      <c r="A419" t="s">
        <v>431</v>
      </c>
      <c r="B419" s="3">
        <v>45813</v>
      </c>
      <c r="C419" s="3" t="str">
        <v>Jun-2025</v>
      </c>
      <c r="D419" s="11" t="str">
        <f t="shared" si="24"/>
        <v>Q2-2025</v>
      </c>
      <c r="E419" s="3">
        <v>45822</v>
      </c>
      <c r="F419" s="3">
        <v>45813</v>
      </c>
      <c r="G419" s="4">
        <f t="shared" si="25"/>
        <v>9</v>
      </c>
      <c r="H419" s="4" t="str">
        <v>delayed</v>
      </c>
      <c r="I419" s="4">
        <f t="shared" si="27"/>
        <v>0</v>
      </c>
      <c r="J419" t="s">
        <v>647</v>
      </c>
      <c r="K419" t="s">
        <v>654</v>
      </c>
      <c r="L419" t="s">
        <v>680</v>
      </c>
      <c r="M419" t="s">
        <v>703</v>
      </c>
      <c r="N419" t="s">
        <v>707</v>
      </c>
      <c r="O419" t="s">
        <v>720</v>
      </c>
      <c r="P419" t="s">
        <v>733</v>
      </c>
      <c r="Q419" t="str" cm="1">
        <f t="array" ref="Q419">_xlfn.IFS(U419&lt;=_xlfn.QUARTILE.INC($U$2:$U1050,1),"Low",B419&lt;=_xlfn.QUARTILE.INC($U$2:$U$633,2),"Medium",TRUE,"High")</f>
        <v>High</v>
      </c>
      <c r="R419" t="s">
        <v>1150</v>
      </c>
      <c r="S419" s="4">
        <v>618.69000000000005</v>
      </c>
      <c r="T419">
        <v>796.15</v>
      </c>
      <c r="U419">
        <v>796.15</v>
      </c>
      <c r="V419" s="7">
        <v>0.09</v>
      </c>
      <c r="W419" s="7">
        <v>0.09</v>
      </c>
      <c r="X419" s="7" t="str">
        <f t="shared" si="26"/>
        <v>okay</v>
      </c>
      <c r="Y419" s="9">
        <v>11</v>
      </c>
      <c r="Z419">
        <v>7969.4615000000003</v>
      </c>
      <c r="AA419">
        <v>6805.59</v>
      </c>
      <c r="AB419">
        <v>1163.8715000000002</v>
      </c>
      <c r="AC419">
        <v>0.14604142325049191</v>
      </c>
    </row>
    <row r="420" spans="1:29" x14ac:dyDescent="0.3">
      <c r="A420" t="s">
        <v>432</v>
      </c>
      <c r="B420" s="3">
        <v>45730</v>
      </c>
      <c r="C420" s="3" t="str">
        <v>Mar-2025</v>
      </c>
      <c r="D420" s="11" t="str">
        <f t="shared" si="24"/>
        <v>Q1-2025</v>
      </c>
      <c r="E420" s="3">
        <v>45755</v>
      </c>
      <c r="F420" s="3">
        <v>45730</v>
      </c>
      <c r="G420" s="4">
        <f t="shared" si="25"/>
        <v>25</v>
      </c>
      <c r="H420" s="4" t="str">
        <v>delayed</v>
      </c>
      <c r="I420" s="4">
        <f t="shared" si="27"/>
        <v>0</v>
      </c>
      <c r="J420" t="s">
        <v>647</v>
      </c>
      <c r="K420" t="s">
        <v>659</v>
      </c>
      <c r="L420" t="s">
        <v>1421</v>
      </c>
      <c r="M420" t="s">
        <v>701</v>
      </c>
      <c r="N420" t="s">
        <v>710</v>
      </c>
      <c r="O420" t="s">
        <v>726</v>
      </c>
      <c r="P420" t="s">
        <v>728</v>
      </c>
      <c r="Q420" t="str" cm="1">
        <f t="array" ref="Q420">_xlfn.IFS(U420&lt;=_xlfn.QUARTILE.INC($U$2:$U1051,1),"Low",B420&lt;=_xlfn.QUARTILE.INC($U$2:$U$633,2),"Medium",TRUE,"High")</f>
        <v>Low</v>
      </c>
      <c r="R420" t="s">
        <v>1151</v>
      </c>
      <c r="S420" s="4">
        <v>80.59</v>
      </c>
      <c r="T420">
        <v>157.82</v>
      </c>
      <c r="U420">
        <v>157.82</v>
      </c>
      <c r="V420" s="7">
        <v>0.217</v>
      </c>
      <c r="W420" s="7">
        <v>0.217</v>
      </c>
      <c r="X420" s="7" t="str">
        <f t="shared" si="26"/>
        <v>High discount</v>
      </c>
      <c r="Y420" s="9">
        <v>6</v>
      </c>
      <c r="Z420">
        <v>741.43835999999999</v>
      </c>
      <c r="AA420">
        <v>483.54</v>
      </c>
      <c r="AB420">
        <v>257.89835999999997</v>
      </c>
      <c r="AC420">
        <v>0.34783519967863541</v>
      </c>
    </row>
    <row r="421" spans="1:29" x14ac:dyDescent="0.3">
      <c r="A421" t="s">
        <v>433</v>
      </c>
      <c r="B421" s="3">
        <v>45307</v>
      </c>
      <c r="C421" s="3" t="str">
        <v>Jan-2024</v>
      </c>
      <c r="D421" s="11" t="str">
        <f t="shared" si="24"/>
        <v>Q1-2024</v>
      </c>
      <c r="E421" s="3">
        <v>45333</v>
      </c>
      <c r="F421" s="3">
        <v>45307</v>
      </c>
      <c r="G421" s="4">
        <f t="shared" si="25"/>
        <v>26</v>
      </c>
      <c r="H421" s="4" t="str">
        <v>delayed</v>
      </c>
      <c r="I421" s="4">
        <f t="shared" si="27"/>
        <v>0</v>
      </c>
      <c r="J421" t="s">
        <v>649</v>
      </c>
      <c r="K421" t="s">
        <v>656</v>
      </c>
      <c r="L421" t="s">
        <v>698</v>
      </c>
      <c r="M421" t="s">
        <v>703</v>
      </c>
      <c r="N421" t="s">
        <v>710</v>
      </c>
      <c r="O421" t="s">
        <v>718</v>
      </c>
      <c r="P421" t="s">
        <v>732</v>
      </c>
      <c r="Q421" t="str" cm="1">
        <f t="array" ref="Q421">_xlfn.IFS(U421&lt;=_xlfn.QUARTILE.INC($U$2:$U1052,1),"Low",B421&lt;=_xlfn.QUARTILE.INC($U$2:$U$633,2),"Medium",TRUE,"High")</f>
        <v>High</v>
      </c>
      <c r="R421" t="s">
        <v>1152</v>
      </c>
      <c r="S421" s="4">
        <v>504.93</v>
      </c>
      <c r="T421">
        <v>819.06</v>
      </c>
      <c r="U421">
        <v>819.06</v>
      </c>
      <c r="V421" s="7">
        <v>0.22600000000000001</v>
      </c>
      <c r="W421" s="7">
        <v>0.22600000000000001</v>
      </c>
      <c r="X421" s="7" t="str">
        <f t="shared" si="26"/>
        <v>High discount</v>
      </c>
      <c r="Y421" s="9">
        <v>15</v>
      </c>
      <c r="Z421">
        <v>9509.2865999999995</v>
      </c>
      <c r="AA421">
        <v>7573.95</v>
      </c>
      <c r="AB421">
        <v>1935.3365999999996</v>
      </c>
      <c r="AC421">
        <v>0.20352069312959814</v>
      </c>
    </row>
    <row r="422" spans="1:29" x14ac:dyDescent="0.3">
      <c r="A422" t="s">
        <v>434</v>
      </c>
      <c r="B422" s="3">
        <v>45211</v>
      </c>
      <c r="C422" s="3" t="str">
        <v>Oct-2023</v>
      </c>
      <c r="D422" s="11" t="str">
        <f t="shared" si="24"/>
        <v>Q4-2023</v>
      </c>
      <c r="E422" s="3">
        <v>45228</v>
      </c>
      <c r="F422" s="3">
        <v>45211</v>
      </c>
      <c r="G422" s="4">
        <f t="shared" si="25"/>
        <v>17</v>
      </c>
      <c r="H422" s="4" t="str">
        <v>delayed</v>
      </c>
      <c r="I422" s="4">
        <f t="shared" si="27"/>
        <v>0</v>
      </c>
      <c r="J422" t="s">
        <v>647</v>
      </c>
      <c r="K422" t="s">
        <v>652</v>
      </c>
      <c r="L422" t="s">
        <v>694</v>
      </c>
      <c r="M422" t="s">
        <v>703</v>
      </c>
      <c r="N422" t="s">
        <v>711</v>
      </c>
      <c r="O422" t="s">
        <v>722</v>
      </c>
      <c r="P422" t="s">
        <v>730</v>
      </c>
      <c r="Q422" t="str" cm="1">
        <f t="array" ref="Q422">_xlfn.IFS(U422&lt;=_xlfn.QUARTILE.INC($U$2:$U1053,1),"Low",B422&lt;=_xlfn.QUARTILE.INC($U$2:$U$633,2),"Medium",TRUE,"High")</f>
        <v>High</v>
      </c>
      <c r="R422" t="s">
        <v>1153</v>
      </c>
      <c r="S422" s="4">
        <v>1102.19</v>
      </c>
      <c r="T422">
        <v>1711.16</v>
      </c>
      <c r="U422">
        <v>1711.16</v>
      </c>
      <c r="V422" s="7">
        <v>0.151</v>
      </c>
      <c r="W422" s="7">
        <v>0.151</v>
      </c>
      <c r="X422" s="7" t="str">
        <f t="shared" si="26"/>
        <v>okay</v>
      </c>
      <c r="Y422" s="9">
        <v>10</v>
      </c>
      <c r="Z422">
        <v>14527.748400000002</v>
      </c>
      <c r="AA422">
        <v>11021.900000000001</v>
      </c>
      <c r="AB422">
        <v>3505.8484000000008</v>
      </c>
      <c r="AC422">
        <v>0.24132083675127525</v>
      </c>
    </row>
    <row r="423" spans="1:29" x14ac:dyDescent="0.3">
      <c r="A423" t="s">
        <v>435</v>
      </c>
      <c r="B423" s="3">
        <v>45713</v>
      </c>
      <c r="C423" s="3" t="str">
        <v>Feb-2025</v>
      </c>
      <c r="D423" s="11" t="str">
        <f t="shared" si="24"/>
        <v>Q1-2025</v>
      </c>
      <c r="E423" s="3">
        <v>45733</v>
      </c>
      <c r="F423" s="3">
        <v>45713</v>
      </c>
      <c r="G423" s="4">
        <f t="shared" si="25"/>
        <v>20</v>
      </c>
      <c r="H423" s="4" t="str">
        <v>delayed</v>
      </c>
      <c r="I423" s="4">
        <f t="shared" si="27"/>
        <v>0</v>
      </c>
      <c r="J423" t="s">
        <v>648</v>
      </c>
      <c r="K423" t="s">
        <v>660</v>
      </c>
      <c r="L423" t="s">
        <v>686</v>
      </c>
      <c r="M423" t="s">
        <v>703</v>
      </c>
      <c r="N423" t="s">
        <v>709</v>
      </c>
      <c r="O423" t="s">
        <v>722</v>
      </c>
      <c r="P423" t="s">
        <v>730</v>
      </c>
      <c r="Q423" t="str" cm="1">
        <f t="array" ref="Q423">_xlfn.IFS(U423&lt;=_xlfn.QUARTILE.INC($U$2:$U1054,1),"Low",B423&lt;=_xlfn.QUARTILE.INC($U$2:$U$633,2),"Medium",TRUE,"High")</f>
        <v>High</v>
      </c>
      <c r="R423" t="s">
        <v>1154</v>
      </c>
      <c r="S423" s="4">
        <v>1205.26</v>
      </c>
      <c r="T423">
        <v>1696.35</v>
      </c>
      <c r="U423">
        <v>1696.35</v>
      </c>
      <c r="V423" s="7">
        <v>1.9E-2</v>
      </c>
      <c r="W423" s="7">
        <v>1.9E-2</v>
      </c>
      <c r="X423" s="7" t="str">
        <f t="shared" si="26"/>
        <v>okay</v>
      </c>
      <c r="Y423" s="9">
        <v>6</v>
      </c>
      <c r="Z423">
        <v>9984.7160999999978</v>
      </c>
      <c r="AA423">
        <v>7231.5599999999995</v>
      </c>
      <c r="AB423">
        <v>2753.1560999999983</v>
      </c>
      <c r="AC423">
        <v>0.27573704374028213</v>
      </c>
    </row>
    <row r="424" spans="1:29" x14ac:dyDescent="0.3">
      <c r="A424" t="s">
        <v>436</v>
      </c>
      <c r="B424" s="3">
        <v>45841</v>
      </c>
      <c r="C424" s="3" t="str">
        <v>Jul-2025</v>
      </c>
      <c r="D424" s="11" t="str">
        <f t="shared" si="24"/>
        <v>Q3-2025</v>
      </c>
      <c r="E424" s="3">
        <v>45844</v>
      </c>
      <c r="F424" s="3">
        <v>45841</v>
      </c>
      <c r="G424" s="4">
        <f t="shared" si="25"/>
        <v>3</v>
      </c>
      <c r="H424" s="4" t="str">
        <v>ontime</v>
      </c>
      <c r="I424" s="4">
        <f t="shared" si="27"/>
        <v>1</v>
      </c>
      <c r="J424" t="s">
        <v>646</v>
      </c>
      <c r="K424" t="s">
        <v>651</v>
      </c>
      <c r="L424" t="s">
        <v>665</v>
      </c>
      <c r="M424" t="s">
        <v>704</v>
      </c>
      <c r="N424" t="s">
        <v>708</v>
      </c>
      <c r="O424" t="s">
        <v>1421</v>
      </c>
      <c r="P424" t="s">
        <v>731</v>
      </c>
      <c r="Q424" t="str" cm="1">
        <f t="array" ref="Q424">_xlfn.IFS(U424&lt;=_xlfn.QUARTILE.INC($U$2:$U1055,1),"Low",B424&lt;=_xlfn.QUARTILE.INC($U$2:$U$633,2),"Medium",TRUE,"High")</f>
        <v>High</v>
      </c>
      <c r="R424" t="s">
        <v>1155</v>
      </c>
      <c r="S424" s="4">
        <v>1313.3</v>
      </c>
      <c r="T424">
        <v>2884.34</v>
      </c>
      <c r="U424">
        <v>2884.34</v>
      </c>
      <c r="V424" s="7">
        <v>0.157</v>
      </c>
      <c r="W424" s="7">
        <v>0.157</v>
      </c>
      <c r="X424" s="7" t="str">
        <f t="shared" si="26"/>
        <v>okay</v>
      </c>
      <c r="Y424" s="9">
        <v>42</v>
      </c>
      <c r="Z424">
        <v>102122.94203999999</v>
      </c>
      <c r="AA424">
        <v>55158.6</v>
      </c>
      <c r="AB424">
        <v>46964.342039999996</v>
      </c>
      <c r="AC424">
        <v>0.45988042551305253</v>
      </c>
    </row>
    <row r="425" spans="1:29" x14ac:dyDescent="0.3">
      <c r="A425" t="s">
        <v>437</v>
      </c>
      <c r="B425" s="3">
        <v>45915</v>
      </c>
      <c r="C425" s="3" t="str">
        <v>Sep-2025</v>
      </c>
      <c r="D425" s="11" t="str">
        <f t="shared" si="24"/>
        <v>Q3-2025</v>
      </c>
      <c r="E425" s="3">
        <v>45925</v>
      </c>
      <c r="F425" s="3">
        <v>45915</v>
      </c>
      <c r="G425" s="4">
        <f t="shared" si="25"/>
        <v>10</v>
      </c>
      <c r="H425" s="4" t="str">
        <v>delayed</v>
      </c>
      <c r="I425" s="4">
        <f t="shared" si="27"/>
        <v>0</v>
      </c>
      <c r="J425" t="s">
        <v>647</v>
      </c>
      <c r="K425" t="s">
        <v>654</v>
      </c>
      <c r="L425" t="s">
        <v>680</v>
      </c>
      <c r="M425" t="s">
        <v>704</v>
      </c>
      <c r="N425" t="s">
        <v>707</v>
      </c>
      <c r="O425" t="s">
        <v>720</v>
      </c>
      <c r="P425" t="s">
        <v>730</v>
      </c>
      <c r="Q425" t="str" cm="1">
        <f t="array" ref="Q425">_xlfn.IFS(U425&lt;=_xlfn.QUARTILE.INC($U$2:$U1056,1),"Low",B425&lt;=_xlfn.QUARTILE.INC($U$2:$U$633,2),"Medium",TRUE,"High")</f>
        <v>High</v>
      </c>
      <c r="R425" t="s">
        <v>1156</v>
      </c>
      <c r="S425" s="4">
        <v>1488.91</v>
      </c>
      <c r="T425">
        <v>1483.74</v>
      </c>
      <c r="U425">
        <v>1483.74</v>
      </c>
      <c r="V425" s="7">
        <v>0.16800000000000001</v>
      </c>
      <c r="W425" s="7">
        <v>0.16800000000000001</v>
      </c>
      <c r="X425" s="7" t="str">
        <f t="shared" si="26"/>
        <v>okay</v>
      </c>
      <c r="Y425" s="9">
        <v>24</v>
      </c>
      <c r="Z425">
        <v>29627.320319999999</v>
      </c>
      <c r="AA425">
        <v>35733.840000000004</v>
      </c>
      <c r="AB425">
        <v>-6106.5196800000049</v>
      </c>
      <c r="AC425">
        <v>-0.20611110333450519</v>
      </c>
    </row>
    <row r="426" spans="1:29" x14ac:dyDescent="0.3">
      <c r="A426" t="s">
        <v>438</v>
      </c>
      <c r="B426" s="3">
        <v>45341</v>
      </c>
      <c r="C426" s="3" t="str">
        <v>Feb-2024</v>
      </c>
      <c r="D426" s="11" t="str">
        <f t="shared" si="24"/>
        <v>Q1-2024</v>
      </c>
      <c r="E426" s="3">
        <v>45357</v>
      </c>
      <c r="F426" s="3">
        <v>45341</v>
      </c>
      <c r="G426" s="4">
        <f t="shared" si="25"/>
        <v>16</v>
      </c>
      <c r="H426" s="4" t="str">
        <v>delayed</v>
      </c>
      <c r="I426" s="4">
        <f t="shared" si="27"/>
        <v>0</v>
      </c>
      <c r="J426" t="s">
        <v>647</v>
      </c>
      <c r="K426" t="s">
        <v>659</v>
      </c>
      <c r="L426" t="s">
        <v>699</v>
      </c>
      <c r="M426" t="s">
        <v>702</v>
      </c>
      <c r="N426" t="s">
        <v>709</v>
      </c>
      <c r="O426" t="s">
        <v>719</v>
      </c>
      <c r="P426" t="s">
        <v>728</v>
      </c>
      <c r="Q426" t="str" cm="1">
        <f t="array" ref="Q426">_xlfn.IFS(U426&lt;=_xlfn.QUARTILE.INC($U$2:$U1057,1),"Low",B426&lt;=_xlfn.QUARTILE.INC($U$2:$U$633,2),"Medium",TRUE,"High")</f>
        <v>High</v>
      </c>
      <c r="R426" t="s">
        <v>1157</v>
      </c>
      <c r="S426" s="4">
        <v>1477.84</v>
      </c>
      <c r="T426">
        <v>3197.47</v>
      </c>
      <c r="U426">
        <v>3197.47</v>
      </c>
      <c r="V426" s="7">
        <v>0.24299999999999999</v>
      </c>
      <c r="W426" s="7">
        <v>0.24299999999999999</v>
      </c>
      <c r="X426" s="7" t="str">
        <f t="shared" si="26"/>
        <v>High discount</v>
      </c>
      <c r="Y426" s="9">
        <v>24</v>
      </c>
      <c r="Z426">
        <v>58091.634960000003</v>
      </c>
      <c r="AA426">
        <v>35468.159999999996</v>
      </c>
      <c r="AB426">
        <v>22623.474960000007</v>
      </c>
      <c r="AC426">
        <v>0.38944462443823091</v>
      </c>
    </row>
    <row r="427" spans="1:29" x14ac:dyDescent="0.3">
      <c r="A427" t="s">
        <v>439</v>
      </c>
      <c r="B427" s="3">
        <v>45349</v>
      </c>
      <c r="C427" s="3" t="str">
        <v>Feb-2024</v>
      </c>
      <c r="D427" s="11" t="str">
        <f t="shared" si="24"/>
        <v>Q1-2024</v>
      </c>
      <c r="E427" s="3">
        <v>45377</v>
      </c>
      <c r="F427" s="3">
        <v>45349</v>
      </c>
      <c r="G427" s="4">
        <f t="shared" si="25"/>
        <v>28</v>
      </c>
      <c r="H427" s="4" t="str">
        <v>delayed</v>
      </c>
      <c r="I427" s="4">
        <f t="shared" si="27"/>
        <v>0</v>
      </c>
      <c r="J427" t="s">
        <v>647</v>
      </c>
      <c r="K427" t="s">
        <v>654</v>
      </c>
      <c r="L427" t="s">
        <v>691</v>
      </c>
      <c r="M427" t="s">
        <v>702</v>
      </c>
      <c r="N427" t="s">
        <v>709</v>
      </c>
      <c r="O427" t="s">
        <v>715</v>
      </c>
      <c r="P427" t="s">
        <v>731</v>
      </c>
      <c r="Q427" t="str" cm="1">
        <f t="array" ref="Q427">_xlfn.IFS(U427&lt;=_xlfn.QUARTILE.INC($U$2:$U1058,1),"Low",B427&lt;=_xlfn.QUARTILE.INC($U$2:$U$633,2),"Medium",TRUE,"High")</f>
        <v>High</v>
      </c>
      <c r="R427" t="s">
        <v>1158</v>
      </c>
      <c r="S427" s="4">
        <v>1035.19</v>
      </c>
      <c r="T427">
        <v>2322.6999999999998</v>
      </c>
      <c r="U427">
        <v>2322.6999999999998</v>
      </c>
      <c r="V427" s="7">
        <v>0.17299999999999999</v>
      </c>
      <c r="W427" s="7">
        <v>0.17299999999999999</v>
      </c>
      <c r="X427" s="7" t="str">
        <f t="shared" si="26"/>
        <v>okay</v>
      </c>
      <c r="Y427" s="9">
        <v>8</v>
      </c>
      <c r="Z427">
        <v>15366.983199999999</v>
      </c>
      <c r="AA427">
        <v>8281.52</v>
      </c>
      <c r="AB427">
        <v>7085.4631999999983</v>
      </c>
      <c r="AC427">
        <v>0.46108355217047409</v>
      </c>
    </row>
    <row r="428" spans="1:29" x14ac:dyDescent="0.3">
      <c r="A428" t="s">
        <v>440</v>
      </c>
      <c r="B428" s="3">
        <v>45897</v>
      </c>
      <c r="C428" s="3" t="str">
        <v>Aug-2025</v>
      </c>
      <c r="D428" s="11" t="str">
        <f t="shared" si="24"/>
        <v>Q3-2025</v>
      </c>
      <c r="E428" s="3">
        <v>45905</v>
      </c>
      <c r="F428" s="3">
        <v>45897</v>
      </c>
      <c r="G428" s="4">
        <f t="shared" si="25"/>
        <v>8</v>
      </c>
      <c r="H428" s="4" t="str">
        <v>delayed</v>
      </c>
      <c r="I428" s="4">
        <f t="shared" si="27"/>
        <v>0</v>
      </c>
      <c r="J428" t="s">
        <v>646</v>
      </c>
      <c r="K428" t="s">
        <v>651</v>
      </c>
      <c r="L428" t="s">
        <v>663</v>
      </c>
      <c r="M428" t="s">
        <v>705</v>
      </c>
      <c r="N428" t="s">
        <v>709</v>
      </c>
      <c r="O428" t="s">
        <v>718</v>
      </c>
      <c r="P428" t="s">
        <v>731</v>
      </c>
      <c r="Q428" t="str" cm="1">
        <f t="array" ref="Q428">_xlfn.IFS(U428&lt;=_xlfn.QUARTILE.INC($U$2:$U1059,1),"Low",B428&lt;=_xlfn.QUARTILE.INC($U$2:$U$633,2),"Medium",TRUE,"High")</f>
        <v>High</v>
      </c>
      <c r="R428" t="s">
        <v>1159</v>
      </c>
      <c r="S428" s="4">
        <v>1271.0999999999999</v>
      </c>
      <c r="T428">
        <v>1932.42</v>
      </c>
      <c r="U428">
        <v>1932.42</v>
      </c>
      <c r="V428" s="7">
        <v>0.25</v>
      </c>
      <c r="W428" s="7">
        <v>0.25</v>
      </c>
      <c r="X428" s="7" t="str">
        <f t="shared" si="26"/>
        <v>High discount</v>
      </c>
      <c r="Y428" s="9">
        <v>21</v>
      </c>
      <c r="Z428">
        <v>30435.614999999998</v>
      </c>
      <c r="AA428">
        <v>26693.1</v>
      </c>
      <c r="AB428">
        <v>3742.5149999999994</v>
      </c>
      <c r="AC428">
        <v>0.12296498690760807</v>
      </c>
    </row>
    <row r="429" spans="1:29" x14ac:dyDescent="0.3">
      <c r="A429" t="s">
        <v>441</v>
      </c>
      <c r="B429" s="3">
        <v>45522</v>
      </c>
      <c r="C429" s="3" t="str">
        <v>Aug-2024</v>
      </c>
      <c r="D429" s="11" t="str">
        <f t="shared" si="24"/>
        <v>Q3-2024</v>
      </c>
      <c r="E429" s="3">
        <v>45547</v>
      </c>
      <c r="F429" s="3">
        <v>45522</v>
      </c>
      <c r="G429" s="4">
        <f t="shared" si="25"/>
        <v>25</v>
      </c>
      <c r="H429" s="4" t="str">
        <v>delayed</v>
      </c>
      <c r="I429" s="4">
        <f t="shared" si="27"/>
        <v>0</v>
      </c>
      <c r="J429" t="s">
        <v>647</v>
      </c>
      <c r="K429" t="s">
        <v>654</v>
      </c>
      <c r="L429" t="s">
        <v>691</v>
      </c>
      <c r="M429" t="s">
        <v>704</v>
      </c>
      <c r="N429" t="s">
        <v>709</v>
      </c>
      <c r="O429" t="s">
        <v>712</v>
      </c>
      <c r="P429" t="s">
        <v>730</v>
      </c>
      <c r="Q429" t="str" cm="1">
        <f t="array" ref="Q429">_xlfn.IFS(U429&lt;=_xlfn.QUARTILE.INC($U$2:$U1060,1),"Low",B429&lt;=_xlfn.QUARTILE.INC($U$2:$U$633,2),"Medium",TRUE,"High")</f>
        <v>High</v>
      </c>
      <c r="R429" t="s">
        <v>1160</v>
      </c>
      <c r="S429" s="4">
        <v>1154.03</v>
      </c>
      <c r="T429">
        <v>1590.36</v>
      </c>
      <c r="U429">
        <v>1590.36</v>
      </c>
      <c r="V429" s="7">
        <v>0.314</v>
      </c>
      <c r="W429" s="7">
        <v>0.314</v>
      </c>
      <c r="X429" s="7" t="str">
        <f t="shared" si="26"/>
        <v>High discount</v>
      </c>
      <c r="Y429" s="9">
        <v>18</v>
      </c>
      <c r="Z429">
        <v>19637.76528</v>
      </c>
      <c r="AA429">
        <v>20772.54</v>
      </c>
      <c r="AB429">
        <v>-1134.7747200000013</v>
      </c>
      <c r="AC429">
        <v>-5.7785328616576745E-2</v>
      </c>
    </row>
    <row r="430" spans="1:29" x14ac:dyDescent="0.3">
      <c r="A430" t="s">
        <v>442</v>
      </c>
      <c r="B430" s="3">
        <v>45347</v>
      </c>
      <c r="C430" s="3" t="str">
        <v>Feb-2024</v>
      </c>
      <c r="D430" s="11" t="str">
        <f t="shared" si="24"/>
        <v>Q1-2024</v>
      </c>
      <c r="E430" s="3">
        <v>45360</v>
      </c>
      <c r="F430" s="3">
        <v>45347</v>
      </c>
      <c r="G430" s="4">
        <f t="shared" si="25"/>
        <v>13</v>
      </c>
      <c r="H430" s="4" t="str">
        <v>delayed</v>
      </c>
      <c r="I430" s="4">
        <f t="shared" si="27"/>
        <v>0</v>
      </c>
      <c r="J430" t="s">
        <v>649</v>
      </c>
      <c r="K430" t="s">
        <v>657</v>
      </c>
      <c r="L430" t="s">
        <v>673</v>
      </c>
      <c r="M430" t="s">
        <v>705</v>
      </c>
      <c r="N430" t="s">
        <v>710</v>
      </c>
      <c r="O430" t="s">
        <v>718</v>
      </c>
      <c r="P430" t="s">
        <v>732</v>
      </c>
      <c r="Q430" t="str" cm="1">
        <f t="array" ref="Q430">_xlfn.IFS(U430&lt;=_xlfn.QUARTILE.INC($U$2:$U1061,1),"Low",B430&lt;=_xlfn.QUARTILE.INC($U$2:$U$633,2),"Medium",TRUE,"High")</f>
        <v>Low</v>
      </c>
      <c r="R430" t="s">
        <v>1161</v>
      </c>
      <c r="S430" s="4">
        <v>322.44</v>
      </c>
      <c r="T430">
        <v>395.61</v>
      </c>
      <c r="U430">
        <v>395.61</v>
      </c>
      <c r="V430" s="7">
        <v>0</v>
      </c>
      <c r="W430" s="7">
        <v>0</v>
      </c>
      <c r="X430" s="7" t="str">
        <f t="shared" si="26"/>
        <v>okay</v>
      </c>
      <c r="Y430" s="9">
        <v>34</v>
      </c>
      <c r="Z430">
        <v>13450.74</v>
      </c>
      <c r="AA430">
        <v>10962.96</v>
      </c>
      <c r="AB430">
        <v>2487.7800000000007</v>
      </c>
      <c r="AC430">
        <v>0.18495487980586947</v>
      </c>
    </row>
    <row r="431" spans="1:29" x14ac:dyDescent="0.3">
      <c r="A431" t="s">
        <v>443</v>
      </c>
      <c r="B431" s="3">
        <v>45784</v>
      </c>
      <c r="C431" s="3" t="str">
        <v>May-2025</v>
      </c>
      <c r="D431" s="11" t="str">
        <f t="shared" si="24"/>
        <v>Q2-2025</v>
      </c>
      <c r="E431" s="3">
        <v>45790</v>
      </c>
      <c r="F431" s="3">
        <v>45784</v>
      </c>
      <c r="G431" s="4">
        <f t="shared" si="25"/>
        <v>6</v>
      </c>
      <c r="H431" s="4" t="str">
        <v>ontime</v>
      </c>
      <c r="I431" s="4">
        <f t="shared" si="27"/>
        <v>1</v>
      </c>
      <c r="J431" t="s">
        <v>647</v>
      </c>
      <c r="K431" t="s">
        <v>654</v>
      </c>
      <c r="L431" t="s">
        <v>668</v>
      </c>
      <c r="M431" t="s">
        <v>706</v>
      </c>
      <c r="N431" t="s">
        <v>711</v>
      </c>
      <c r="O431" t="s">
        <v>713</v>
      </c>
      <c r="P431" t="s">
        <v>730</v>
      </c>
      <c r="Q431" t="str" cm="1">
        <f t="array" ref="Q431">_xlfn.IFS(U431&lt;=_xlfn.QUARTILE.INC($U$2:$U1062,1),"Low",B431&lt;=_xlfn.QUARTILE.INC($U$2:$U$633,2),"Medium",TRUE,"High")</f>
        <v>High</v>
      </c>
      <c r="R431" t="s">
        <v>1162</v>
      </c>
      <c r="S431" s="4">
        <v>935.98</v>
      </c>
      <c r="T431">
        <v>2077.69</v>
      </c>
      <c r="U431">
        <v>2077.69</v>
      </c>
      <c r="V431" s="7">
        <v>0.17499999999999999</v>
      </c>
      <c r="W431" s="7">
        <v>0.17499999999999999</v>
      </c>
      <c r="X431" s="7" t="str">
        <f t="shared" si="26"/>
        <v>okay</v>
      </c>
      <c r="Y431" s="9">
        <v>24</v>
      </c>
      <c r="Z431">
        <v>41138.261999999995</v>
      </c>
      <c r="AA431">
        <v>22463.52</v>
      </c>
      <c r="AB431">
        <v>18674.741999999995</v>
      </c>
      <c r="AC431">
        <v>0.45395067978321491</v>
      </c>
    </row>
    <row r="432" spans="1:29" x14ac:dyDescent="0.3">
      <c r="A432" t="s">
        <v>444</v>
      </c>
      <c r="B432" s="3">
        <v>45597</v>
      </c>
      <c r="C432" s="3" t="str">
        <v>Nov-2024</v>
      </c>
      <c r="D432" s="11" t="str">
        <f t="shared" si="24"/>
        <v>Q4-2024</v>
      </c>
      <c r="E432" s="3">
        <v>45608</v>
      </c>
      <c r="F432" s="3">
        <v>45597</v>
      </c>
      <c r="G432" s="4">
        <f t="shared" si="25"/>
        <v>11</v>
      </c>
      <c r="H432" s="4" t="str">
        <v>delayed</v>
      </c>
      <c r="I432" s="4">
        <f t="shared" si="27"/>
        <v>0</v>
      </c>
      <c r="J432" t="s">
        <v>649</v>
      </c>
      <c r="K432" t="s">
        <v>656</v>
      </c>
      <c r="L432" t="s">
        <v>698</v>
      </c>
      <c r="M432" t="s">
        <v>704</v>
      </c>
      <c r="N432" t="s">
        <v>708</v>
      </c>
      <c r="O432" t="s">
        <v>717</v>
      </c>
      <c r="P432" t="s">
        <v>728</v>
      </c>
      <c r="Q432" t="str" cm="1">
        <f t="array" ref="Q432">_xlfn.IFS(U432&lt;=_xlfn.QUARTILE.INC($U$2:$U1063,1),"Low",B432&lt;=_xlfn.QUARTILE.INC($U$2:$U$633,2),"Medium",TRUE,"High")</f>
        <v>High</v>
      </c>
      <c r="R432" t="s">
        <v>1163</v>
      </c>
      <c r="S432" s="4">
        <v>599.84</v>
      </c>
      <c r="T432">
        <v>1330.85</v>
      </c>
      <c r="U432">
        <v>1330.85</v>
      </c>
      <c r="V432" s="7">
        <v>0.115</v>
      </c>
      <c r="W432" s="7">
        <v>0.115</v>
      </c>
      <c r="X432" s="7" t="str">
        <f t="shared" si="26"/>
        <v>okay</v>
      </c>
      <c r="Y432" s="9">
        <v>11</v>
      </c>
      <c r="Z432">
        <v>12955.824749999998</v>
      </c>
      <c r="AA432">
        <v>6598.2400000000007</v>
      </c>
      <c r="AB432">
        <v>6357.5847499999973</v>
      </c>
      <c r="AC432">
        <v>0.49071246892252063</v>
      </c>
    </row>
    <row r="433" spans="1:29" x14ac:dyDescent="0.3">
      <c r="A433" t="s">
        <v>445</v>
      </c>
      <c r="B433" s="3">
        <v>45654</v>
      </c>
      <c r="C433" s="3" t="str">
        <v>Dec-2024</v>
      </c>
      <c r="D433" s="11" t="str">
        <f t="shared" si="24"/>
        <v>Q4-2024</v>
      </c>
      <c r="E433" s="3">
        <v>45665</v>
      </c>
      <c r="F433" s="3">
        <v>45654</v>
      </c>
      <c r="G433" s="4">
        <f t="shared" si="25"/>
        <v>11</v>
      </c>
      <c r="H433" s="4" t="str">
        <v>delayed</v>
      </c>
      <c r="I433" s="4">
        <f t="shared" si="27"/>
        <v>0</v>
      </c>
      <c r="J433" t="s">
        <v>647</v>
      </c>
      <c r="K433" t="s">
        <v>659</v>
      </c>
      <c r="L433" t="s">
        <v>676</v>
      </c>
      <c r="M433" t="s">
        <v>706</v>
      </c>
      <c r="N433" t="s">
        <v>708</v>
      </c>
      <c r="O433" t="s">
        <v>723</v>
      </c>
      <c r="P433" t="s">
        <v>731</v>
      </c>
      <c r="Q433" t="str" cm="1">
        <f t="array" ref="Q433">_xlfn.IFS(U433&lt;=_xlfn.QUARTILE.INC($U$2:$U1064,1),"Low",B433&lt;=_xlfn.QUARTILE.INC($U$2:$U$633,2),"Medium",TRUE,"High")</f>
        <v>High</v>
      </c>
      <c r="R433" t="s">
        <v>1164</v>
      </c>
      <c r="S433" s="4">
        <v>1201.31</v>
      </c>
      <c r="T433">
        <v>2764.65</v>
      </c>
      <c r="U433">
        <v>2764.65</v>
      </c>
      <c r="V433" s="7">
        <v>0</v>
      </c>
      <c r="W433" s="7">
        <v>0</v>
      </c>
      <c r="X433" s="7" t="str">
        <f t="shared" si="26"/>
        <v>okay</v>
      </c>
      <c r="Y433" s="9">
        <v>21</v>
      </c>
      <c r="Z433">
        <v>58057.65</v>
      </c>
      <c r="AA433">
        <v>25227.51</v>
      </c>
      <c r="AB433">
        <v>32830.14</v>
      </c>
      <c r="AC433">
        <v>0.56547483406579491</v>
      </c>
    </row>
    <row r="434" spans="1:29" x14ac:dyDescent="0.3">
      <c r="A434" t="s">
        <v>446</v>
      </c>
      <c r="B434" s="3">
        <v>45220</v>
      </c>
      <c r="C434" s="3" t="str">
        <v>Oct-2023</v>
      </c>
      <c r="D434" s="11" t="str">
        <f t="shared" si="24"/>
        <v>Q4-2023</v>
      </c>
      <c r="E434" s="3">
        <v>45220</v>
      </c>
      <c r="F434" s="3">
        <v>45220</v>
      </c>
      <c r="G434" s="4">
        <f t="shared" si="25"/>
        <v>0</v>
      </c>
      <c r="H434" s="4" t="str">
        <v>ontime</v>
      </c>
      <c r="I434" s="4">
        <f t="shared" si="27"/>
        <v>1</v>
      </c>
      <c r="J434" t="s">
        <v>649</v>
      </c>
      <c r="K434" t="s">
        <v>658</v>
      </c>
      <c r="L434" t="s">
        <v>693</v>
      </c>
      <c r="M434" t="s">
        <v>706</v>
      </c>
      <c r="N434" t="s">
        <v>710</v>
      </c>
      <c r="O434" t="s">
        <v>713</v>
      </c>
      <c r="P434" t="s">
        <v>732</v>
      </c>
      <c r="Q434" t="str" cm="1">
        <f t="array" ref="Q434">_xlfn.IFS(U434&lt;=_xlfn.QUARTILE.INC($U$2:$U1065,1),"Low",B434&lt;=_xlfn.QUARTILE.INC($U$2:$U$633,2),"Medium",TRUE,"High")</f>
        <v>Low</v>
      </c>
      <c r="R434" t="s">
        <v>1165</v>
      </c>
      <c r="S434" s="4">
        <v>384.19</v>
      </c>
      <c r="T434">
        <v>278.35000000000002</v>
      </c>
      <c r="U434">
        <v>278.35000000000002</v>
      </c>
      <c r="V434" s="7">
        <v>5.6000000000000001E-2</v>
      </c>
      <c r="W434" s="7">
        <v>5.6000000000000001E-2</v>
      </c>
      <c r="X434" s="7" t="str">
        <f t="shared" si="26"/>
        <v>okay</v>
      </c>
      <c r="Y434" s="9">
        <v>10</v>
      </c>
      <c r="Z434">
        <v>2627.6239999999998</v>
      </c>
      <c r="AA434">
        <v>3841.9</v>
      </c>
      <c r="AB434">
        <v>-1214.2760000000003</v>
      </c>
      <c r="AC434">
        <v>-0.46211938998882657</v>
      </c>
    </row>
    <row r="435" spans="1:29" x14ac:dyDescent="0.3">
      <c r="A435" t="s">
        <v>447</v>
      </c>
      <c r="B435" s="3">
        <v>45636</v>
      </c>
      <c r="C435" s="3" t="str">
        <v>Dec-2024</v>
      </c>
      <c r="D435" s="11" t="str">
        <f t="shared" si="24"/>
        <v>Q4-2024</v>
      </c>
      <c r="E435" s="3">
        <v>45645</v>
      </c>
      <c r="F435" s="3">
        <v>45636</v>
      </c>
      <c r="G435" s="4">
        <f t="shared" si="25"/>
        <v>9</v>
      </c>
      <c r="H435" s="4" t="str">
        <v>delayed</v>
      </c>
      <c r="I435" s="4">
        <f t="shared" si="27"/>
        <v>0</v>
      </c>
      <c r="J435" t="s">
        <v>646</v>
      </c>
      <c r="K435" t="s">
        <v>651</v>
      </c>
      <c r="L435" t="s">
        <v>665</v>
      </c>
      <c r="M435" t="s">
        <v>701</v>
      </c>
      <c r="N435" t="s">
        <v>707</v>
      </c>
      <c r="O435" t="s">
        <v>719</v>
      </c>
      <c r="P435" t="s">
        <v>732</v>
      </c>
      <c r="Q435" t="str" cm="1">
        <f t="array" ref="Q435">_xlfn.IFS(U435&lt;=_xlfn.QUARTILE.INC($U$2:$U1066,1),"Low",B435&lt;=_xlfn.QUARTILE.INC($U$2:$U$633,2),"Medium",TRUE,"High")</f>
        <v>High</v>
      </c>
      <c r="R435" t="s">
        <v>1166</v>
      </c>
      <c r="S435" s="4">
        <v>488.68</v>
      </c>
      <c r="T435">
        <v>984.36</v>
      </c>
      <c r="U435">
        <v>984.36</v>
      </c>
      <c r="V435" s="7">
        <v>5.8999999999999997E-2</v>
      </c>
      <c r="W435" s="7">
        <v>5.8999999999999997E-2</v>
      </c>
      <c r="X435" s="7" t="str">
        <f t="shared" si="26"/>
        <v>okay</v>
      </c>
      <c r="Y435" s="9">
        <v>14</v>
      </c>
      <c r="Z435">
        <v>12967.958640000001</v>
      </c>
      <c r="AA435">
        <v>6841.52</v>
      </c>
      <c r="AB435">
        <v>6126.4386400000003</v>
      </c>
      <c r="AC435">
        <v>0.47242891576649876</v>
      </c>
    </row>
    <row r="436" spans="1:29" x14ac:dyDescent="0.3">
      <c r="A436" t="s">
        <v>448</v>
      </c>
      <c r="B436" s="3">
        <v>45542</v>
      </c>
      <c r="C436" s="3" t="str">
        <v>Sep-2024</v>
      </c>
      <c r="D436" s="11" t="str">
        <f t="shared" si="24"/>
        <v>Q3-2024</v>
      </c>
      <c r="E436" s="3">
        <v>45553</v>
      </c>
      <c r="F436" s="3">
        <v>45542</v>
      </c>
      <c r="G436" s="4">
        <f t="shared" si="25"/>
        <v>11</v>
      </c>
      <c r="H436" s="4" t="str">
        <v>delayed</v>
      </c>
      <c r="I436" s="4">
        <f t="shared" si="27"/>
        <v>0</v>
      </c>
      <c r="J436" t="s">
        <v>647</v>
      </c>
      <c r="K436" t="s">
        <v>659</v>
      </c>
      <c r="L436" t="s">
        <v>699</v>
      </c>
      <c r="M436" t="s">
        <v>704</v>
      </c>
      <c r="N436" t="s">
        <v>710</v>
      </c>
      <c r="O436" t="s">
        <v>719</v>
      </c>
      <c r="P436" t="s">
        <v>729</v>
      </c>
      <c r="Q436" t="str" cm="1">
        <f t="array" ref="Q436">_xlfn.IFS(U436&lt;=_xlfn.QUARTILE.INC($U$2:$U1067,1),"Low",B436&lt;=_xlfn.QUARTILE.INC($U$2:$U$633,2),"Medium",TRUE,"High")</f>
        <v>Low</v>
      </c>
      <c r="R436" t="s">
        <v>1167</v>
      </c>
      <c r="S436" s="4">
        <v>181.74</v>
      </c>
      <c r="T436">
        <v>190.84</v>
      </c>
      <c r="U436">
        <v>190.84</v>
      </c>
      <c r="V436" s="7">
        <v>0.214</v>
      </c>
      <c r="W436" s="7">
        <v>0.214</v>
      </c>
      <c r="X436" s="7" t="str">
        <f t="shared" si="26"/>
        <v>High discount</v>
      </c>
      <c r="Y436" s="9">
        <v>13</v>
      </c>
      <c r="Z436">
        <v>1950.0031200000001</v>
      </c>
      <c r="AA436">
        <v>2362.62</v>
      </c>
      <c r="AB436">
        <v>-412.61687999999981</v>
      </c>
      <c r="AC436">
        <v>-0.21159806144310159</v>
      </c>
    </row>
    <row r="437" spans="1:29" x14ac:dyDescent="0.3">
      <c r="A437" t="s">
        <v>449</v>
      </c>
      <c r="B437" s="3">
        <v>45217</v>
      </c>
      <c r="C437" s="3" t="str">
        <v>Oct-2023</v>
      </c>
      <c r="D437" s="11" t="str">
        <f t="shared" si="24"/>
        <v>Q4-2023</v>
      </c>
      <c r="E437" s="3">
        <v>45219</v>
      </c>
      <c r="F437" s="3">
        <v>45217</v>
      </c>
      <c r="G437" s="4">
        <f t="shared" si="25"/>
        <v>2</v>
      </c>
      <c r="H437" s="4" t="str">
        <v>ontime</v>
      </c>
      <c r="I437" s="4">
        <f t="shared" si="27"/>
        <v>1</v>
      </c>
      <c r="J437" t="s">
        <v>646</v>
      </c>
      <c r="K437" t="s">
        <v>650</v>
      </c>
      <c r="L437" t="s">
        <v>662</v>
      </c>
      <c r="M437" t="s">
        <v>704</v>
      </c>
      <c r="N437" t="s">
        <v>707</v>
      </c>
      <c r="O437" t="s">
        <v>713</v>
      </c>
      <c r="P437" t="s">
        <v>730</v>
      </c>
      <c r="Q437" t="str" cm="1">
        <f t="array" ref="Q437">_xlfn.IFS(U437&lt;=_xlfn.QUARTILE.INC($U$2:$U1068,1),"Low",B437&lt;=_xlfn.QUARTILE.INC($U$2:$U$633,2),"Medium",TRUE,"High")</f>
        <v>High</v>
      </c>
      <c r="R437" t="s">
        <v>1168</v>
      </c>
      <c r="S437" s="4">
        <v>774.12</v>
      </c>
      <c r="T437">
        <v>908.3</v>
      </c>
      <c r="U437">
        <v>908.3</v>
      </c>
      <c r="V437" s="7">
        <v>0</v>
      </c>
      <c r="W437" s="7">
        <v>0</v>
      </c>
      <c r="X437" s="7" t="str">
        <f t="shared" si="26"/>
        <v>okay</v>
      </c>
      <c r="Y437" s="9">
        <v>30</v>
      </c>
      <c r="Z437">
        <v>27249</v>
      </c>
      <c r="AA437">
        <v>23223.599999999999</v>
      </c>
      <c r="AB437">
        <v>4025.4000000000015</v>
      </c>
      <c r="AC437">
        <v>0.14772652207420461</v>
      </c>
    </row>
    <row r="438" spans="1:29" x14ac:dyDescent="0.3">
      <c r="A438" t="s">
        <v>450</v>
      </c>
      <c r="B438" s="3">
        <v>45650</v>
      </c>
      <c r="C438" s="3" t="str">
        <v>Dec-2024</v>
      </c>
      <c r="D438" s="11" t="str">
        <f t="shared" si="24"/>
        <v>Q4-2024</v>
      </c>
      <c r="E438" s="3">
        <v>45670</v>
      </c>
      <c r="F438" s="3">
        <v>45650</v>
      </c>
      <c r="G438" s="4">
        <f t="shared" si="25"/>
        <v>20</v>
      </c>
      <c r="H438" s="4" t="str">
        <v>delayed</v>
      </c>
      <c r="I438" s="4">
        <f t="shared" si="27"/>
        <v>0</v>
      </c>
      <c r="J438" t="s">
        <v>647</v>
      </c>
      <c r="K438" t="s">
        <v>654</v>
      </c>
      <c r="L438" t="s">
        <v>668</v>
      </c>
      <c r="M438" t="s">
        <v>701</v>
      </c>
      <c r="N438" t="s">
        <v>709</v>
      </c>
      <c r="O438" t="s">
        <v>726</v>
      </c>
      <c r="P438" t="s">
        <v>729</v>
      </c>
      <c r="Q438" t="str" cm="1">
        <f t="array" ref="Q438">_xlfn.IFS(U438&lt;=_xlfn.QUARTILE.INC($U$2:$U1069,1),"Low",B438&lt;=_xlfn.QUARTILE.INC($U$2:$U$633,2),"Medium",TRUE,"High")</f>
        <v>Low</v>
      </c>
      <c r="R438" t="s">
        <v>1169</v>
      </c>
      <c r="S438" s="4">
        <v>126.15</v>
      </c>
      <c r="T438">
        <v>284.23</v>
      </c>
      <c r="U438">
        <v>284.23</v>
      </c>
      <c r="V438" s="7">
        <v>0.113</v>
      </c>
      <c r="W438" s="7">
        <v>0.113</v>
      </c>
      <c r="X438" s="7" t="str">
        <f t="shared" si="26"/>
        <v>okay</v>
      </c>
      <c r="Y438" s="9">
        <v>22</v>
      </c>
      <c r="Z438">
        <v>5546.4642200000008</v>
      </c>
      <c r="AA438">
        <v>2775.3</v>
      </c>
      <c r="AB438">
        <v>2771.1642200000006</v>
      </c>
      <c r="AC438">
        <v>0.49962716968541088</v>
      </c>
    </row>
    <row r="439" spans="1:29" x14ac:dyDescent="0.3">
      <c r="A439" t="s">
        <v>451</v>
      </c>
      <c r="B439" s="3">
        <v>45037</v>
      </c>
      <c r="C439" s="3" t="str">
        <v>Apr-2023</v>
      </c>
      <c r="D439" s="11" t="str">
        <f t="shared" si="24"/>
        <v>Q2-2023</v>
      </c>
      <c r="E439" s="3">
        <v>45035</v>
      </c>
      <c r="F439" s="3">
        <v>45044</v>
      </c>
      <c r="G439" s="4">
        <f t="shared" si="25"/>
        <v>-9</v>
      </c>
      <c r="H439" s="4" t="str">
        <v>ontime</v>
      </c>
      <c r="I439" s="4">
        <f t="shared" si="27"/>
        <v>1</v>
      </c>
      <c r="J439" t="s">
        <v>647</v>
      </c>
      <c r="K439" t="s">
        <v>652</v>
      </c>
      <c r="L439" t="s">
        <v>694</v>
      </c>
      <c r="M439" t="s">
        <v>705</v>
      </c>
      <c r="N439" t="s">
        <v>711</v>
      </c>
      <c r="O439" t="s">
        <v>724</v>
      </c>
      <c r="P439" t="s">
        <v>727</v>
      </c>
      <c r="Q439" t="str" cm="1">
        <f t="array" ref="Q439">_xlfn.IFS(U439&lt;=_xlfn.QUARTILE.INC($U$2:$U1070,1),"Low",B439&lt;=_xlfn.QUARTILE.INC($U$2:$U$633,2),"Medium",TRUE,"High")</f>
        <v>High</v>
      </c>
      <c r="R439" t="s">
        <v>1170</v>
      </c>
      <c r="S439" s="4">
        <v>607.04</v>
      </c>
      <c r="T439">
        <v>1229.3399999999999</v>
      </c>
      <c r="U439">
        <v>1229.3399999999999</v>
      </c>
      <c r="V439" s="7">
        <v>0.14699999999999999</v>
      </c>
      <c r="W439" s="7">
        <v>0.14699999999999999</v>
      </c>
      <c r="X439" s="7" t="str">
        <f t="shared" si="26"/>
        <v>okay</v>
      </c>
      <c r="Y439" s="9">
        <v>7</v>
      </c>
      <c r="Z439">
        <v>7340.3891399999993</v>
      </c>
      <c r="AA439">
        <v>4249.28</v>
      </c>
      <c r="AB439">
        <v>3091.1091399999996</v>
      </c>
      <c r="AC439">
        <v>0.42110970972310058</v>
      </c>
    </row>
    <row r="440" spans="1:29" x14ac:dyDescent="0.3">
      <c r="A440" t="s">
        <v>452</v>
      </c>
      <c r="B440" s="3">
        <v>45290</v>
      </c>
      <c r="C440" s="3" t="str">
        <v>Dec-2023</v>
      </c>
      <c r="D440" s="11" t="str">
        <f t="shared" si="24"/>
        <v>Q4-2023</v>
      </c>
      <c r="E440" s="3">
        <v>45299</v>
      </c>
      <c r="F440" s="3">
        <v>45290</v>
      </c>
      <c r="G440" s="4">
        <f t="shared" si="25"/>
        <v>9</v>
      </c>
      <c r="H440" s="4" t="str">
        <v>delayed</v>
      </c>
      <c r="I440" s="4">
        <f t="shared" si="27"/>
        <v>0</v>
      </c>
      <c r="J440" t="s">
        <v>649</v>
      </c>
      <c r="K440" t="s">
        <v>657</v>
      </c>
      <c r="L440" t="s">
        <v>673</v>
      </c>
      <c r="M440" t="s">
        <v>704</v>
      </c>
      <c r="N440" t="s">
        <v>709</v>
      </c>
      <c r="O440" t="s">
        <v>716</v>
      </c>
      <c r="P440" t="s">
        <v>733</v>
      </c>
      <c r="Q440" t="str" cm="1">
        <f t="array" ref="Q440">_xlfn.IFS(U440&lt;=_xlfn.QUARTILE.INC($U$2:$U1071,1),"Low",B440&lt;=_xlfn.QUARTILE.INC($U$2:$U$633,2),"Medium",TRUE,"High")</f>
        <v>High</v>
      </c>
      <c r="R440" t="s">
        <v>1171</v>
      </c>
      <c r="S440" s="4">
        <v>861.1</v>
      </c>
      <c r="T440">
        <v>1224.72</v>
      </c>
      <c r="U440">
        <v>1224.72</v>
      </c>
      <c r="V440" s="7">
        <v>0.17399999999999999</v>
      </c>
      <c r="W440" s="7">
        <v>0.17399999999999999</v>
      </c>
      <c r="X440" s="7" t="str">
        <f t="shared" si="26"/>
        <v>okay</v>
      </c>
      <c r="Y440" s="9">
        <v>24</v>
      </c>
      <c r="Z440">
        <v>24278.849280000002</v>
      </c>
      <c r="AA440">
        <v>20666.400000000001</v>
      </c>
      <c r="AB440">
        <v>3612.4492800000007</v>
      </c>
      <c r="AC440">
        <v>0.14878997098827909</v>
      </c>
    </row>
    <row r="441" spans="1:29" x14ac:dyDescent="0.3">
      <c r="A441" t="s">
        <v>453</v>
      </c>
      <c r="B441" s="3">
        <v>44978</v>
      </c>
      <c r="C441" s="3" t="str">
        <v>Feb-2023</v>
      </c>
      <c r="D441" s="11" t="str">
        <f t="shared" si="24"/>
        <v>Q1-2023</v>
      </c>
      <c r="E441" s="3">
        <v>44997</v>
      </c>
      <c r="F441" s="3">
        <v>44978</v>
      </c>
      <c r="G441" s="4">
        <f t="shared" si="25"/>
        <v>19</v>
      </c>
      <c r="H441" s="4" t="str">
        <v>delayed</v>
      </c>
      <c r="I441" s="4">
        <f t="shared" si="27"/>
        <v>0</v>
      </c>
      <c r="J441" t="s">
        <v>646</v>
      </c>
      <c r="K441" t="s">
        <v>650</v>
      </c>
      <c r="L441" t="s">
        <v>678</v>
      </c>
      <c r="M441" t="s">
        <v>701</v>
      </c>
      <c r="N441" t="s">
        <v>708</v>
      </c>
      <c r="O441" t="s">
        <v>721</v>
      </c>
      <c r="P441" t="s">
        <v>729</v>
      </c>
      <c r="Q441" t="str" cm="1">
        <f t="array" ref="Q441">_xlfn.IFS(U441&lt;=_xlfn.QUARTILE.INC($U$2:$U1072,1),"Low",B441&lt;=_xlfn.QUARTILE.INC($U$2:$U$633,2),"Medium",TRUE,"High")</f>
        <v>Low</v>
      </c>
      <c r="R441" t="s">
        <v>1172</v>
      </c>
      <c r="S441" s="4">
        <v>352.65</v>
      </c>
      <c r="T441">
        <v>485.86</v>
      </c>
      <c r="U441">
        <v>485.86</v>
      </c>
      <c r="V441" s="7">
        <v>4.1000000000000002E-2</v>
      </c>
      <c r="W441" s="7">
        <v>4.1000000000000002E-2</v>
      </c>
      <c r="X441" s="7" t="str">
        <f t="shared" si="26"/>
        <v>okay</v>
      </c>
      <c r="Y441" s="9">
        <v>6</v>
      </c>
      <c r="Z441">
        <v>2795.6384399999997</v>
      </c>
      <c r="AA441">
        <v>2115.8999999999996</v>
      </c>
      <c r="AB441">
        <v>679.73844000000008</v>
      </c>
      <c r="AC441">
        <v>0.24314247159943908</v>
      </c>
    </row>
    <row r="442" spans="1:29" x14ac:dyDescent="0.3">
      <c r="A442" t="s">
        <v>454</v>
      </c>
      <c r="B442" s="3">
        <v>45063</v>
      </c>
      <c r="C442" s="3" t="str">
        <v>May-2023</v>
      </c>
      <c r="D442" s="11" t="str">
        <f t="shared" si="24"/>
        <v>Q2-2023</v>
      </c>
      <c r="E442" s="3">
        <v>45080</v>
      </c>
      <c r="F442" s="3">
        <v>45063</v>
      </c>
      <c r="G442" s="4">
        <f t="shared" si="25"/>
        <v>17</v>
      </c>
      <c r="H442" s="4" t="str">
        <v>delayed</v>
      </c>
      <c r="I442" s="4">
        <f t="shared" si="27"/>
        <v>0</v>
      </c>
      <c r="J442" t="s">
        <v>647</v>
      </c>
      <c r="K442" t="s">
        <v>659</v>
      </c>
      <c r="L442" t="s">
        <v>699</v>
      </c>
      <c r="M442" t="s">
        <v>703</v>
      </c>
      <c r="N442" t="s">
        <v>710</v>
      </c>
      <c r="O442" t="s">
        <v>724</v>
      </c>
      <c r="P442" t="s">
        <v>728</v>
      </c>
      <c r="Q442" t="str" cm="1">
        <f t="array" ref="Q442">_xlfn.IFS(U442&lt;=_xlfn.QUARTILE.INC($U$2:$U1073,1),"Low",B442&lt;=_xlfn.QUARTILE.INC($U$2:$U$633,2),"Medium",TRUE,"High")</f>
        <v>High</v>
      </c>
      <c r="R442" t="s">
        <v>1173</v>
      </c>
      <c r="S442" s="4">
        <v>979.59</v>
      </c>
      <c r="T442">
        <v>2210.94</v>
      </c>
      <c r="U442">
        <v>2210.94</v>
      </c>
      <c r="V442" s="7">
        <v>0.15</v>
      </c>
      <c r="W442" s="7">
        <v>0.15</v>
      </c>
      <c r="X442" s="7" t="str">
        <f t="shared" si="26"/>
        <v>okay</v>
      </c>
      <c r="Y442" s="9">
        <v>11</v>
      </c>
      <c r="Z442">
        <v>20672.289000000001</v>
      </c>
      <c r="AA442">
        <v>10775.49</v>
      </c>
      <c r="AB442">
        <v>9896.7990000000009</v>
      </c>
      <c r="AC442">
        <v>0.47874712858358359</v>
      </c>
    </row>
    <row r="443" spans="1:29" x14ac:dyDescent="0.3">
      <c r="A443" t="s">
        <v>455</v>
      </c>
      <c r="B443" s="3">
        <v>45374</v>
      </c>
      <c r="C443" s="3" t="str">
        <v>Mar-2024</v>
      </c>
      <c r="D443" s="11" t="str">
        <f t="shared" si="24"/>
        <v>Q1-2024</v>
      </c>
      <c r="E443" s="3">
        <v>45377</v>
      </c>
      <c r="F443" s="3">
        <v>45374</v>
      </c>
      <c r="G443" s="4">
        <f t="shared" si="25"/>
        <v>3</v>
      </c>
      <c r="H443" s="4" t="str">
        <v>ontime</v>
      </c>
      <c r="I443" s="4">
        <f t="shared" si="27"/>
        <v>1</v>
      </c>
      <c r="J443" t="s">
        <v>647</v>
      </c>
      <c r="K443" t="s">
        <v>654</v>
      </c>
      <c r="L443" t="s">
        <v>668</v>
      </c>
      <c r="M443" t="s">
        <v>702</v>
      </c>
      <c r="N443" t="s">
        <v>711</v>
      </c>
      <c r="O443" t="s">
        <v>715</v>
      </c>
      <c r="P443" t="s">
        <v>730</v>
      </c>
      <c r="Q443" t="str" cm="1">
        <f t="array" ref="Q443">_xlfn.IFS(U443&lt;=_xlfn.QUARTILE.INC($U$2:$U1074,1),"Low",B443&lt;=_xlfn.QUARTILE.INC($U$2:$U$633,2),"Medium",TRUE,"High")</f>
        <v>Low</v>
      </c>
      <c r="R443" t="s">
        <v>1174</v>
      </c>
      <c r="S443" s="4">
        <v>382.21</v>
      </c>
      <c r="T443">
        <v>571.89</v>
      </c>
      <c r="U443">
        <v>571.89</v>
      </c>
      <c r="V443" s="7">
        <v>0.14799999999999999</v>
      </c>
      <c r="W443" s="7">
        <v>0.14799999999999999</v>
      </c>
      <c r="X443" s="7" t="str">
        <f t="shared" si="26"/>
        <v>okay</v>
      </c>
      <c r="Y443" s="9">
        <v>26</v>
      </c>
      <c r="Z443">
        <v>12668.50728</v>
      </c>
      <c r="AA443">
        <v>9937.4599999999991</v>
      </c>
      <c r="AB443">
        <v>2731.0472800000007</v>
      </c>
      <c r="AC443">
        <v>0.2155776698578809</v>
      </c>
    </row>
    <row r="444" spans="1:29" x14ac:dyDescent="0.3">
      <c r="A444" t="s">
        <v>456</v>
      </c>
      <c r="B444" s="3">
        <v>45189</v>
      </c>
      <c r="C444" s="3" t="str">
        <v>Sep-2023</v>
      </c>
      <c r="D444" s="11" t="str">
        <f t="shared" si="24"/>
        <v>Q3-2023</v>
      </c>
      <c r="E444" s="3">
        <v>45197</v>
      </c>
      <c r="F444" s="3">
        <v>45189</v>
      </c>
      <c r="G444" s="4">
        <f t="shared" si="25"/>
        <v>8</v>
      </c>
      <c r="H444" s="4" t="str">
        <v>delayed</v>
      </c>
      <c r="I444" s="4">
        <f t="shared" si="27"/>
        <v>0</v>
      </c>
      <c r="J444" t="s">
        <v>647</v>
      </c>
      <c r="K444" t="s">
        <v>654</v>
      </c>
      <c r="L444" t="s">
        <v>1421</v>
      </c>
      <c r="M444" t="s">
        <v>701</v>
      </c>
      <c r="N444" t="s">
        <v>1421</v>
      </c>
      <c r="O444" t="s">
        <v>717</v>
      </c>
      <c r="P444" t="s">
        <v>733</v>
      </c>
      <c r="Q444" t="str" cm="1">
        <f t="array" ref="Q444">_xlfn.IFS(U444&lt;=_xlfn.QUARTILE.INC($U$2:$U1075,1),"Low",B444&lt;=_xlfn.QUARTILE.INC($U$2:$U$633,2),"Medium",TRUE,"High")</f>
        <v>High</v>
      </c>
      <c r="R444" t="s">
        <v>1175</v>
      </c>
      <c r="S444" s="4">
        <v>1362.06</v>
      </c>
      <c r="T444">
        <v>3398.37</v>
      </c>
      <c r="U444">
        <v>3398.37</v>
      </c>
      <c r="V444" s="7">
        <v>0.157</v>
      </c>
      <c r="W444" s="7">
        <v>0.157</v>
      </c>
      <c r="X444" s="7" t="str">
        <f t="shared" si="26"/>
        <v>okay</v>
      </c>
      <c r="Y444" s="9">
        <v>11</v>
      </c>
      <c r="Z444">
        <v>31513.085009999999</v>
      </c>
      <c r="AA444">
        <v>14982.66</v>
      </c>
      <c r="AB444">
        <v>16530.425009999999</v>
      </c>
      <c r="AC444">
        <v>0.52455749745714919</v>
      </c>
    </row>
    <row r="445" spans="1:29" x14ac:dyDescent="0.3">
      <c r="A445" t="s">
        <v>457</v>
      </c>
      <c r="B445" s="3">
        <v>45526</v>
      </c>
      <c r="C445" s="3" t="str">
        <v>Aug-2024</v>
      </c>
      <c r="D445" s="11" t="str">
        <f t="shared" si="24"/>
        <v>Q3-2024</v>
      </c>
      <c r="E445" s="3">
        <v>45539</v>
      </c>
      <c r="F445" s="3">
        <v>45526</v>
      </c>
      <c r="G445" s="4">
        <f t="shared" si="25"/>
        <v>13</v>
      </c>
      <c r="H445" s="4" t="str">
        <v>delayed</v>
      </c>
      <c r="I445" s="4">
        <f t="shared" si="27"/>
        <v>0</v>
      </c>
      <c r="J445" t="s">
        <v>649</v>
      </c>
      <c r="K445" t="s">
        <v>656</v>
      </c>
      <c r="L445" t="s">
        <v>698</v>
      </c>
      <c r="M445" t="s">
        <v>703</v>
      </c>
      <c r="N445" t="s">
        <v>707</v>
      </c>
      <c r="O445" t="s">
        <v>716</v>
      </c>
      <c r="P445" t="s">
        <v>728</v>
      </c>
      <c r="Q445" t="str" cm="1">
        <f t="array" ref="Q445">_xlfn.IFS(U445&lt;=_xlfn.QUARTILE.INC($U$2:$U1076,1),"Low",B445&lt;=_xlfn.QUARTILE.INC($U$2:$U$633,2),"Medium",TRUE,"High")</f>
        <v>Low</v>
      </c>
      <c r="R445" t="s">
        <v>1176</v>
      </c>
      <c r="S445" s="4">
        <v>90.04</v>
      </c>
      <c r="T445">
        <v>194.62</v>
      </c>
      <c r="U445">
        <v>194.62</v>
      </c>
      <c r="V445" s="7">
        <v>4.2999999999999997E-2</v>
      </c>
      <c r="W445" s="7">
        <v>4.2999999999999997E-2</v>
      </c>
      <c r="X445" s="7" t="str">
        <f t="shared" si="26"/>
        <v>okay</v>
      </c>
      <c r="Y445" s="9">
        <v>32</v>
      </c>
      <c r="Z445">
        <v>5960.04288</v>
      </c>
      <c r="AA445">
        <v>2881.28</v>
      </c>
      <c r="AB445">
        <v>3078.7628799999998</v>
      </c>
      <c r="AC445">
        <v>0.51656723650954672</v>
      </c>
    </row>
    <row r="446" spans="1:29" x14ac:dyDescent="0.3">
      <c r="A446" t="s">
        <v>458</v>
      </c>
      <c r="B446" s="3">
        <v>45560</v>
      </c>
      <c r="C446" s="3" t="str">
        <v>Sep-2024</v>
      </c>
      <c r="D446" s="11" t="str">
        <f t="shared" si="24"/>
        <v>Q3-2024</v>
      </c>
      <c r="E446" s="3">
        <v>45568</v>
      </c>
      <c r="F446" s="3">
        <v>45560</v>
      </c>
      <c r="G446" s="4">
        <f t="shared" si="25"/>
        <v>8</v>
      </c>
      <c r="H446" s="4" t="str">
        <v>delayed</v>
      </c>
      <c r="I446" s="4">
        <f t="shared" si="27"/>
        <v>0</v>
      </c>
      <c r="J446" t="s">
        <v>648</v>
      </c>
      <c r="K446" t="s">
        <v>653</v>
      </c>
      <c r="L446" t="s">
        <v>667</v>
      </c>
      <c r="M446" t="s">
        <v>704</v>
      </c>
      <c r="N446" t="s">
        <v>708</v>
      </c>
      <c r="O446" t="s">
        <v>718</v>
      </c>
      <c r="P446" t="s">
        <v>728</v>
      </c>
      <c r="Q446" t="str" cm="1">
        <f t="array" ref="Q446">_xlfn.IFS(U446&lt;=_xlfn.QUARTILE.INC($U$2:$U1077,1),"Low",B446&lt;=_xlfn.QUARTILE.INC($U$2:$U$633,2),"Medium",TRUE,"High")</f>
        <v>High</v>
      </c>
      <c r="R446" t="s">
        <v>1177</v>
      </c>
      <c r="S446" s="4">
        <v>558.19000000000005</v>
      </c>
      <c r="T446">
        <v>1031.6400000000001</v>
      </c>
      <c r="U446">
        <v>1031.6400000000001</v>
      </c>
      <c r="V446" s="7">
        <v>0</v>
      </c>
      <c r="W446" s="7">
        <v>0</v>
      </c>
      <c r="X446" s="7" t="str">
        <f t="shared" si="26"/>
        <v>okay</v>
      </c>
      <c r="Y446" s="9">
        <v>21</v>
      </c>
      <c r="Z446">
        <v>21664.440000000002</v>
      </c>
      <c r="AA446">
        <v>11721.990000000002</v>
      </c>
      <c r="AB446">
        <v>9942.4500000000007</v>
      </c>
      <c r="AC446">
        <v>0.45892947152107322</v>
      </c>
    </row>
    <row r="447" spans="1:29" x14ac:dyDescent="0.3">
      <c r="A447" t="s">
        <v>459</v>
      </c>
      <c r="B447" s="3">
        <v>45090</v>
      </c>
      <c r="C447" s="3" t="str">
        <v>Jun-2023</v>
      </c>
      <c r="D447" s="11" t="str">
        <f t="shared" si="24"/>
        <v>Q2-2023</v>
      </c>
      <c r="E447" s="3">
        <v>45101</v>
      </c>
      <c r="F447" s="3">
        <v>45090</v>
      </c>
      <c r="G447" s="4">
        <f t="shared" si="25"/>
        <v>11</v>
      </c>
      <c r="H447" s="4" t="str">
        <v>delayed</v>
      </c>
      <c r="I447" s="4">
        <f t="shared" si="27"/>
        <v>0</v>
      </c>
      <c r="J447" t="s">
        <v>648</v>
      </c>
      <c r="K447" t="s">
        <v>653</v>
      </c>
      <c r="L447" t="s">
        <v>667</v>
      </c>
      <c r="M447" t="s">
        <v>701</v>
      </c>
      <c r="N447" t="s">
        <v>708</v>
      </c>
      <c r="O447" t="s">
        <v>712</v>
      </c>
      <c r="P447" t="s">
        <v>728</v>
      </c>
      <c r="Q447" t="str" cm="1">
        <f t="array" ref="Q447">_xlfn.IFS(U447&lt;=_xlfn.QUARTILE.INC($U$2:$U1078,1),"Low",B447&lt;=_xlfn.QUARTILE.INC($U$2:$U$633,2),"Medium",TRUE,"High")</f>
        <v>Low</v>
      </c>
      <c r="R447" t="s">
        <v>1178</v>
      </c>
      <c r="S447" s="4">
        <v>247.07</v>
      </c>
      <c r="T447">
        <v>495.19</v>
      </c>
      <c r="U447">
        <v>495.19</v>
      </c>
      <c r="V447" s="7">
        <v>2.8000000000000001E-2</v>
      </c>
      <c r="W447" s="7">
        <v>2.8000000000000001E-2</v>
      </c>
      <c r="X447" s="7" t="str">
        <f t="shared" si="26"/>
        <v>okay</v>
      </c>
      <c r="Y447" s="9">
        <v>4</v>
      </c>
      <c r="Z447">
        <v>1925.29872</v>
      </c>
      <c r="AA447">
        <v>988.28</v>
      </c>
      <c r="AB447">
        <v>937.01872000000003</v>
      </c>
      <c r="AC447">
        <v>0.48668744764968214</v>
      </c>
    </row>
    <row r="448" spans="1:29" x14ac:dyDescent="0.3">
      <c r="A448" t="s">
        <v>460</v>
      </c>
      <c r="B448" s="3">
        <v>45284</v>
      </c>
      <c r="C448" s="3" t="str">
        <v>Dec-2023</v>
      </c>
      <c r="D448" s="11" t="str">
        <f t="shared" si="24"/>
        <v>Q4-2023</v>
      </c>
      <c r="E448" s="3">
        <v>45304</v>
      </c>
      <c r="F448" s="3">
        <v>45284</v>
      </c>
      <c r="G448" s="4">
        <f t="shared" si="25"/>
        <v>20</v>
      </c>
      <c r="H448" s="4" t="str">
        <v>delayed</v>
      </c>
      <c r="I448" s="4">
        <f t="shared" si="27"/>
        <v>0</v>
      </c>
      <c r="J448" t="s">
        <v>647</v>
      </c>
      <c r="K448" t="s">
        <v>652</v>
      </c>
      <c r="L448" t="s">
        <v>694</v>
      </c>
      <c r="M448" t="s">
        <v>702</v>
      </c>
      <c r="N448" t="s">
        <v>711</v>
      </c>
      <c r="O448" t="s">
        <v>717</v>
      </c>
      <c r="P448" t="s">
        <v>731</v>
      </c>
      <c r="Q448" t="str" cm="1">
        <f t="array" ref="Q448">_xlfn.IFS(U448&lt;=_xlfn.QUARTILE.INC($U$2:$U1079,1),"Low",B448&lt;=_xlfn.QUARTILE.INC($U$2:$U$633,2),"Medium",TRUE,"High")</f>
        <v>High</v>
      </c>
      <c r="R448" t="s">
        <v>1179</v>
      </c>
      <c r="S448" s="4">
        <v>625.37</v>
      </c>
      <c r="T448">
        <v>1319.04</v>
      </c>
      <c r="U448">
        <v>1319.04</v>
      </c>
      <c r="V448" s="7">
        <v>7.3999999999999996E-2</v>
      </c>
      <c r="W448" s="7">
        <v>7.3999999999999996E-2</v>
      </c>
      <c r="X448" s="7" t="str">
        <f t="shared" si="26"/>
        <v>okay</v>
      </c>
      <c r="Y448" s="9">
        <v>8</v>
      </c>
      <c r="Z448">
        <v>9771.4483199999995</v>
      </c>
      <c r="AA448">
        <v>5002.96</v>
      </c>
      <c r="AB448">
        <v>4768.4883199999995</v>
      </c>
      <c r="AC448">
        <v>0.48800220436513547</v>
      </c>
    </row>
    <row r="449" spans="1:29" x14ac:dyDescent="0.3">
      <c r="A449" t="s">
        <v>461</v>
      </c>
      <c r="B449" s="3">
        <v>45746</v>
      </c>
      <c r="C449" s="3" t="str">
        <v>Mar-2025</v>
      </c>
      <c r="D449" s="11" t="str">
        <f t="shared" si="24"/>
        <v>Q1-2025</v>
      </c>
      <c r="E449" s="3">
        <v>45776</v>
      </c>
      <c r="F449" s="3">
        <v>45746</v>
      </c>
      <c r="G449" s="4">
        <f t="shared" si="25"/>
        <v>30</v>
      </c>
      <c r="H449" s="4" t="str">
        <v>delayed</v>
      </c>
      <c r="I449" s="4">
        <f t="shared" si="27"/>
        <v>0</v>
      </c>
      <c r="J449" t="s">
        <v>646</v>
      </c>
      <c r="K449" t="s">
        <v>661</v>
      </c>
      <c r="L449" t="s">
        <v>687</v>
      </c>
      <c r="M449" t="s">
        <v>704</v>
      </c>
      <c r="N449" t="s">
        <v>709</v>
      </c>
      <c r="O449" t="s">
        <v>713</v>
      </c>
      <c r="P449" t="s">
        <v>732</v>
      </c>
      <c r="Q449" t="str" cm="1">
        <f t="array" ref="Q449">_xlfn.IFS(U449&lt;=_xlfn.QUARTILE.INC($U$2:$U1080,1),"Low",B449&lt;=_xlfn.QUARTILE.INC($U$2:$U$633,2),"Medium",TRUE,"High")</f>
        <v>Low</v>
      </c>
      <c r="R449" t="s">
        <v>1180</v>
      </c>
      <c r="S449" s="4">
        <v>194.6</v>
      </c>
      <c r="T449">
        <v>314.87</v>
      </c>
      <c r="U449">
        <v>314.87</v>
      </c>
      <c r="V449" s="7">
        <v>0.29299999999999998</v>
      </c>
      <c r="W449" s="7">
        <v>0.29299999999999998</v>
      </c>
      <c r="X449" s="7" t="str">
        <f t="shared" si="26"/>
        <v>High discount</v>
      </c>
      <c r="Y449" s="9">
        <v>25</v>
      </c>
      <c r="Z449">
        <v>5565.3272500000003</v>
      </c>
      <c r="AA449">
        <v>4865</v>
      </c>
      <c r="AB449">
        <v>700.32725000000028</v>
      </c>
      <c r="AC449">
        <v>0.1258375686712763</v>
      </c>
    </row>
    <row r="450" spans="1:29" x14ac:dyDescent="0.3">
      <c r="A450" t="s">
        <v>462</v>
      </c>
      <c r="B450" s="3">
        <v>45446</v>
      </c>
      <c r="C450" s="3" t="str">
        <v>Jun-2024</v>
      </c>
      <c r="D450" s="11" t="str">
        <f t="shared" si="24"/>
        <v>Q2-2024</v>
      </c>
      <c r="E450" s="3">
        <v>45467</v>
      </c>
      <c r="F450" s="3">
        <v>45446</v>
      </c>
      <c r="G450" s="4">
        <f t="shared" si="25"/>
        <v>21</v>
      </c>
      <c r="H450" s="4" t="str">
        <v>delayed</v>
      </c>
      <c r="I450" s="4">
        <f t="shared" si="27"/>
        <v>0</v>
      </c>
      <c r="J450" t="s">
        <v>648</v>
      </c>
      <c r="K450" t="s">
        <v>653</v>
      </c>
      <c r="L450" t="s">
        <v>667</v>
      </c>
      <c r="M450" t="s">
        <v>705</v>
      </c>
      <c r="N450" t="s">
        <v>711</v>
      </c>
      <c r="O450" t="s">
        <v>715</v>
      </c>
      <c r="P450" t="s">
        <v>732</v>
      </c>
      <c r="Q450" t="str" cm="1">
        <f t="array" ref="Q450">_xlfn.IFS(U450&lt;=_xlfn.QUARTILE.INC($U$2:$U1081,1),"Low",B450&lt;=_xlfn.QUARTILE.INC($U$2:$U$633,2),"Medium",TRUE,"High")</f>
        <v>High</v>
      </c>
      <c r="R450" t="s">
        <v>1181</v>
      </c>
      <c r="S450" s="4">
        <v>1205.5</v>
      </c>
      <c r="T450">
        <v>2210.17</v>
      </c>
      <c r="U450">
        <v>2210.17</v>
      </c>
      <c r="V450" s="7">
        <v>0.104</v>
      </c>
      <c r="W450" s="7">
        <v>0.104</v>
      </c>
      <c r="X450" s="7" t="str">
        <f t="shared" si="26"/>
        <v>okay</v>
      </c>
      <c r="Y450" s="9">
        <v>23</v>
      </c>
      <c r="Z450">
        <v>45547.183360000003</v>
      </c>
      <c r="AA450">
        <v>27726.5</v>
      </c>
      <c r="AB450">
        <v>17820.683360000003</v>
      </c>
      <c r="AC450">
        <v>0.39125763758314652</v>
      </c>
    </row>
    <row r="451" spans="1:29" x14ac:dyDescent="0.3">
      <c r="A451" t="s">
        <v>463</v>
      </c>
      <c r="B451" s="3">
        <v>45454</v>
      </c>
      <c r="C451" s="3" t="str">
        <v>Jun-2024</v>
      </c>
      <c r="D451" s="11" t="str">
        <f t="shared" ref="D451:D514" si="28">"Q" &amp; ROUNDUP(MONTH(C451)/3,0) &amp; "-" &amp; YEAR(C451)</f>
        <v>Q2-2024</v>
      </c>
      <c r="E451" s="3">
        <v>45482</v>
      </c>
      <c r="F451" s="3">
        <v>45454</v>
      </c>
      <c r="G451" s="4">
        <f t="shared" ref="G451:G514" si="29">(E451-F451)</f>
        <v>28</v>
      </c>
      <c r="H451" s="4" t="str">
        <v>delayed</v>
      </c>
      <c r="I451" s="4">
        <f t="shared" si="27"/>
        <v>0</v>
      </c>
      <c r="J451" t="s">
        <v>646</v>
      </c>
      <c r="K451" t="s">
        <v>651</v>
      </c>
      <c r="L451" t="s">
        <v>663</v>
      </c>
      <c r="M451" t="s">
        <v>701</v>
      </c>
      <c r="N451" t="s">
        <v>709</v>
      </c>
      <c r="O451" t="s">
        <v>714</v>
      </c>
      <c r="P451" t="s">
        <v>730</v>
      </c>
      <c r="Q451" t="str" cm="1">
        <f t="array" ref="Q451">_xlfn.IFS(U451&lt;=_xlfn.QUARTILE.INC($U$2:$U1082,1),"Low",B451&lt;=_xlfn.QUARTILE.INC($U$2:$U$633,2),"Medium",TRUE,"High")</f>
        <v>High</v>
      </c>
      <c r="R451" t="s">
        <v>1182</v>
      </c>
      <c r="S451" s="4">
        <v>895.54</v>
      </c>
      <c r="T451">
        <v>1045</v>
      </c>
      <c r="U451">
        <v>1045</v>
      </c>
      <c r="V451" s="7">
        <v>0.216</v>
      </c>
      <c r="W451" s="7">
        <v>0.216</v>
      </c>
      <c r="X451" s="7" t="str">
        <f t="shared" ref="X451:X514" si="30">IF(V451&gt;0.2, "High discount","okay")</f>
        <v>High discount</v>
      </c>
      <c r="Y451" s="9">
        <v>15</v>
      </c>
      <c r="Z451">
        <v>12289.2</v>
      </c>
      <c r="AA451">
        <v>13433.099999999999</v>
      </c>
      <c r="AB451">
        <v>-1143.8999999999978</v>
      </c>
      <c r="AC451">
        <v>-9.3081730299775234E-2</v>
      </c>
    </row>
    <row r="452" spans="1:29" x14ac:dyDescent="0.3">
      <c r="A452" t="s">
        <v>464</v>
      </c>
      <c r="B452" s="3">
        <v>45129</v>
      </c>
      <c r="C452" s="3" t="str">
        <v>Jul-2023</v>
      </c>
      <c r="D452" s="11" t="str">
        <f t="shared" si="28"/>
        <v>Q3-2023</v>
      </c>
      <c r="E452" s="3">
        <v>45128</v>
      </c>
      <c r="F452" s="3">
        <v>45136</v>
      </c>
      <c r="G452" s="4">
        <f t="shared" si="29"/>
        <v>-8</v>
      </c>
      <c r="H452" s="4" t="str">
        <v>ontime</v>
      </c>
      <c r="I452" s="4">
        <f t="shared" si="27"/>
        <v>1</v>
      </c>
      <c r="J452" t="s">
        <v>647</v>
      </c>
      <c r="K452" t="s">
        <v>654</v>
      </c>
      <c r="L452" t="s">
        <v>680</v>
      </c>
      <c r="M452" t="s">
        <v>705</v>
      </c>
      <c r="N452" t="s">
        <v>710</v>
      </c>
      <c r="O452" t="s">
        <v>718</v>
      </c>
      <c r="P452" t="s">
        <v>728</v>
      </c>
      <c r="Q452" t="str" cm="1">
        <f t="array" ref="Q452">_xlfn.IFS(U452&lt;=_xlfn.QUARTILE.INC($U$2:$U1083,1),"Low",B452&lt;=_xlfn.QUARTILE.INC($U$2:$U$633,2),"Medium",TRUE,"High")</f>
        <v>High</v>
      </c>
      <c r="R452" t="s">
        <v>1183</v>
      </c>
      <c r="S452" s="4">
        <v>946.99</v>
      </c>
      <c r="T452">
        <v>2132.19</v>
      </c>
      <c r="U452">
        <v>2132.19</v>
      </c>
      <c r="V452" s="7">
        <v>0.16500000000000001</v>
      </c>
      <c r="W452" s="7">
        <v>0.16500000000000001</v>
      </c>
      <c r="X452" s="7" t="str">
        <f t="shared" si="30"/>
        <v>okay</v>
      </c>
      <c r="Y452" s="9">
        <v>7</v>
      </c>
      <c r="Z452">
        <v>12462.65055</v>
      </c>
      <c r="AA452">
        <v>6628.93</v>
      </c>
      <c r="AB452">
        <v>5833.72055</v>
      </c>
      <c r="AC452">
        <v>0.46809629513362228</v>
      </c>
    </row>
    <row r="453" spans="1:29" x14ac:dyDescent="0.3">
      <c r="A453" t="s">
        <v>465</v>
      </c>
      <c r="B453" s="3">
        <v>44945</v>
      </c>
      <c r="C453" s="3" t="str">
        <v>Jan-2023</v>
      </c>
      <c r="D453" s="11" t="str">
        <f t="shared" si="28"/>
        <v>Q1-2023</v>
      </c>
      <c r="E453" s="3">
        <v>44960</v>
      </c>
      <c r="F453" s="3">
        <v>44945</v>
      </c>
      <c r="G453" s="4">
        <f t="shared" si="29"/>
        <v>15</v>
      </c>
      <c r="H453" s="4" t="str">
        <v>delayed</v>
      </c>
      <c r="I453" s="4">
        <f t="shared" si="27"/>
        <v>0</v>
      </c>
      <c r="J453" t="s">
        <v>649</v>
      </c>
      <c r="K453" t="s">
        <v>658</v>
      </c>
      <c r="L453" t="s">
        <v>683</v>
      </c>
      <c r="M453" t="s">
        <v>706</v>
      </c>
      <c r="N453" t="s">
        <v>710</v>
      </c>
      <c r="O453" t="s">
        <v>715</v>
      </c>
      <c r="P453" t="s">
        <v>733</v>
      </c>
      <c r="Q453" t="str" cm="1">
        <f t="array" ref="Q453">_xlfn.IFS(U453&lt;=_xlfn.QUARTILE.INC($U$2:$U1084,1),"Low",B453&lt;=_xlfn.QUARTILE.INC($U$2:$U$633,2),"Medium",TRUE,"High")</f>
        <v>High</v>
      </c>
      <c r="R453" t="s">
        <v>1184</v>
      </c>
      <c r="S453" s="4">
        <v>873.06</v>
      </c>
      <c r="T453">
        <v>2101.5500000000002</v>
      </c>
      <c r="U453">
        <v>2101.5500000000002</v>
      </c>
      <c r="V453" s="7">
        <v>6.6000000000000003E-2</v>
      </c>
      <c r="W453" s="7">
        <v>6.6000000000000003E-2</v>
      </c>
      <c r="X453" s="7" t="str">
        <f t="shared" si="30"/>
        <v>okay</v>
      </c>
      <c r="Y453" s="9">
        <v>10</v>
      </c>
      <c r="Z453">
        <v>19628.476999999999</v>
      </c>
      <c r="AA453">
        <v>8730.5999999999985</v>
      </c>
      <c r="AB453">
        <v>10897.877</v>
      </c>
      <c r="AC453">
        <v>0.55520746719167269</v>
      </c>
    </row>
    <row r="454" spans="1:29" x14ac:dyDescent="0.3">
      <c r="A454" t="s">
        <v>466</v>
      </c>
      <c r="B454" s="3">
        <v>45413</v>
      </c>
      <c r="C454" s="3" t="str">
        <v>May-2024</v>
      </c>
      <c r="D454" s="11" t="str">
        <f t="shared" si="28"/>
        <v>Q2-2024</v>
      </c>
      <c r="E454" s="3">
        <v>45428</v>
      </c>
      <c r="F454" s="3">
        <v>45413</v>
      </c>
      <c r="G454" s="4">
        <f t="shared" si="29"/>
        <v>15</v>
      </c>
      <c r="H454" s="4" t="str">
        <v>delayed</v>
      </c>
      <c r="I454" s="4">
        <f t="shared" si="27"/>
        <v>0</v>
      </c>
      <c r="J454" t="s">
        <v>647</v>
      </c>
      <c r="K454" t="s">
        <v>654</v>
      </c>
      <c r="L454" t="s">
        <v>668</v>
      </c>
      <c r="M454" t="s">
        <v>705</v>
      </c>
      <c r="N454" t="s">
        <v>707</v>
      </c>
      <c r="O454" t="s">
        <v>716</v>
      </c>
      <c r="P454" t="s">
        <v>727</v>
      </c>
      <c r="Q454" t="str" cm="1">
        <f t="array" ref="Q454">_xlfn.IFS(U454&lt;=_xlfn.QUARTILE.INC($U$2:$U1085,1),"Low",B454&lt;=_xlfn.QUARTILE.INC($U$2:$U$633,2),"Medium",TRUE,"High")</f>
        <v>High</v>
      </c>
      <c r="R454" t="s">
        <v>1185</v>
      </c>
      <c r="S454" s="4">
        <v>901.19</v>
      </c>
      <c r="T454">
        <v>2125.44</v>
      </c>
      <c r="U454">
        <v>2125.44</v>
      </c>
      <c r="V454" s="7">
        <v>7.0999999999999994E-2</v>
      </c>
      <c r="W454" s="7">
        <v>7.0999999999999994E-2</v>
      </c>
      <c r="X454" s="7" t="str">
        <f t="shared" si="30"/>
        <v>okay</v>
      </c>
      <c r="Y454" s="9">
        <v>12</v>
      </c>
      <c r="Z454">
        <v>23694.405119999999</v>
      </c>
      <c r="AA454">
        <v>10814.28</v>
      </c>
      <c r="AB454">
        <v>12880.125119999999</v>
      </c>
      <c r="AC454">
        <v>0.54359352154100415</v>
      </c>
    </row>
    <row r="455" spans="1:29" x14ac:dyDescent="0.3">
      <c r="A455" t="s">
        <v>467</v>
      </c>
      <c r="B455" s="3">
        <v>45817</v>
      </c>
      <c r="C455" s="3" t="str">
        <v>Jun-2025</v>
      </c>
      <c r="D455" s="11" t="str">
        <f t="shared" si="28"/>
        <v>Q2-2025</v>
      </c>
      <c r="E455" s="3">
        <v>45832</v>
      </c>
      <c r="F455" s="3">
        <v>45817</v>
      </c>
      <c r="G455" s="4">
        <f t="shared" si="29"/>
        <v>15</v>
      </c>
      <c r="H455" s="4" t="str">
        <v>delayed</v>
      </c>
      <c r="I455" s="4">
        <f t="shared" si="27"/>
        <v>0</v>
      </c>
      <c r="J455" t="s">
        <v>647</v>
      </c>
      <c r="K455" t="s">
        <v>652</v>
      </c>
      <c r="L455" t="s">
        <v>694</v>
      </c>
      <c r="M455" t="s">
        <v>701</v>
      </c>
      <c r="N455" t="s">
        <v>711</v>
      </c>
      <c r="O455" t="s">
        <v>717</v>
      </c>
      <c r="P455" t="s">
        <v>730</v>
      </c>
      <c r="Q455" t="str" cm="1">
        <f t="array" ref="Q455">_xlfn.IFS(U455&lt;=_xlfn.QUARTILE.INC($U$2:$U1086,1),"Low",B455&lt;=_xlfn.QUARTILE.INC($U$2:$U$633,2),"Medium",TRUE,"High")</f>
        <v>High</v>
      </c>
      <c r="R455" t="s">
        <v>1186</v>
      </c>
      <c r="S455" s="4">
        <v>400.39</v>
      </c>
      <c r="T455">
        <v>712.75</v>
      </c>
      <c r="U455">
        <v>712.75</v>
      </c>
      <c r="V455" s="7">
        <v>0.115</v>
      </c>
      <c r="W455" s="7">
        <v>0.115</v>
      </c>
      <c r="X455" s="7" t="str">
        <f t="shared" si="30"/>
        <v>okay</v>
      </c>
      <c r="Y455" s="9">
        <v>19</v>
      </c>
      <c r="Z455">
        <v>11984.891250000001</v>
      </c>
      <c r="AA455">
        <v>7607.41</v>
      </c>
      <c r="AB455">
        <v>4377.4812500000007</v>
      </c>
      <c r="AC455">
        <v>0.36524997671547504</v>
      </c>
    </row>
    <row r="456" spans="1:29" x14ac:dyDescent="0.3">
      <c r="A456" t="s">
        <v>468</v>
      </c>
      <c r="B456" s="3">
        <v>45070</v>
      </c>
      <c r="C456" s="3" t="str">
        <v>May-2023</v>
      </c>
      <c r="D456" s="11" t="str">
        <f t="shared" si="28"/>
        <v>Q2-2023</v>
      </c>
      <c r="E456" s="3">
        <v>45098</v>
      </c>
      <c r="F456" s="3">
        <v>45070</v>
      </c>
      <c r="G456" s="4">
        <f t="shared" si="29"/>
        <v>28</v>
      </c>
      <c r="H456" s="4" t="str">
        <v>delayed</v>
      </c>
      <c r="I456" s="4">
        <f t="shared" ref="I456:I519" si="31">IF(G456&lt;=7,1,0)</f>
        <v>0</v>
      </c>
      <c r="J456" t="s">
        <v>648</v>
      </c>
      <c r="K456" t="s">
        <v>660</v>
      </c>
      <c r="L456" t="s">
        <v>697</v>
      </c>
      <c r="M456" t="s">
        <v>705</v>
      </c>
      <c r="N456" t="s">
        <v>709</v>
      </c>
      <c r="O456" t="s">
        <v>715</v>
      </c>
      <c r="P456" t="s">
        <v>732</v>
      </c>
      <c r="Q456" t="str" cm="1">
        <f t="array" ref="Q456">_xlfn.IFS(U456&lt;=_xlfn.QUARTILE.INC($U$2:$U1087,1),"Low",B456&lt;=_xlfn.QUARTILE.INC($U$2:$U$633,2),"Medium",TRUE,"High")</f>
        <v>High</v>
      </c>
      <c r="R456" t="s">
        <v>1187</v>
      </c>
      <c r="S456" s="4">
        <v>813.97</v>
      </c>
      <c r="T456">
        <v>1568.83</v>
      </c>
      <c r="U456">
        <v>1568.83</v>
      </c>
      <c r="V456" s="7">
        <v>1.7000000000000001E-2</v>
      </c>
      <c r="W456" s="7">
        <v>1.7000000000000001E-2</v>
      </c>
      <c r="X456" s="7" t="str">
        <f t="shared" si="30"/>
        <v>okay</v>
      </c>
      <c r="Y456" s="9">
        <v>15</v>
      </c>
      <c r="Z456">
        <v>23132.398349999996</v>
      </c>
      <c r="AA456">
        <v>12209.550000000001</v>
      </c>
      <c r="AB456">
        <v>10922.848349999995</v>
      </c>
      <c r="AC456">
        <v>0.4721883215364911</v>
      </c>
    </row>
    <row r="457" spans="1:29" x14ac:dyDescent="0.3">
      <c r="A457" t="s">
        <v>469</v>
      </c>
      <c r="B457" s="3">
        <v>45653</v>
      </c>
      <c r="C457" s="3" t="str">
        <v>Dec-2024</v>
      </c>
      <c r="D457" s="11" t="str">
        <f t="shared" si="28"/>
        <v>Q4-2024</v>
      </c>
      <c r="E457" s="3">
        <v>45655</v>
      </c>
      <c r="F457" s="3">
        <v>45653</v>
      </c>
      <c r="G457" s="4">
        <f t="shared" si="29"/>
        <v>2</v>
      </c>
      <c r="H457" s="4" t="str">
        <v>ontime</v>
      </c>
      <c r="I457" s="4">
        <f t="shared" si="31"/>
        <v>1</v>
      </c>
      <c r="J457" t="s">
        <v>648</v>
      </c>
      <c r="K457" t="s">
        <v>653</v>
      </c>
      <c r="L457" t="s">
        <v>688</v>
      </c>
      <c r="M457" t="s">
        <v>706</v>
      </c>
      <c r="N457" t="s">
        <v>709</v>
      </c>
      <c r="O457" t="s">
        <v>712</v>
      </c>
      <c r="P457" t="s">
        <v>733</v>
      </c>
      <c r="Q457" t="str" cm="1">
        <f t="array" ref="Q457">_xlfn.IFS(U457&lt;=_xlfn.QUARTILE.INC($U$2:$U1088,1),"Low",B457&lt;=_xlfn.QUARTILE.INC($U$2:$U$633,2),"Medium",TRUE,"High")</f>
        <v>High</v>
      </c>
      <c r="R457" t="s">
        <v>1188</v>
      </c>
      <c r="S457" s="4">
        <v>1146.72</v>
      </c>
      <c r="T457">
        <v>2074.34</v>
      </c>
      <c r="U457">
        <v>2074.34</v>
      </c>
      <c r="V457" s="7">
        <v>0.111</v>
      </c>
      <c r="W457" s="7">
        <v>0.111</v>
      </c>
      <c r="X457" s="7" t="str">
        <f t="shared" si="30"/>
        <v>okay</v>
      </c>
      <c r="Y457" s="9">
        <v>8</v>
      </c>
      <c r="Z457">
        <v>14752.706080000002</v>
      </c>
      <c r="AA457">
        <v>9173.76</v>
      </c>
      <c r="AB457">
        <v>5578.9460800000015</v>
      </c>
      <c r="AC457">
        <v>0.37816425337472737</v>
      </c>
    </row>
    <row r="458" spans="1:29" x14ac:dyDescent="0.3">
      <c r="A458" t="s">
        <v>470</v>
      </c>
      <c r="B458" s="3">
        <v>45265</v>
      </c>
      <c r="C458" s="3" t="str">
        <v>Dec-2023</v>
      </c>
      <c r="D458" s="11" t="str">
        <f t="shared" si="28"/>
        <v>Q4-2023</v>
      </c>
      <c r="E458" s="3">
        <v>45272</v>
      </c>
      <c r="F458" s="3">
        <v>45265</v>
      </c>
      <c r="G458" s="4">
        <f t="shared" si="29"/>
        <v>7</v>
      </c>
      <c r="H458" s="4" t="str">
        <v>ontime</v>
      </c>
      <c r="I458" s="4">
        <f t="shared" si="31"/>
        <v>1</v>
      </c>
      <c r="J458" t="s">
        <v>648</v>
      </c>
      <c r="K458" t="s">
        <v>655</v>
      </c>
      <c r="L458" t="s">
        <v>672</v>
      </c>
      <c r="M458" t="s">
        <v>701</v>
      </c>
      <c r="N458" t="s">
        <v>711</v>
      </c>
      <c r="O458" t="s">
        <v>721</v>
      </c>
      <c r="P458" t="s">
        <v>730</v>
      </c>
      <c r="Q458" t="str" cm="1">
        <f t="array" ref="Q458">_xlfn.IFS(U458&lt;=_xlfn.QUARTILE.INC($U$2:$U1089,1),"Low",B458&lt;=_xlfn.QUARTILE.INC($U$2:$U$633,2),"Medium",TRUE,"High")</f>
        <v>Low</v>
      </c>
      <c r="R458" t="s">
        <v>1189</v>
      </c>
      <c r="S458" s="4">
        <v>307.43</v>
      </c>
      <c r="T458">
        <v>495.19</v>
      </c>
      <c r="U458">
        <v>495.19</v>
      </c>
      <c r="V458" s="7">
        <v>0</v>
      </c>
      <c r="W458" s="7">
        <v>0</v>
      </c>
      <c r="X458" s="7" t="str">
        <f t="shared" si="30"/>
        <v>okay</v>
      </c>
      <c r="Y458" s="9">
        <v>42</v>
      </c>
      <c r="Z458">
        <v>20797.98</v>
      </c>
      <c r="AA458">
        <v>12912.06</v>
      </c>
      <c r="AB458">
        <v>7885.92</v>
      </c>
      <c r="AC458">
        <v>0.37916759223732305</v>
      </c>
    </row>
    <row r="459" spans="1:29" x14ac:dyDescent="0.3">
      <c r="A459" t="s">
        <v>471</v>
      </c>
      <c r="B459" s="3">
        <v>45048</v>
      </c>
      <c r="C459" s="3" t="str">
        <v>May-2023</v>
      </c>
      <c r="D459" s="11" t="str">
        <f t="shared" si="28"/>
        <v>Q2-2023</v>
      </c>
      <c r="E459" s="3">
        <v>45065</v>
      </c>
      <c r="F459" s="3">
        <v>45048</v>
      </c>
      <c r="G459" s="4">
        <f t="shared" si="29"/>
        <v>17</v>
      </c>
      <c r="H459" s="4" t="str">
        <v>delayed</v>
      </c>
      <c r="I459" s="4">
        <f t="shared" si="31"/>
        <v>0</v>
      </c>
      <c r="J459" t="s">
        <v>647</v>
      </c>
      <c r="K459" t="s">
        <v>659</v>
      </c>
      <c r="L459" t="s">
        <v>685</v>
      </c>
      <c r="M459" t="s">
        <v>703</v>
      </c>
      <c r="N459" t="s">
        <v>711</v>
      </c>
      <c r="O459" t="s">
        <v>713</v>
      </c>
      <c r="P459" t="s">
        <v>732</v>
      </c>
      <c r="Q459" t="str" cm="1">
        <f t="array" ref="Q459">_xlfn.IFS(U459&lt;=_xlfn.QUARTILE.INC($U$2:$U1090,1),"Low",B459&lt;=_xlfn.QUARTILE.INC($U$2:$U$633,2),"Medium",TRUE,"High")</f>
        <v>High</v>
      </c>
      <c r="R459" t="s">
        <v>1190</v>
      </c>
      <c r="S459" s="4">
        <v>714.28</v>
      </c>
      <c r="T459">
        <v>757.59</v>
      </c>
      <c r="U459">
        <v>757.59</v>
      </c>
      <c r="V459" s="7">
        <v>0.13600000000000001</v>
      </c>
      <c r="W459" s="7">
        <v>0.13600000000000001</v>
      </c>
      <c r="X459" s="7" t="str">
        <f t="shared" si="30"/>
        <v>okay</v>
      </c>
      <c r="Y459" s="9">
        <v>12</v>
      </c>
      <c r="Z459">
        <v>7854.6931199999999</v>
      </c>
      <c r="AA459">
        <v>8571.36</v>
      </c>
      <c r="AB459">
        <v>-716.66688000000067</v>
      </c>
      <c r="AC459">
        <v>-9.1240595787910383E-2</v>
      </c>
    </row>
    <row r="460" spans="1:29" x14ac:dyDescent="0.3">
      <c r="A460" t="s">
        <v>472</v>
      </c>
      <c r="B460" s="3">
        <v>45260</v>
      </c>
      <c r="C460" s="3" t="str">
        <v>Nov-2023</v>
      </c>
      <c r="D460" s="11" t="str">
        <f t="shared" si="28"/>
        <v>Q4-2023</v>
      </c>
      <c r="E460" s="3">
        <v>45270</v>
      </c>
      <c r="F460" s="3">
        <v>45260</v>
      </c>
      <c r="G460" s="4">
        <f t="shared" si="29"/>
        <v>10</v>
      </c>
      <c r="H460" s="4" t="str">
        <v>delayed</v>
      </c>
      <c r="I460" s="4">
        <f t="shared" si="31"/>
        <v>0</v>
      </c>
      <c r="J460" t="s">
        <v>649</v>
      </c>
      <c r="K460" t="s">
        <v>656</v>
      </c>
      <c r="L460" t="s">
        <v>684</v>
      </c>
      <c r="M460" t="s">
        <v>705</v>
      </c>
      <c r="N460" t="s">
        <v>711</v>
      </c>
      <c r="O460" t="s">
        <v>721</v>
      </c>
      <c r="P460" t="s">
        <v>731</v>
      </c>
      <c r="Q460" t="str" cm="1">
        <f t="array" ref="Q460">_xlfn.IFS(U460&lt;=_xlfn.QUARTILE.INC($U$2:$U1091,1),"Low",B460&lt;=_xlfn.QUARTILE.INC($U$2:$U$633,2),"Medium",TRUE,"High")</f>
        <v>Low</v>
      </c>
      <c r="R460" t="s">
        <v>1191</v>
      </c>
      <c r="S460" s="4">
        <v>174.74</v>
      </c>
      <c r="T460">
        <v>415.96</v>
      </c>
      <c r="U460">
        <v>415.96</v>
      </c>
      <c r="V460" s="7">
        <v>0.125</v>
      </c>
      <c r="W460" s="7">
        <v>0.125</v>
      </c>
      <c r="X460" s="7" t="str">
        <f t="shared" si="30"/>
        <v>okay</v>
      </c>
      <c r="Y460" s="9">
        <v>21</v>
      </c>
      <c r="Z460">
        <v>7643.2649999999994</v>
      </c>
      <c r="AA460">
        <v>3669.54</v>
      </c>
      <c r="AB460">
        <v>3973.7249999999995</v>
      </c>
      <c r="AC460">
        <v>0.51989889137691803</v>
      </c>
    </row>
    <row r="461" spans="1:29" x14ac:dyDescent="0.3">
      <c r="A461" t="s">
        <v>473</v>
      </c>
      <c r="B461" s="3">
        <v>45417</v>
      </c>
      <c r="C461" s="3" t="str">
        <v>May-2024</v>
      </c>
      <c r="D461" s="11" t="str">
        <f t="shared" si="28"/>
        <v>Q2-2024</v>
      </c>
      <c r="E461" s="3">
        <v>45430</v>
      </c>
      <c r="F461" s="3">
        <v>45417</v>
      </c>
      <c r="G461" s="4">
        <f t="shared" si="29"/>
        <v>13</v>
      </c>
      <c r="H461" s="4" t="str">
        <v>delayed</v>
      </c>
      <c r="I461" s="4">
        <f t="shared" si="31"/>
        <v>0</v>
      </c>
      <c r="J461" t="s">
        <v>649</v>
      </c>
      <c r="K461" t="s">
        <v>657</v>
      </c>
      <c r="L461" t="s">
        <v>673</v>
      </c>
      <c r="M461" t="s">
        <v>701</v>
      </c>
      <c r="N461" t="s">
        <v>709</v>
      </c>
      <c r="O461" t="s">
        <v>720</v>
      </c>
      <c r="P461" t="s">
        <v>727</v>
      </c>
      <c r="Q461" t="str" cm="1">
        <f t="array" ref="Q461">_xlfn.IFS(U461&lt;=_xlfn.QUARTILE.INC($U$2:$U1092,1),"Low",B461&lt;=_xlfn.QUARTILE.INC($U$2:$U$633,2),"Medium",TRUE,"High")</f>
        <v>High</v>
      </c>
      <c r="R461" t="s">
        <v>1192</v>
      </c>
      <c r="S461" s="4">
        <v>1264.04</v>
      </c>
      <c r="T461">
        <v>1870.89</v>
      </c>
      <c r="U461">
        <v>1870.89</v>
      </c>
      <c r="V461" s="7">
        <v>0</v>
      </c>
      <c r="W461" s="7">
        <v>0</v>
      </c>
      <c r="X461" s="7" t="str">
        <f t="shared" si="30"/>
        <v>okay</v>
      </c>
      <c r="Y461" s="9">
        <v>13</v>
      </c>
      <c r="Z461">
        <v>24321.57</v>
      </c>
      <c r="AA461">
        <v>16432.52</v>
      </c>
      <c r="AB461">
        <v>7889.0499999999993</v>
      </c>
      <c r="AC461">
        <v>0.32436433996653996</v>
      </c>
    </row>
    <row r="462" spans="1:29" x14ac:dyDescent="0.3">
      <c r="A462" t="s">
        <v>474</v>
      </c>
      <c r="B462" s="3">
        <v>45116</v>
      </c>
      <c r="C462" s="3" t="str">
        <v>Jul-2023</v>
      </c>
      <c r="D462" s="11" t="str">
        <f t="shared" si="28"/>
        <v>Q3-2023</v>
      </c>
      <c r="E462" s="3">
        <v>45126</v>
      </c>
      <c r="F462" s="3">
        <v>45116</v>
      </c>
      <c r="G462" s="4">
        <f t="shared" si="29"/>
        <v>10</v>
      </c>
      <c r="H462" s="4" t="str">
        <v>delayed</v>
      </c>
      <c r="I462" s="4">
        <f t="shared" si="31"/>
        <v>0</v>
      </c>
      <c r="J462" t="s">
        <v>647</v>
      </c>
      <c r="K462" t="s">
        <v>652</v>
      </c>
      <c r="L462" t="s">
        <v>689</v>
      </c>
      <c r="M462" t="s">
        <v>706</v>
      </c>
      <c r="N462" t="s">
        <v>710</v>
      </c>
      <c r="O462" t="s">
        <v>725</v>
      </c>
      <c r="P462" t="s">
        <v>727</v>
      </c>
      <c r="Q462" t="str" cm="1">
        <f t="array" ref="Q462">_xlfn.IFS(U462&lt;=_xlfn.QUARTILE.INC($U$2:$U1093,1),"Low",B462&lt;=_xlfn.QUARTILE.INC($U$2:$U$633,2),"Medium",TRUE,"High")</f>
        <v>Low</v>
      </c>
      <c r="R462" t="s">
        <v>1193</v>
      </c>
      <c r="S462" s="4">
        <v>141.26</v>
      </c>
      <c r="T462">
        <v>206.88</v>
      </c>
      <c r="U462">
        <v>206.88</v>
      </c>
      <c r="V462" s="7">
        <v>0.107</v>
      </c>
      <c r="W462" s="7">
        <v>0.107</v>
      </c>
      <c r="X462" s="7" t="str">
        <f t="shared" si="30"/>
        <v>okay</v>
      </c>
      <c r="Y462" s="9">
        <v>9</v>
      </c>
      <c r="Z462">
        <v>1662.6945600000001</v>
      </c>
      <c r="AA462">
        <v>1271.3399999999999</v>
      </c>
      <c r="AB462">
        <v>391.35456000000022</v>
      </c>
      <c r="AC462">
        <v>0.23537369365062469</v>
      </c>
    </row>
    <row r="463" spans="1:29" x14ac:dyDescent="0.3">
      <c r="A463" t="s">
        <v>475</v>
      </c>
      <c r="B463" s="3">
        <v>45063</v>
      </c>
      <c r="C463" s="3" t="str">
        <v>May-2023</v>
      </c>
      <c r="D463" s="11" t="str">
        <f t="shared" si="28"/>
        <v>Q2-2023</v>
      </c>
      <c r="E463" s="3">
        <v>45092</v>
      </c>
      <c r="F463" s="3">
        <v>45063</v>
      </c>
      <c r="G463" s="4">
        <f t="shared" si="29"/>
        <v>29</v>
      </c>
      <c r="H463" s="4" t="str">
        <v>delayed</v>
      </c>
      <c r="I463" s="4">
        <f t="shared" si="31"/>
        <v>0</v>
      </c>
      <c r="J463" t="s">
        <v>646</v>
      </c>
      <c r="K463" t="s">
        <v>661</v>
      </c>
      <c r="L463" t="s">
        <v>687</v>
      </c>
      <c r="M463" t="s">
        <v>706</v>
      </c>
      <c r="N463" t="s">
        <v>707</v>
      </c>
      <c r="O463" t="s">
        <v>723</v>
      </c>
      <c r="P463" t="s">
        <v>733</v>
      </c>
      <c r="Q463" t="str" cm="1">
        <f t="array" ref="Q463">_xlfn.IFS(U463&lt;=_xlfn.QUARTILE.INC($U$2:$U1094,1),"Low",B463&lt;=_xlfn.QUARTILE.INC($U$2:$U$633,2),"Medium",TRUE,"High")</f>
        <v>Low</v>
      </c>
      <c r="R463" t="s">
        <v>1194</v>
      </c>
      <c r="S463" s="4">
        <v>40.89</v>
      </c>
      <c r="T463">
        <v>62.82</v>
      </c>
      <c r="U463">
        <v>62.82</v>
      </c>
      <c r="V463" s="7">
        <v>0.129</v>
      </c>
      <c r="W463" s="7">
        <v>0.129</v>
      </c>
      <c r="X463" s="7" t="str">
        <f t="shared" si="30"/>
        <v>okay</v>
      </c>
      <c r="Y463" s="9">
        <v>17</v>
      </c>
      <c r="Z463">
        <v>930.17574000000002</v>
      </c>
      <c r="AA463">
        <v>695.13</v>
      </c>
      <c r="AB463">
        <v>235.04574000000002</v>
      </c>
      <c r="AC463">
        <v>0.25268960465470752</v>
      </c>
    </row>
    <row r="464" spans="1:29" x14ac:dyDescent="0.3">
      <c r="A464" t="s">
        <v>476</v>
      </c>
      <c r="B464" s="3">
        <v>45358</v>
      </c>
      <c r="C464" s="3" t="str">
        <v>Mar-2024</v>
      </c>
      <c r="D464" s="11" t="str">
        <f t="shared" si="28"/>
        <v>Q1-2024</v>
      </c>
      <c r="E464" s="3">
        <v>45385</v>
      </c>
      <c r="F464" s="3">
        <v>45358</v>
      </c>
      <c r="G464" s="4">
        <f t="shared" si="29"/>
        <v>27</v>
      </c>
      <c r="H464" s="4" t="str">
        <v>delayed</v>
      </c>
      <c r="I464" s="4">
        <f t="shared" si="31"/>
        <v>0</v>
      </c>
      <c r="J464" t="s">
        <v>649</v>
      </c>
      <c r="K464" t="s">
        <v>656</v>
      </c>
      <c r="L464" t="s">
        <v>698</v>
      </c>
      <c r="M464" t="s">
        <v>701</v>
      </c>
      <c r="N464" t="s">
        <v>711</v>
      </c>
      <c r="O464" t="s">
        <v>724</v>
      </c>
      <c r="P464" t="s">
        <v>728</v>
      </c>
      <c r="Q464" t="str" cm="1">
        <f t="array" ref="Q464">_xlfn.IFS(U464&lt;=_xlfn.QUARTILE.INC($U$2:$U1095,1),"Low",B464&lt;=_xlfn.QUARTILE.INC($U$2:$U$633,2),"Medium",TRUE,"High")</f>
        <v>High</v>
      </c>
      <c r="R464" t="s">
        <v>1195</v>
      </c>
      <c r="S464" s="4">
        <v>738.16</v>
      </c>
      <c r="T464">
        <v>956.49</v>
      </c>
      <c r="U464">
        <v>956.49</v>
      </c>
      <c r="V464" s="7">
        <v>0.152</v>
      </c>
      <c r="W464" s="7">
        <v>0.152</v>
      </c>
      <c r="X464" s="7" t="str">
        <f t="shared" si="30"/>
        <v>okay</v>
      </c>
      <c r="Y464" s="9">
        <v>5</v>
      </c>
      <c r="Z464">
        <v>4055.5175999999997</v>
      </c>
      <c r="AA464">
        <v>3690.7999999999997</v>
      </c>
      <c r="AB464">
        <v>364.71759999999995</v>
      </c>
      <c r="AC464">
        <v>8.9931208780847108E-2</v>
      </c>
    </row>
    <row r="465" spans="1:29" x14ac:dyDescent="0.3">
      <c r="A465" t="s">
        <v>477</v>
      </c>
      <c r="B465" s="3">
        <v>45757</v>
      </c>
      <c r="C465" s="3" t="str">
        <v>Apr-2025</v>
      </c>
      <c r="D465" s="11" t="str">
        <f t="shared" si="28"/>
        <v>Q2-2025</v>
      </c>
      <c r="E465" s="3">
        <v>45766</v>
      </c>
      <c r="F465" s="3">
        <v>45757</v>
      </c>
      <c r="G465" s="4">
        <f t="shared" si="29"/>
        <v>9</v>
      </c>
      <c r="H465" s="4" t="str">
        <v>delayed</v>
      </c>
      <c r="I465" s="4">
        <f t="shared" si="31"/>
        <v>0</v>
      </c>
      <c r="J465" t="s">
        <v>646</v>
      </c>
      <c r="K465" t="s">
        <v>661</v>
      </c>
      <c r="L465" t="s">
        <v>687</v>
      </c>
      <c r="M465" t="s">
        <v>706</v>
      </c>
      <c r="N465" t="s">
        <v>1421</v>
      </c>
      <c r="O465" t="s">
        <v>715</v>
      </c>
      <c r="P465" t="s">
        <v>729</v>
      </c>
      <c r="Q465" t="str" cm="1">
        <f t="array" ref="Q465">_xlfn.IFS(U465&lt;=_xlfn.QUARTILE.INC($U$2:$U1096,1),"Low",B465&lt;=_xlfn.QUARTILE.INC($U$2:$U$633,2),"Medium",TRUE,"High")</f>
        <v>Low</v>
      </c>
      <c r="R465" t="s">
        <v>1196</v>
      </c>
      <c r="S465" s="4">
        <v>113.74</v>
      </c>
      <c r="T465">
        <v>165.7</v>
      </c>
      <c r="U465">
        <v>165.7</v>
      </c>
      <c r="V465" s="7">
        <v>0.124</v>
      </c>
      <c r="W465" s="7">
        <v>0.124</v>
      </c>
      <c r="X465" s="7" t="str">
        <f t="shared" si="30"/>
        <v>okay</v>
      </c>
      <c r="Y465" s="9">
        <v>13</v>
      </c>
      <c r="Z465">
        <v>1886.9915999999998</v>
      </c>
      <c r="AA465">
        <v>1478.62</v>
      </c>
      <c r="AB465">
        <v>408.37159999999994</v>
      </c>
      <c r="AC465">
        <v>0.21641410592394794</v>
      </c>
    </row>
    <row r="466" spans="1:29" x14ac:dyDescent="0.3">
      <c r="A466" t="s">
        <v>478</v>
      </c>
      <c r="B466" s="3">
        <v>45865</v>
      </c>
      <c r="C466" s="3" t="str">
        <v>Jul-2025</v>
      </c>
      <c r="D466" s="11" t="str">
        <f t="shared" si="28"/>
        <v>Q3-2025</v>
      </c>
      <c r="E466" s="3">
        <v>45884</v>
      </c>
      <c r="F466" s="3">
        <v>45865</v>
      </c>
      <c r="G466" s="4">
        <f t="shared" si="29"/>
        <v>19</v>
      </c>
      <c r="H466" s="4" t="str">
        <v>delayed</v>
      </c>
      <c r="I466" s="4">
        <f t="shared" si="31"/>
        <v>0</v>
      </c>
      <c r="J466" t="s">
        <v>647</v>
      </c>
      <c r="K466" t="s">
        <v>652</v>
      </c>
      <c r="L466" t="s">
        <v>689</v>
      </c>
      <c r="M466" t="s">
        <v>705</v>
      </c>
      <c r="N466" t="s">
        <v>709</v>
      </c>
      <c r="O466" t="s">
        <v>713</v>
      </c>
      <c r="P466" t="s">
        <v>727</v>
      </c>
      <c r="Q466" t="str" cm="1">
        <f t="array" ref="Q466">_xlfn.IFS(U466&lt;=_xlfn.QUARTILE.INC($U$2:$U1097,1),"Low",B466&lt;=_xlfn.QUARTILE.INC($U$2:$U$633,2),"Medium",TRUE,"High")</f>
        <v>Low</v>
      </c>
      <c r="R466" t="s">
        <v>1197</v>
      </c>
      <c r="S466" s="4">
        <v>275.43</v>
      </c>
      <c r="T466">
        <v>608.36</v>
      </c>
      <c r="U466">
        <v>608.36</v>
      </c>
      <c r="V466" s="7">
        <v>0.25700000000000001</v>
      </c>
      <c r="W466" s="7">
        <v>0.25700000000000001</v>
      </c>
      <c r="X466" s="7" t="str">
        <f t="shared" si="30"/>
        <v>High discount</v>
      </c>
      <c r="Y466" s="9">
        <v>4</v>
      </c>
      <c r="Z466">
        <v>1808.04592</v>
      </c>
      <c r="AA466">
        <v>1101.72</v>
      </c>
      <c r="AB466">
        <v>706.32592</v>
      </c>
      <c r="AC466">
        <v>0.39065706915231446</v>
      </c>
    </row>
    <row r="467" spans="1:29" x14ac:dyDescent="0.3">
      <c r="A467" t="s">
        <v>479</v>
      </c>
      <c r="B467" s="3">
        <v>45618</v>
      </c>
      <c r="C467" s="3" t="str">
        <v>Nov-2024</v>
      </c>
      <c r="D467" s="11" t="str">
        <f t="shared" si="28"/>
        <v>Q4-2024</v>
      </c>
      <c r="E467" s="3">
        <v>45641</v>
      </c>
      <c r="F467" s="3">
        <v>45618</v>
      </c>
      <c r="G467" s="4">
        <f t="shared" si="29"/>
        <v>23</v>
      </c>
      <c r="H467" s="4" t="str">
        <v>delayed</v>
      </c>
      <c r="I467" s="4">
        <f t="shared" si="31"/>
        <v>0</v>
      </c>
      <c r="J467" t="s">
        <v>646</v>
      </c>
      <c r="K467" t="s">
        <v>650</v>
      </c>
      <c r="L467" t="s">
        <v>675</v>
      </c>
      <c r="M467" t="s">
        <v>703</v>
      </c>
      <c r="N467" t="s">
        <v>710</v>
      </c>
      <c r="O467" t="s">
        <v>712</v>
      </c>
      <c r="P467" t="s">
        <v>727</v>
      </c>
      <c r="Q467" t="str" cm="1">
        <f t="array" ref="Q467">_xlfn.IFS(U467&lt;=_xlfn.QUARTILE.INC($U$2:$U1098,1),"Low",B467&lt;=_xlfn.QUARTILE.INC($U$2:$U$633,2),"Medium",TRUE,"High")</f>
        <v>High</v>
      </c>
      <c r="R467" t="s">
        <v>1198</v>
      </c>
      <c r="S467" s="4">
        <v>1335.76</v>
      </c>
      <c r="T467">
        <v>2665.91</v>
      </c>
      <c r="U467">
        <v>2665.91</v>
      </c>
      <c r="V467" s="7">
        <v>0.21099999999999999</v>
      </c>
      <c r="W467" s="7">
        <v>0.21099999999999999</v>
      </c>
      <c r="X467" s="7" t="str">
        <f t="shared" si="30"/>
        <v>High discount</v>
      </c>
      <c r="Y467" s="9">
        <v>40</v>
      </c>
      <c r="Z467">
        <v>84136.119600000005</v>
      </c>
      <c r="AA467">
        <v>53430.400000000001</v>
      </c>
      <c r="AB467">
        <v>30705.719600000004</v>
      </c>
      <c r="AC467">
        <v>0.36495288522909253</v>
      </c>
    </row>
    <row r="468" spans="1:29" x14ac:dyDescent="0.3">
      <c r="A468" t="s">
        <v>480</v>
      </c>
      <c r="B468" s="3">
        <v>45466</v>
      </c>
      <c r="C468" s="3" t="str">
        <v>Jun-2024</v>
      </c>
      <c r="D468" s="11" t="str">
        <f t="shared" si="28"/>
        <v>Q2-2024</v>
      </c>
      <c r="E468" s="3">
        <v>45471</v>
      </c>
      <c r="F468" s="3">
        <v>45466</v>
      </c>
      <c r="G468" s="4">
        <f t="shared" si="29"/>
        <v>5</v>
      </c>
      <c r="H468" s="4" t="str">
        <v>ontime</v>
      </c>
      <c r="I468" s="4">
        <f t="shared" si="31"/>
        <v>1</v>
      </c>
      <c r="J468" t="s">
        <v>646</v>
      </c>
      <c r="K468" t="s">
        <v>651</v>
      </c>
      <c r="L468" t="s">
        <v>663</v>
      </c>
      <c r="M468" t="s">
        <v>703</v>
      </c>
      <c r="N468" t="s">
        <v>711</v>
      </c>
      <c r="O468" t="s">
        <v>724</v>
      </c>
      <c r="P468" t="s">
        <v>733</v>
      </c>
      <c r="Q468" t="str" cm="1">
        <f t="array" ref="Q468">_xlfn.IFS(U468&lt;=_xlfn.QUARTILE.INC($U$2:$U1099,1),"Low",B468&lt;=_xlfn.QUARTILE.INC($U$2:$U$633,2),"Medium",TRUE,"High")</f>
        <v>Low</v>
      </c>
      <c r="R468" t="s">
        <v>1199</v>
      </c>
      <c r="S468" s="4">
        <v>242.31</v>
      </c>
      <c r="T468">
        <v>587.95000000000005</v>
      </c>
      <c r="U468">
        <v>587.95000000000005</v>
      </c>
      <c r="V468" s="7">
        <v>0.22900000000000001</v>
      </c>
      <c r="W468" s="7">
        <v>0.22900000000000001</v>
      </c>
      <c r="X468" s="7" t="str">
        <f t="shared" si="30"/>
        <v>High discount</v>
      </c>
      <c r="Y468" s="9">
        <v>6</v>
      </c>
      <c r="Z468">
        <v>2719.8567000000003</v>
      </c>
      <c r="AA468">
        <v>1453.8600000000001</v>
      </c>
      <c r="AB468">
        <v>1265.9967000000001</v>
      </c>
      <c r="AC468">
        <v>0.46546448568411714</v>
      </c>
    </row>
    <row r="469" spans="1:29" x14ac:dyDescent="0.3">
      <c r="A469" t="s">
        <v>481</v>
      </c>
      <c r="B469" s="3">
        <v>45278</v>
      </c>
      <c r="C469" s="3" t="str">
        <v>Dec-2023</v>
      </c>
      <c r="D469" s="11" t="str">
        <f t="shared" si="28"/>
        <v>Q4-2023</v>
      </c>
      <c r="E469" s="3">
        <v>45305</v>
      </c>
      <c r="F469" s="3">
        <v>45278</v>
      </c>
      <c r="G469" s="4">
        <f t="shared" si="29"/>
        <v>27</v>
      </c>
      <c r="H469" s="4" t="str">
        <v>delayed</v>
      </c>
      <c r="I469" s="4">
        <f t="shared" si="31"/>
        <v>0</v>
      </c>
      <c r="J469" t="s">
        <v>647</v>
      </c>
      <c r="K469" t="s">
        <v>654</v>
      </c>
      <c r="L469" t="s">
        <v>691</v>
      </c>
      <c r="M469" t="s">
        <v>704</v>
      </c>
      <c r="N469" t="s">
        <v>710</v>
      </c>
      <c r="O469" t="s">
        <v>726</v>
      </c>
      <c r="P469" t="s">
        <v>729</v>
      </c>
      <c r="Q469" t="str" cm="1">
        <f t="array" ref="Q469">_xlfn.IFS(U469&lt;=_xlfn.QUARTILE.INC($U$2:$U1100,1),"Low",B469&lt;=_xlfn.QUARTILE.INC($U$2:$U$633,2),"Medium",TRUE,"High")</f>
        <v>High</v>
      </c>
      <c r="R469" t="s">
        <v>1200</v>
      </c>
      <c r="S469" s="4">
        <v>1408.3</v>
      </c>
      <c r="T469">
        <v>2193.13</v>
      </c>
      <c r="U469">
        <v>2193.13</v>
      </c>
      <c r="V469" s="7">
        <v>7.0999999999999994E-2</v>
      </c>
      <c r="W469" s="7">
        <v>7.0999999999999994E-2</v>
      </c>
      <c r="X469" s="7" t="str">
        <f t="shared" si="30"/>
        <v>okay</v>
      </c>
      <c r="Y469" s="9">
        <v>7</v>
      </c>
      <c r="Z469">
        <v>14261.92439</v>
      </c>
      <c r="AA469">
        <v>9858.1</v>
      </c>
      <c r="AB469">
        <v>4403.8243899999998</v>
      </c>
      <c r="AC469">
        <v>0.30878191957656281</v>
      </c>
    </row>
    <row r="470" spans="1:29" x14ac:dyDescent="0.3">
      <c r="A470" t="s">
        <v>482</v>
      </c>
      <c r="B470" s="3">
        <v>45809</v>
      </c>
      <c r="C470" s="3" t="str">
        <v>Jun-2025</v>
      </c>
      <c r="D470" s="11" t="str">
        <f t="shared" si="28"/>
        <v>Q2-2025</v>
      </c>
      <c r="E470" s="3">
        <v>45813</v>
      </c>
      <c r="F470" s="3">
        <v>45809</v>
      </c>
      <c r="G470" s="4">
        <f t="shared" si="29"/>
        <v>4</v>
      </c>
      <c r="H470" s="4" t="str">
        <v>ontime</v>
      </c>
      <c r="I470" s="4">
        <f t="shared" si="31"/>
        <v>1</v>
      </c>
      <c r="J470" t="s">
        <v>649</v>
      </c>
      <c r="K470" t="s">
        <v>656</v>
      </c>
      <c r="L470" t="s">
        <v>684</v>
      </c>
      <c r="M470" t="s">
        <v>706</v>
      </c>
      <c r="N470" t="s">
        <v>711</v>
      </c>
      <c r="O470" t="s">
        <v>724</v>
      </c>
      <c r="P470" t="s">
        <v>727</v>
      </c>
      <c r="Q470" t="str" cm="1">
        <f t="array" ref="Q470">_xlfn.IFS(U470&lt;=_xlfn.QUARTILE.INC($U$2:$U1101,1),"Low",B470&lt;=_xlfn.QUARTILE.INC($U$2:$U$633,2),"Medium",TRUE,"High")</f>
        <v>High</v>
      </c>
      <c r="R470" t="s">
        <v>1201</v>
      </c>
      <c r="S470" s="4">
        <v>1171.42</v>
      </c>
      <c r="T470">
        <v>2187.8000000000002</v>
      </c>
      <c r="U470">
        <v>2187.8000000000002</v>
      </c>
      <c r="V470" s="7">
        <v>0.23</v>
      </c>
      <c r="W470" s="7">
        <v>0.23</v>
      </c>
      <c r="X470" s="7" t="str">
        <f t="shared" si="30"/>
        <v>High discount</v>
      </c>
      <c r="Y470" s="9">
        <v>15</v>
      </c>
      <c r="Z470">
        <v>25269.09</v>
      </c>
      <c r="AA470">
        <v>17571.300000000003</v>
      </c>
      <c r="AB470">
        <v>7697.7899999999972</v>
      </c>
      <c r="AC470">
        <v>0.30463265594447592</v>
      </c>
    </row>
    <row r="471" spans="1:29" x14ac:dyDescent="0.3">
      <c r="A471" t="s">
        <v>483</v>
      </c>
      <c r="B471" s="3">
        <v>45739</v>
      </c>
      <c r="C471" s="3" t="str">
        <v>Mar-2025</v>
      </c>
      <c r="D471" s="11" t="str">
        <f t="shared" si="28"/>
        <v>Q1-2025</v>
      </c>
      <c r="E471" s="3">
        <v>45749</v>
      </c>
      <c r="F471" s="3">
        <v>45739</v>
      </c>
      <c r="G471" s="4">
        <f t="shared" si="29"/>
        <v>10</v>
      </c>
      <c r="H471" s="4" t="str">
        <v>delayed</v>
      </c>
      <c r="I471" s="4">
        <f t="shared" si="31"/>
        <v>0</v>
      </c>
      <c r="J471" t="s">
        <v>649</v>
      </c>
      <c r="K471" t="s">
        <v>656</v>
      </c>
      <c r="L471" t="s">
        <v>671</v>
      </c>
      <c r="M471" t="s">
        <v>706</v>
      </c>
      <c r="N471" t="s">
        <v>708</v>
      </c>
      <c r="O471" t="s">
        <v>718</v>
      </c>
      <c r="P471" t="s">
        <v>728</v>
      </c>
      <c r="Q471" t="str" cm="1">
        <f t="array" ref="Q471">_xlfn.IFS(U471&lt;=_xlfn.QUARTILE.INC($U$2:$U1102,1),"Low",B471&lt;=_xlfn.QUARTILE.INC($U$2:$U$633,2),"Medium",TRUE,"High")</f>
        <v>High</v>
      </c>
      <c r="R471" t="s">
        <v>1202</v>
      </c>
      <c r="S471" s="4">
        <v>663.61</v>
      </c>
      <c r="T471">
        <v>1002.11</v>
      </c>
      <c r="U471">
        <v>1002.11</v>
      </c>
      <c r="V471" s="7">
        <v>4.5999999999999999E-2</v>
      </c>
      <c r="W471" s="7">
        <v>4.5999999999999999E-2</v>
      </c>
      <c r="X471" s="7" t="str">
        <f t="shared" si="30"/>
        <v>okay</v>
      </c>
      <c r="Y471" s="9">
        <v>17</v>
      </c>
      <c r="Z471">
        <v>16252.219979999998</v>
      </c>
      <c r="AA471">
        <v>11281.37</v>
      </c>
      <c r="AB471">
        <v>4970.8499799999972</v>
      </c>
      <c r="AC471">
        <v>0.30585667595670812</v>
      </c>
    </row>
    <row r="472" spans="1:29" x14ac:dyDescent="0.3">
      <c r="A472" t="s">
        <v>484</v>
      </c>
      <c r="B472" s="3">
        <v>45060</v>
      </c>
      <c r="C472" s="3" t="str">
        <v>May-2023</v>
      </c>
      <c r="D472" s="11" t="str">
        <f t="shared" si="28"/>
        <v>Q2-2023</v>
      </c>
      <c r="E472" s="3">
        <v>45068</v>
      </c>
      <c r="F472" s="3">
        <v>45060</v>
      </c>
      <c r="G472" s="4">
        <f t="shared" si="29"/>
        <v>8</v>
      </c>
      <c r="H472" s="4" t="str">
        <v>delayed</v>
      </c>
      <c r="I472" s="4">
        <f t="shared" si="31"/>
        <v>0</v>
      </c>
      <c r="J472" t="s">
        <v>646</v>
      </c>
      <c r="K472" t="s">
        <v>650</v>
      </c>
      <c r="L472" t="s">
        <v>675</v>
      </c>
      <c r="M472" t="s">
        <v>705</v>
      </c>
      <c r="N472" t="s">
        <v>710</v>
      </c>
      <c r="O472" t="s">
        <v>721</v>
      </c>
      <c r="P472" t="s">
        <v>728</v>
      </c>
      <c r="Q472" t="str" cm="1">
        <f t="array" ref="Q472">_xlfn.IFS(U472&lt;=_xlfn.QUARTILE.INC($U$2:$U1103,1),"Low",B472&lt;=_xlfn.QUARTILE.INC($U$2:$U$633,2),"Medium",TRUE,"High")</f>
        <v>High</v>
      </c>
      <c r="R472" t="s">
        <v>1203</v>
      </c>
      <c r="S472" s="4">
        <v>432.01</v>
      </c>
      <c r="T472">
        <v>913.78</v>
      </c>
      <c r="U472">
        <v>913.78</v>
      </c>
      <c r="V472" s="7">
        <v>4.9000000000000002E-2</v>
      </c>
      <c r="W472" s="7">
        <v>4.9000000000000002E-2</v>
      </c>
      <c r="X472" s="7" t="str">
        <f t="shared" si="30"/>
        <v>okay</v>
      </c>
      <c r="Y472" s="9">
        <v>12</v>
      </c>
      <c r="Z472">
        <v>10428.057360000001</v>
      </c>
      <c r="AA472">
        <v>5184.12</v>
      </c>
      <c r="AB472">
        <v>5243.9373600000008</v>
      </c>
      <c r="AC472">
        <v>0.50286809699711899</v>
      </c>
    </row>
    <row r="473" spans="1:29" x14ac:dyDescent="0.3">
      <c r="A473" t="s">
        <v>485</v>
      </c>
      <c r="B473" s="3">
        <v>45167</v>
      </c>
      <c r="C473" s="3" t="str">
        <v>Aug-2023</v>
      </c>
      <c r="D473" s="11" t="str">
        <f t="shared" si="28"/>
        <v>Q3-2023</v>
      </c>
      <c r="E473" s="3">
        <v>45188</v>
      </c>
      <c r="F473" s="3">
        <v>45167</v>
      </c>
      <c r="G473" s="4">
        <f t="shared" si="29"/>
        <v>21</v>
      </c>
      <c r="H473" s="4" t="str">
        <v>delayed</v>
      </c>
      <c r="I473" s="4">
        <f t="shared" si="31"/>
        <v>0</v>
      </c>
      <c r="J473" t="s">
        <v>649</v>
      </c>
      <c r="K473" t="s">
        <v>657</v>
      </c>
      <c r="L473" t="s">
        <v>679</v>
      </c>
      <c r="M473" t="s">
        <v>705</v>
      </c>
      <c r="N473" t="s">
        <v>711</v>
      </c>
      <c r="O473" t="s">
        <v>717</v>
      </c>
      <c r="P473" t="s">
        <v>728</v>
      </c>
      <c r="Q473" t="str" cm="1">
        <f t="array" ref="Q473">_xlfn.IFS(U473&lt;=_xlfn.QUARTILE.INC($U$2:$U1104,1),"Low",B473&lt;=_xlfn.QUARTILE.INC($U$2:$U$633,2),"Medium",TRUE,"High")</f>
        <v>High</v>
      </c>
      <c r="R473" t="s">
        <v>1204</v>
      </c>
      <c r="S473" s="4">
        <v>784.46</v>
      </c>
      <c r="T473">
        <v>1843.51</v>
      </c>
      <c r="U473">
        <v>1843.51</v>
      </c>
      <c r="V473" s="7">
        <v>0.13800000000000001</v>
      </c>
      <c r="W473" s="7">
        <v>0.13800000000000001</v>
      </c>
      <c r="X473" s="7" t="str">
        <f t="shared" si="30"/>
        <v>okay</v>
      </c>
      <c r="Y473" s="9">
        <v>23</v>
      </c>
      <c r="Z473">
        <v>36549.429260000004</v>
      </c>
      <c r="AA473">
        <v>18042.580000000002</v>
      </c>
      <c r="AB473">
        <v>18506.849260000003</v>
      </c>
      <c r="AC473">
        <v>0.50635125184441798</v>
      </c>
    </row>
    <row r="474" spans="1:29" x14ac:dyDescent="0.3">
      <c r="A474" t="s">
        <v>486</v>
      </c>
      <c r="B474" s="3">
        <v>45841</v>
      </c>
      <c r="C474" s="3" t="str">
        <v>Jul-2025</v>
      </c>
      <c r="D474" s="11" t="str">
        <f t="shared" si="28"/>
        <v>Q3-2025</v>
      </c>
      <c r="E474" s="3">
        <v>45861</v>
      </c>
      <c r="F474" s="3">
        <v>45841</v>
      </c>
      <c r="G474" s="4">
        <f t="shared" si="29"/>
        <v>20</v>
      </c>
      <c r="H474" s="4" t="str">
        <v>delayed</v>
      </c>
      <c r="I474" s="4">
        <f t="shared" si="31"/>
        <v>0</v>
      </c>
      <c r="J474" t="s">
        <v>647</v>
      </c>
      <c r="K474" t="s">
        <v>659</v>
      </c>
      <c r="L474" t="s">
        <v>699</v>
      </c>
      <c r="M474" t="s">
        <v>705</v>
      </c>
      <c r="N474" t="s">
        <v>708</v>
      </c>
      <c r="O474" t="s">
        <v>724</v>
      </c>
      <c r="P474" t="s">
        <v>727</v>
      </c>
      <c r="Q474" t="str" cm="1">
        <f t="array" ref="Q474">_xlfn.IFS(U474&lt;=_xlfn.QUARTILE.INC($U$2:$U1105,1),"Low",B474&lt;=_xlfn.QUARTILE.INC($U$2:$U$633,2),"Medium",TRUE,"High")</f>
        <v>High</v>
      </c>
      <c r="R474" t="s">
        <v>1205</v>
      </c>
      <c r="S474" s="4">
        <v>647.36</v>
      </c>
      <c r="T474">
        <v>1383.6</v>
      </c>
      <c r="U474">
        <v>1383.6</v>
      </c>
      <c r="V474" s="7">
        <v>7.3999999999999996E-2</v>
      </c>
      <c r="W474" s="7">
        <v>7.3999999999999996E-2</v>
      </c>
      <c r="X474" s="7" t="str">
        <f t="shared" si="30"/>
        <v>okay</v>
      </c>
      <c r="Y474" s="9">
        <v>12</v>
      </c>
      <c r="Z474">
        <v>15374.563199999999</v>
      </c>
      <c r="AA474">
        <v>7768.32</v>
      </c>
      <c r="AB474">
        <v>7606.243199999999</v>
      </c>
      <c r="AC474">
        <v>0.49472906000997802</v>
      </c>
    </row>
    <row r="475" spans="1:29" x14ac:dyDescent="0.3">
      <c r="A475" t="s">
        <v>487</v>
      </c>
      <c r="B475" s="3">
        <v>45328</v>
      </c>
      <c r="C475" s="3" t="str">
        <v>Feb-2024</v>
      </c>
      <c r="D475" s="11" t="str">
        <f t="shared" si="28"/>
        <v>Q1-2024</v>
      </c>
      <c r="E475" s="3">
        <v>45350</v>
      </c>
      <c r="F475" s="3">
        <v>45328</v>
      </c>
      <c r="G475" s="4">
        <f t="shared" si="29"/>
        <v>22</v>
      </c>
      <c r="H475" s="4" t="str">
        <v>delayed</v>
      </c>
      <c r="I475" s="4">
        <f t="shared" si="31"/>
        <v>0</v>
      </c>
      <c r="J475" t="s">
        <v>646</v>
      </c>
      <c r="K475" t="s">
        <v>650</v>
      </c>
      <c r="L475" t="s">
        <v>662</v>
      </c>
      <c r="M475" t="s">
        <v>703</v>
      </c>
      <c r="N475" t="s">
        <v>708</v>
      </c>
      <c r="O475" t="s">
        <v>723</v>
      </c>
      <c r="P475" t="s">
        <v>732</v>
      </c>
      <c r="Q475" t="str" cm="1">
        <f t="array" ref="Q475">_xlfn.IFS(U475&lt;=_xlfn.QUARTILE.INC($U$2:$U1106,1),"Low",B475&lt;=_xlfn.QUARTILE.INC($U$2:$U$633,2),"Medium",TRUE,"High")</f>
        <v>High</v>
      </c>
      <c r="R475" t="s">
        <v>1206</v>
      </c>
      <c r="S475" s="4">
        <v>834.93</v>
      </c>
      <c r="T475">
        <v>1588.53</v>
      </c>
      <c r="U475">
        <v>1588.53</v>
      </c>
      <c r="V475" s="7">
        <v>0.126</v>
      </c>
      <c r="W475" s="7">
        <v>0.126</v>
      </c>
      <c r="X475" s="7" t="str">
        <f t="shared" si="30"/>
        <v>okay</v>
      </c>
      <c r="Y475" s="9">
        <v>6</v>
      </c>
      <c r="Z475">
        <v>8330.2513199999994</v>
      </c>
      <c r="AA475">
        <v>5009.58</v>
      </c>
      <c r="AB475">
        <v>3320.6713199999995</v>
      </c>
      <c r="AC475">
        <v>0.39862798761274343</v>
      </c>
    </row>
    <row r="476" spans="1:29" x14ac:dyDescent="0.3">
      <c r="A476" t="s">
        <v>488</v>
      </c>
      <c r="B476" s="3">
        <v>45882</v>
      </c>
      <c r="C476" s="3" t="str">
        <v>Aug-2025</v>
      </c>
      <c r="D476" s="11" t="str">
        <f t="shared" si="28"/>
        <v>Q3-2025</v>
      </c>
      <c r="E476" s="3">
        <v>45903</v>
      </c>
      <c r="F476" s="3">
        <v>45882</v>
      </c>
      <c r="G476" s="4">
        <f t="shared" si="29"/>
        <v>21</v>
      </c>
      <c r="H476" s="4" t="str">
        <v>delayed</v>
      </c>
      <c r="I476" s="4">
        <f t="shared" si="31"/>
        <v>0</v>
      </c>
      <c r="J476" t="s">
        <v>649</v>
      </c>
      <c r="K476" t="s">
        <v>657</v>
      </c>
      <c r="L476" t="s">
        <v>690</v>
      </c>
      <c r="M476" t="s">
        <v>702</v>
      </c>
      <c r="N476" t="s">
        <v>707</v>
      </c>
      <c r="O476" t="s">
        <v>714</v>
      </c>
      <c r="P476" t="s">
        <v>730</v>
      </c>
      <c r="Q476" t="str" cm="1">
        <f t="array" ref="Q476">_xlfn.IFS(U476&lt;=_xlfn.QUARTILE.INC($U$2:$U1107,1),"Low",B476&lt;=_xlfn.QUARTILE.INC($U$2:$U$633,2),"Medium",TRUE,"High")</f>
        <v>High</v>
      </c>
      <c r="R476" t="s">
        <v>1207</v>
      </c>
      <c r="S476" s="4">
        <v>603.47</v>
      </c>
      <c r="T476">
        <v>1344.05</v>
      </c>
      <c r="U476">
        <v>1344.05</v>
      </c>
      <c r="V476" s="7">
        <v>0.20499999999999999</v>
      </c>
      <c r="W476" s="7">
        <v>0.20499999999999999</v>
      </c>
      <c r="X476" s="7" t="str">
        <f t="shared" si="30"/>
        <v>High discount</v>
      </c>
      <c r="Y476" s="9">
        <v>18</v>
      </c>
      <c r="Z476">
        <v>19233.355499999998</v>
      </c>
      <c r="AA476">
        <v>10862.460000000001</v>
      </c>
      <c r="AB476">
        <v>8370.8954999999969</v>
      </c>
      <c r="AC476">
        <v>0.43522803392262976</v>
      </c>
    </row>
    <row r="477" spans="1:29" x14ac:dyDescent="0.3">
      <c r="A477" t="s">
        <v>489</v>
      </c>
      <c r="B477" s="3">
        <v>45069</v>
      </c>
      <c r="C477" s="3" t="str">
        <v>May-2023</v>
      </c>
      <c r="D477" s="11" t="str">
        <f t="shared" si="28"/>
        <v>Q2-2023</v>
      </c>
      <c r="E477" s="3">
        <v>45071</v>
      </c>
      <c r="F477" s="3">
        <v>45069</v>
      </c>
      <c r="G477" s="4">
        <f t="shared" si="29"/>
        <v>2</v>
      </c>
      <c r="H477" s="4" t="str">
        <v>ontime</v>
      </c>
      <c r="I477" s="4">
        <f t="shared" si="31"/>
        <v>1</v>
      </c>
      <c r="J477" t="s">
        <v>648</v>
      </c>
      <c r="K477" t="s">
        <v>655</v>
      </c>
      <c r="L477" t="s">
        <v>692</v>
      </c>
      <c r="M477" t="s">
        <v>706</v>
      </c>
      <c r="N477" t="s">
        <v>707</v>
      </c>
      <c r="O477" t="s">
        <v>724</v>
      </c>
      <c r="P477" t="s">
        <v>728</v>
      </c>
      <c r="Q477" t="str" cm="1">
        <f t="array" ref="Q477">_xlfn.IFS(U477&lt;=_xlfn.QUARTILE.INC($U$2:$U1108,1),"Low",B477&lt;=_xlfn.QUARTILE.INC($U$2:$U$633,2),"Medium",TRUE,"High")</f>
        <v>High</v>
      </c>
      <c r="R477" t="s">
        <v>1208</v>
      </c>
      <c r="S477" s="4">
        <v>690.49</v>
      </c>
      <c r="T477">
        <v>1290.29</v>
      </c>
      <c r="U477">
        <v>1290.29</v>
      </c>
      <c r="V477" s="7">
        <v>4.2000000000000003E-2</v>
      </c>
      <c r="W477" s="7">
        <v>4.2000000000000003E-2</v>
      </c>
      <c r="X477" s="7" t="str">
        <f t="shared" si="30"/>
        <v>okay</v>
      </c>
      <c r="Y477" s="9">
        <v>22</v>
      </c>
      <c r="Z477">
        <v>27194.152039999997</v>
      </c>
      <c r="AA477">
        <v>15190.78</v>
      </c>
      <c r="AB477">
        <v>12003.372039999997</v>
      </c>
      <c r="AC477">
        <v>0.44139534199647718</v>
      </c>
    </row>
    <row r="478" spans="1:29" x14ac:dyDescent="0.3">
      <c r="A478" t="s">
        <v>490</v>
      </c>
      <c r="B478" s="3">
        <v>45422</v>
      </c>
      <c r="C478" s="3" t="str">
        <v>May-2024</v>
      </c>
      <c r="D478" s="11" t="str">
        <f t="shared" si="28"/>
        <v>Q2-2024</v>
      </c>
      <c r="E478" s="3">
        <v>45428</v>
      </c>
      <c r="F478" s="3">
        <v>45422</v>
      </c>
      <c r="G478" s="4">
        <f t="shared" si="29"/>
        <v>6</v>
      </c>
      <c r="H478" s="4" t="str">
        <v>ontime</v>
      </c>
      <c r="I478" s="4">
        <f t="shared" si="31"/>
        <v>1</v>
      </c>
      <c r="J478" t="s">
        <v>649</v>
      </c>
      <c r="K478" t="s">
        <v>658</v>
      </c>
      <c r="L478" t="s">
        <v>674</v>
      </c>
      <c r="M478" t="s">
        <v>703</v>
      </c>
      <c r="N478" t="s">
        <v>711</v>
      </c>
      <c r="O478" t="s">
        <v>715</v>
      </c>
      <c r="P478" t="s">
        <v>731</v>
      </c>
      <c r="Q478" t="str" cm="1">
        <f t="array" ref="Q478">_xlfn.IFS(U478&lt;=_xlfn.QUARTILE.INC($U$2:$U1109,1),"Low",B478&lt;=_xlfn.QUARTILE.INC($U$2:$U$633,2),"Medium",TRUE,"High")</f>
        <v>Low</v>
      </c>
      <c r="R478" t="s">
        <v>1209</v>
      </c>
      <c r="S478" s="4">
        <v>210.76</v>
      </c>
      <c r="T478">
        <v>221.58</v>
      </c>
      <c r="U478">
        <v>221.58</v>
      </c>
      <c r="V478" s="7">
        <v>8.8999999999999996E-2</v>
      </c>
      <c r="W478" s="7">
        <v>8.8999999999999996E-2</v>
      </c>
      <c r="X478" s="7" t="str">
        <f t="shared" si="30"/>
        <v>okay</v>
      </c>
      <c r="Y478" s="9">
        <v>5</v>
      </c>
      <c r="Z478">
        <v>1009.2969000000002</v>
      </c>
      <c r="AA478">
        <v>1053.8</v>
      </c>
      <c r="AB478">
        <v>-44.50309999999979</v>
      </c>
      <c r="AC478">
        <v>-4.4093170205912434E-2</v>
      </c>
    </row>
    <row r="479" spans="1:29" x14ac:dyDescent="0.3">
      <c r="A479" t="s">
        <v>491</v>
      </c>
      <c r="B479" s="3">
        <v>44999</v>
      </c>
      <c r="C479" s="3" t="str">
        <v>Mar-2023</v>
      </c>
      <c r="D479" s="11" t="str">
        <f t="shared" si="28"/>
        <v>Q1-2023</v>
      </c>
      <c r="E479" s="3">
        <v>45003</v>
      </c>
      <c r="F479" s="3">
        <v>44999</v>
      </c>
      <c r="G479" s="4">
        <f t="shared" si="29"/>
        <v>4</v>
      </c>
      <c r="H479" s="4" t="str">
        <v>ontime</v>
      </c>
      <c r="I479" s="4">
        <f t="shared" si="31"/>
        <v>1</v>
      </c>
      <c r="J479" t="s">
        <v>649</v>
      </c>
      <c r="K479" t="s">
        <v>656</v>
      </c>
      <c r="L479" t="s">
        <v>698</v>
      </c>
      <c r="M479" t="s">
        <v>706</v>
      </c>
      <c r="N479" t="s">
        <v>711</v>
      </c>
      <c r="O479" t="s">
        <v>720</v>
      </c>
      <c r="P479" t="s">
        <v>727</v>
      </c>
      <c r="Q479" t="str" cm="1">
        <f t="array" ref="Q479">_xlfn.IFS(U479&lt;=_xlfn.QUARTILE.INC($U$2:$U1110,1),"Low",B479&lt;=_xlfn.QUARTILE.INC($U$2:$U$633,2),"Medium",TRUE,"High")</f>
        <v>Low</v>
      </c>
      <c r="R479" t="s">
        <v>1210</v>
      </c>
      <c r="S479" s="4">
        <v>472.33</v>
      </c>
      <c r="T479">
        <v>360.34</v>
      </c>
      <c r="U479">
        <v>360.34</v>
      </c>
      <c r="V479" s="7">
        <v>0.16500000000000001</v>
      </c>
      <c r="W479" s="7">
        <v>0.16500000000000001</v>
      </c>
      <c r="X479" s="7" t="str">
        <f t="shared" si="30"/>
        <v>okay</v>
      </c>
      <c r="Y479" s="9">
        <v>14</v>
      </c>
      <c r="Z479">
        <v>4212.3745999999992</v>
      </c>
      <c r="AA479">
        <v>6612.62</v>
      </c>
      <c r="AB479">
        <v>-2400.2454000000007</v>
      </c>
      <c r="AC479">
        <v>-0.56980815523861561</v>
      </c>
    </row>
    <row r="480" spans="1:29" x14ac:dyDescent="0.3">
      <c r="A480" t="s">
        <v>492</v>
      </c>
      <c r="B480" s="3">
        <v>45123</v>
      </c>
      <c r="C480" s="3" t="str">
        <v>Jul-2023</v>
      </c>
      <c r="D480" s="11" t="str">
        <f t="shared" si="28"/>
        <v>Q3-2023</v>
      </c>
      <c r="E480" s="3">
        <v>45151</v>
      </c>
      <c r="F480" s="3">
        <v>45123</v>
      </c>
      <c r="G480" s="4">
        <f t="shared" si="29"/>
        <v>28</v>
      </c>
      <c r="H480" s="4" t="str">
        <v>delayed</v>
      </c>
      <c r="I480" s="4">
        <f t="shared" si="31"/>
        <v>0</v>
      </c>
      <c r="J480" t="s">
        <v>649</v>
      </c>
      <c r="K480" t="s">
        <v>658</v>
      </c>
      <c r="L480" t="s">
        <v>693</v>
      </c>
      <c r="M480" t="s">
        <v>703</v>
      </c>
      <c r="N480" t="s">
        <v>708</v>
      </c>
      <c r="O480" t="s">
        <v>713</v>
      </c>
      <c r="P480" t="s">
        <v>731</v>
      </c>
      <c r="Q480" t="str" cm="1">
        <f t="array" ref="Q480">_xlfn.IFS(U480&lt;=_xlfn.QUARTILE.INC($U$2:$U1111,1),"Low",B480&lt;=_xlfn.QUARTILE.INC($U$2:$U$633,2),"Medium",TRUE,"High")</f>
        <v>High</v>
      </c>
      <c r="R480" t="s">
        <v>1211</v>
      </c>
      <c r="S480" s="4">
        <v>1039.03</v>
      </c>
      <c r="T480">
        <v>2545.81</v>
      </c>
      <c r="U480">
        <v>2545.81</v>
      </c>
      <c r="V480" s="7">
        <v>0.216</v>
      </c>
      <c r="W480" s="7">
        <v>0.216</v>
      </c>
      <c r="X480" s="7" t="str">
        <f t="shared" si="30"/>
        <v>High discount</v>
      </c>
      <c r="Y480" s="9">
        <v>21</v>
      </c>
      <c r="Z480">
        <v>41914.215840000004</v>
      </c>
      <c r="AA480">
        <v>21819.63</v>
      </c>
      <c r="AB480">
        <v>20094.585840000003</v>
      </c>
      <c r="AC480">
        <v>0.47942172929364774</v>
      </c>
    </row>
    <row r="481" spans="1:29" x14ac:dyDescent="0.3">
      <c r="A481" t="s">
        <v>493</v>
      </c>
      <c r="B481" s="3">
        <v>45032</v>
      </c>
      <c r="C481" s="3" t="str">
        <v>Apr-2023</v>
      </c>
      <c r="D481" s="11" t="str">
        <f t="shared" si="28"/>
        <v>Q2-2023</v>
      </c>
      <c r="E481" s="3">
        <v>45035</v>
      </c>
      <c r="F481" s="3">
        <v>45032</v>
      </c>
      <c r="G481" s="4">
        <f t="shared" si="29"/>
        <v>3</v>
      </c>
      <c r="H481" s="4" t="str">
        <v>ontime</v>
      </c>
      <c r="I481" s="4">
        <f t="shared" si="31"/>
        <v>1</v>
      </c>
      <c r="J481" t="s">
        <v>649</v>
      </c>
      <c r="K481" t="s">
        <v>656</v>
      </c>
      <c r="L481" t="s">
        <v>684</v>
      </c>
      <c r="M481" t="s">
        <v>701</v>
      </c>
      <c r="N481" t="s">
        <v>711</v>
      </c>
      <c r="O481" t="s">
        <v>717</v>
      </c>
      <c r="P481" t="s">
        <v>733</v>
      </c>
      <c r="Q481" t="str" cm="1">
        <f t="array" ref="Q481">_xlfn.IFS(U481&lt;=_xlfn.QUARTILE.INC($U$2:$U1112,1),"Low",B481&lt;=_xlfn.QUARTILE.INC($U$2:$U$633,2),"Medium",TRUE,"High")</f>
        <v>High</v>
      </c>
      <c r="R481" t="s">
        <v>1212</v>
      </c>
      <c r="S481" s="4">
        <v>553.61</v>
      </c>
      <c r="T481">
        <v>699.47</v>
      </c>
      <c r="U481">
        <v>699.47</v>
      </c>
      <c r="V481" s="7">
        <v>0.02</v>
      </c>
      <c r="W481" s="7">
        <v>0.02</v>
      </c>
      <c r="X481" s="7" t="str">
        <f t="shared" si="30"/>
        <v>okay</v>
      </c>
      <c r="Y481" s="9">
        <v>33</v>
      </c>
      <c r="Z481">
        <v>22620.859800000002</v>
      </c>
      <c r="AA481">
        <v>18269.13</v>
      </c>
      <c r="AB481">
        <v>4351.729800000001</v>
      </c>
      <c r="AC481">
        <v>0.19237685209472014</v>
      </c>
    </row>
    <row r="482" spans="1:29" x14ac:dyDescent="0.3">
      <c r="A482" t="s">
        <v>494</v>
      </c>
      <c r="B482" s="3">
        <v>45293</v>
      </c>
      <c r="C482" s="3" t="str">
        <v>Jan-2024</v>
      </c>
      <c r="D482" s="11" t="str">
        <f t="shared" si="28"/>
        <v>Q1-2024</v>
      </c>
      <c r="E482" s="3">
        <v>45306</v>
      </c>
      <c r="F482" s="3">
        <v>45293</v>
      </c>
      <c r="G482" s="4">
        <f t="shared" si="29"/>
        <v>13</v>
      </c>
      <c r="H482" s="4" t="str">
        <v>delayed</v>
      </c>
      <c r="I482" s="4">
        <f t="shared" si="31"/>
        <v>0</v>
      </c>
      <c r="J482" t="s">
        <v>647</v>
      </c>
      <c r="K482" t="s">
        <v>652</v>
      </c>
      <c r="L482" t="s">
        <v>694</v>
      </c>
      <c r="M482" t="s">
        <v>705</v>
      </c>
      <c r="N482" t="s">
        <v>709</v>
      </c>
      <c r="O482" t="s">
        <v>715</v>
      </c>
      <c r="P482" t="s">
        <v>729</v>
      </c>
      <c r="Q482" t="str" cm="1">
        <f t="array" ref="Q482">_xlfn.IFS(U482&lt;=_xlfn.QUARTILE.INC($U$2:$U1113,1),"Low",B482&lt;=_xlfn.QUARTILE.INC($U$2:$U$633,2),"Medium",TRUE,"High")</f>
        <v>High</v>
      </c>
      <c r="R482" t="s">
        <v>1213</v>
      </c>
      <c r="S482" s="4">
        <v>1219.06</v>
      </c>
      <c r="T482">
        <v>2738.69</v>
      </c>
      <c r="U482">
        <v>2738.69</v>
      </c>
      <c r="V482" s="7">
        <v>7.5999999999999998E-2</v>
      </c>
      <c r="W482" s="7">
        <v>7.5999999999999998E-2</v>
      </c>
      <c r="X482" s="7" t="str">
        <f t="shared" si="30"/>
        <v>okay</v>
      </c>
      <c r="Y482" s="9">
        <v>16</v>
      </c>
      <c r="Z482">
        <v>40488.792960000006</v>
      </c>
      <c r="AA482">
        <v>19504.96</v>
      </c>
      <c r="AB482">
        <v>20983.832960000007</v>
      </c>
      <c r="AC482">
        <v>0.51826274447673737</v>
      </c>
    </row>
    <row r="483" spans="1:29" x14ac:dyDescent="0.3">
      <c r="A483" t="s">
        <v>495</v>
      </c>
      <c r="B483" s="3">
        <v>45538</v>
      </c>
      <c r="C483" s="3" t="str">
        <v>Sep-2024</v>
      </c>
      <c r="D483" s="11" t="str">
        <f t="shared" si="28"/>
        <v>Q3-2024</v>
      </c>
      <c r="E483" s="3">
        <v>45542</v>
      </c>
      <c r="F483" s="3">
        <v>45538</v>
      </c>
      <c r="G483" s="4">
        <f t="shared" si="29"/>
        <v>4</v>
      </c>
      <c r="H483" s="4" t="str">
        <v>ontime</v>
      </c>
      <c r="I483" s="4">
        <f t="shared" si="31"/>
        <v>1</v>
      </c>
      <c r="J483" t="s">
        <v>647</v>
      </c>
      <c r="K483" t="s">
        <v>652</v>
      </c>
      <c r="L483" t="s">
        <v>689</v>
      </c>
      <c r="M483" t="s">
        <v>705</v>
      </c>
      <c r="N483" t="s">
        <v>710</v>
      </c>
      <c r="O483" t="s">
        <v>725</v>
      </c>
      <c r="P483" t="s">
        <v>728</v>
      </c>
      <c r="Q483" t="str" cm="1">
        <f t="array" ref="Q483">_xlfn.IFS(U483&lt;=_xlfn.QUARTILE.INC($U$2:$U1114,1),"Low",B483&lt;=_xlfn.QUARTILE.INC($U$2:$U$633,2),"Medium",TRUE,"High")</f>
        <v>Low</v>
      </c>
      <c r="R483" t="s">
        <v>1214</v>
      </c>
      <c r="S483" s="4">
        <v>43.23</v>
      </c>
      <c r="T483">
        <v>94.78</v>
      </c>
      <c r="U483">
        <v>94.78</v>
      </c>
      <c r="V483" s="7">
        <v>9.0999999999999998E-2</v>
      </c>
      <c r="W483" s="7">
        <v>9.0999999999999998E-2</v>
      </c>
      <c r="X483" s="7" t="str">
        <f t="shared" si="30"/>
        <v>okay</v>
      </c>
      <c r="Y483" s="9">
        <v>55</v>
      </c>
      <c r="Z483">
        <v>4738.5261</v>
      </c>
      <c r="AA483">
        <v>2377.6499999999996</v>
      </c>
      <c r="AB483">
        <v>2360.8761000000004</v>
      </c>
      <c r="AC483">
        <v>0.49823005090127082</v>
      </c>
    </row>
    <row r="484" spans="1:29" x14ac:dyDescent="0.3">
      <c r="A484" t="s">
        <v>496</v>
      </c>
      <c r="B484" s="3">
        <v>45899</v>
      </c>
      <c r="C484" s="3" t="str">
        <v>Aug-2025</v>
      </c>
      <c r="D484" s="11" t="str">
        <f t="shared" si="28"/>
        <v>Q3-2025</v>
      </c>
      <c r="E484" s="3">
        <v>45903</v>
      </c>
      <c r="F484" s="3">
        <v>45899</v>
      </c>
      <c r="G484" s="4">
        <f t="shared" si="29"/>
        <v>4</v>
      </c>
      <c r="H484" s="4" t="str">
        <v>ontime</v>
      </c>
      <c r="I484" s="4">
        <f t="shared" si="31"/>
        <v>1</v>
      </c>
      <c r="J484" t="s">
        <v>649</v>
      </c>
      <c r="K484" t="s">
        <v>657</v>
      </c>
      <c r="L484" t="s">
        <v>673</v>
      </c>
      <c r="M484" t="s">
        <v>705</v>
      </c>
      <c r="N484" t="s">
        <v>709</v>
      </c>
      <c r="O484" t="s">
        <v>713</v>
      </c>
      <c r="P484" t="s">
        <v>731</v>
      </c>
      <c r="Q484" t="str" cm="1">
        <f t="array" ref="Q484">_xlfn.IFS(U484&lt;=_xlfn.QUARTILE.INC($U$2:$U1115,1),"Low",B484&lt;=_xlfn.QUARTILE.INC($U$2:$U$633,2),"Medium",TRUE,"High")</f>
        <v>High</v>
      </c>
      <c r="R484" t="s">
        <v>1215</v>
      </c>
      <c r="S484" s="4">
        <v>1286.56</v>
      </c>
      <c r="T484">
        <v>2777.35</v>
      </c>
      <c r="U484">
        <v>2777.35</v>
      </c>
      <c r="V484" s="7">
        <v>0.13200000000000001</v>
      </c>
      <c r="W484" s="7">
        <v>0.13200000000000001</v>
      </c>
      <c r="X484" s="7" t="str">
        <f t="shared" si="30"/>
        <v>okay</v>
      </c>
      <c r="Y484" s="9">
        <v>15</v>
      </c>
      <c r="Z484">
        <v>36161.097000000002</v>
      </c>
      <c r="AA484">
        <v>19298.399999999998</v>
      </c>
      <c r="AB484">
        <v>16862.697000000004</v>
      </c>
      <c r="AC484">
        <v>0.46632150014696744</v>
      </c>
    </row>
    <row r="485" spans="1:29" x14ac:dyDescent="0.3">
      <c r="A485" t="s">
        <v>497</v>
      </c>
      <c r="B485" s="3">
        <v>45775</v>
      </c>
      <c r="C485" s="3" t="str">
        <v>Apr-2025</v>
      </c>
      <c r="D485" s="11" t="str">
        <f t="shared" si="28"/>
        <v>Q2-2025</v>
      </c>
      <c r="E485" s="3">
        <v>45796</v>
      </c>
      <c r="F485" s="3">
        <v>45775</v>
      </c>
      <c r="G485" s="4">
        <f t="shared" si="29"/>
        <v>21</v>
      </c>
      <c r="H485" s="4" t="str">
        <v>delayed</v>
      </c>
      <c r="I485" s="4">
        <f t="shared" si="31"/>
        <v>0</v>
      </c>
      <c r="J485" t="s">
        <v>649</v>
      </c>
      <c r="K485" t="s">
        <v>656</v>
      </c>
      <c r="L485" t="s">
        <v>671</v>
      </c>
      <c r="M485" t="s">
        <v>701</v>
      </c>
      <c r="N485" t="s">
        <v>710</v>
      </c>
      <c r="O485" t="s">
        <v>717</v>
      </c>
      <c r="P485" t="s">
        <v>730</v>
      </c>
      <c r="Q485" t="str" cm="1">
        <f t="array" ref="Q485">_xlfn.IFS(U485&lt;=_xlfn.QUARTILE.INC($U$2:$U1116,1),"Low",B485&lt;=_xlfn.QUARTILE.INC($U$2:$U$633,2),"Medium",TRUE,"High")</f>
        <v>Low</v>
      </c>
      <c r="R485" t="s">
        <v>1216</v>
      </c>
      <c r="S485" s="4">
        <v>350.76</v>
      </c>
      <c r="T485">
        <v>492.18</v>
      </c>
      <c r="U485">
        <v>492.18</v>
      </c>
      <c r="V485" s="7">
        <v>5.2999999999999999E-2</v>
      </c>
      <c r="W485" s="7">
        <v>5.2999999999999999E-2</v>
      </c>
      <c r="X485" s="7" t="str">
        <f t="shared" si="30"/>
        <v>okay</v>
      </c>
      <c r="Y485" s="9">
        <v>11</v>
      </c>
      <c r="Z485">
        <v>5127.0390600000001</v>
      </c>
      <c r="AA485">
        <v>3858.3599999999997</v>
      </c>
      <c r="AB485">
        <v>1268.6790600000004</v>
      </c>
      <c r="AC485">
        <v>0.24744868239798437</v>
      </c>
    </row>
    <row r="486" spans="1:29" x14ac:dyDescent="0.3">
      <c r="A486" t="s">
        <v>498</v>
      </c>
      <c r="B486" s="3">
        <v>45148</v>
      </c>
      <c r="C486" s="3" t="str">
        <v>Aug-2023</v>
      </c>
      <c r="D486" s="11" t="str">
        <f t="shared" si="28"/>
        <v>Q3-2023</v>
      </c>
      <c r="E486" s="3">
        <v>45153</v>
      </c>
      <c r="F486" s="3">
        <v>45148</v>
      </c>
      <c r="G486" s="4">
        <f t="shared" si="29"/>
        <v>5</v>
      </c>
      <c r="H486" s="4" t="str">
        <v>ontime</v>
      </c>
      <c r="I486" s="4">
        <f t="shared" si="31"/>
        <v>1</v>
      </c>
      <c r="J486" t="s">
        <v>648</v>
      </c>
      <c r="K486" t="s">
        <v>655</v>
      </c>
      <c r="L486" t="s">
        <v>670</v>
      </c>
      <c r="M486" t="s">
        <v>702</v>
      </c>
      <c r="N486" t="s">
        <v>711</v>
      </c>
      <c r="O486" t="s">
        <v>715</v>
      </c>
      <c r="P486" t="s">
        <v>729</v>
      </c>
      <c r="Q486" t="str" cm="1">
        <f t="array" ref="Q486">_xlfn.IFS(U486&lt;=_xlfn.QUARTILE.INC($U$2:$U1117,1),"Low",B486&lt;=_xlfn.QUARTILE.INC($U$2:$U$633,2),"Medium",TRUE,"High")</f>
        <v>High</v>
      </c>
      <c r="R486" t="s">
        <v>1217</v>
      </c>
      <c r="S486" s="4">
        <v>1307.52</v>
      </c>
      <c r="T486">
        <v>1921.65</v>
      </c>
      <c r="U486">
        <v>1921.65</v>
      </c>
      <c r="V486" s="7">
        <v>0.123</v>
      </c>
      <c r="W486" s="7">
        <v>0.123</v>
      </c>
      <c r="X486" s="7" t="str">
        <f t="shared" si="30"/>
        <v>okay</v>
      </c>
      <c r="Y486" s="9">
        <v>13</v>
      </c>
      <c r="Z486">
        <v>21908.731650000002</v>
      </c>
      <c r="AA486">
        <v>16997.759999999998</v>
      </c>
      <c r="AB486">
        <v>4910.9716500000031</v>
      </c>
      <c r="AC486">
        <v>0.22415590863289445</v>
      </c>
    </row>
    <row r="487" spans="1:29" x14ac:dyDescent="0.3">
      <c r="A487" t="s">
        <v>499</v>
      </c>
      <c r="B487" s="3">
        <v>45634</v>
      </c>
      <c r="C487" s="3" t="str">
        <v>Dec-2024</v>
      </c>
      <c r="D487" s="11" t="str">
        <f t="shared" si="28"/>
        <v>Q4-2024</v>
      </c>
      <c r="E487" s="3">
        <v>45634</v>
      </c>
      <c r="F487" s="3">
        <v>45634</v>
      </c>
      <c r="G487" s="4">
        <f t="shared" si="29"/>
        <v>0</v>
      </c>
      <c r="H487" s="4" t="str">
        <v>ontime</v>
      </c>
      <c r="I487" s="4">
        <f t="shared" si="31"/>
        <v>1</v>
      </c>
      <c r="J487" t="s">
        <v>649</v>
      </c>
      <c r="K487" t="s">
        <v>657</v>
      </c>
      <c r="L487" t="s">
        <v>679</v>
      </c>
      <c r="M487" t="s">
        <v>706</v>
      </c>
      <c r="N487" t="s">
        <v>707</v>
      </c>
      <c r="O487" t="s">
        <v>722</v>
      </c>
      <c r="P487" t="s">
        <v>727</v>
      </c>
      <c r="Q487" t="str" cm="1">
        <f t="array" ref="Q487">_xlfn.IFS(U487&lt;=_xlfn.QUARTILE.INC($U$2:$U1118,1),"Low",B487&lt;=_xlfn.QUARTILE.INC($U$2:$U$633,2),"Medium",TRUE,"High")</f>
        <v>Low</v>
      </c>
      <c r="R487" t="s">
        <v>1218</v>
      </c>
      <c r="S487" s="4">
        <v>257.44</v>
      </c>
      <c r="T487">
        <v>290.33</v>
      </c>
      <c r="U487">
        <v>290.33</v>
      </c>
      <c r="V487" s="7">
        <v>9.1999999999999998E-2</v>
      </c>
      <c r="W487" s="7">
        <v>9.1999999999999998E-2</v>
      </c>
      <c r="X487" s="7" t="str">
        <f t="shared" si="30"/>
        <v>okay</v>
      </c>
      <c r="Y487" s="9">
        <v>23</v>
      </c>
      <c r="Z487">
        <v>6063.2517199999993</v>
      </c>
      <c r="AA487">
        <v>5921.12</v>
      </c>
      <c r="AB487">
        <v>142.1317199999994</v>
      </c>
      <c r="AC487">
        <v>2.3441500792581216E-2</v>
      </c>
    </row>
    <row r="488" spans="1:29" x14ac:dyDescent="0.3">
      <c r="A488" t="s">
        <v>500</v>
      </c>
      <c r="B488" s="3">
        <v>45224</v>
      </c>
      <c r="C488" s="3" t="str">
        <v>Oct-2023</v>
      </c>
      <c r="D488" s="11" t="str">
        <f t="shared" si="28"/>
        <v>Q4-2023</v>
      </c>
      <c r="E488" s="3">
        <v>45254</v>
      </c>
      <c r="F488" s="3">
        <v>45224</v>
      </c>
      <c r="G488" s="4">
        <f t="shared" si="29"/>
        <v>30</v>
      </c>
      <c r="H488" s="4" t="str">
        <v>delayed</v>
      </c>
      <c r="I488" s="4">
        <f t="shared" si="31"/>
        <v>0</v>
      </c>
      <c r="J488" t="s">
        <v>649</v>
      </c>
      <c r="K488" t="s">
        <v>657</v>
      </c>
      <c r="L488" t="s">
        <v>690</v>
      </c>
      <c r="M488" t="s">
        <v>706</v>
      </c>
      <c r="N488" t="s">
        <v>710</v>
      </c>
      <c r="O488" t="s">
        <v>712</v>
      </c>
      <c r="P488" t="s">
        <v>730</v>
      </c>
      <c r="Q488" t="str" cm="1">
        <f t="array" ref="Q488">_xlfn.IFS(U488&lt;=_xlfn.QUARTILE.INC($U$2:$U1119,1),"Low",B488&lt;=_xlfn.QUARTILE.INC($U$2:$U$633,2),"Medium",TRUE,"High")</f>
        <v>Low</v>
      </c>
      <c r="R488" t="s">
        <v>1219</v>
      </c>
      <c r="S488" s="4">
        <v>287.85000000000002</v>
      </c>
      <c r="T488">
        <v>602.91999999999996</v>
      </c>
      <c r="U488">
        <v>602.91999999999996</v>
      </c>
      <c r="V488" s="7">
        <v>0.222</v>
      </c>
      <c r="W488" s="7">
        <v>0.222</v>
      </c>
      <c r="X488" s="7" t="str">
        <f t="shared" si="30"/>
        <v>High discount</v>
      </c>
      <c r="Y488" s="9">
        <v>11</v>
      </c>
      <c r="Z488">
        <v>5159.7893599999998</v>
      </c>
      <c r="AA488">
        <v>3166.3500000000004</v>
      </c>
      <c r="AB488">
        <v>1993.4393599999994</v>
      </c>
      <c r="AC488">
        <v>0.38634122847216373</v>
      </c>
    </row>
    <row r="489" spans="1:29" x14ac:dyDescent="0.3">
      <c r="A489" t="s">
        <v>501</v>
      </c>
      <c r="B489" s="3">
        <v>45613</v>
      </c>
      <c r="C489" s="3" t="str">
        <v>Nov-2024</v>
      </c>
      <c r="D489" s="11" t="str">
        <f t="shared" si="28"/>
        <v>Q4-2024</v>
      </c>
      <c r="E489" s="3">
        <v>45624</v>
      </c>
      <c r="F489" s="3">
        <v>45613</v>
      </c>
      <c r="G489" s="4">
        <f t="shared" si="29"/>
        <v>11</v>
      </c>
      <c r="H489" s="4" t="str">
        <v>delayed</v>
      </c>
      <c r="I489" s="4">
        <f t="shared" si="31"/>
        <v>0</v>
      </c>
      <c r="J489" t="s">
        <v>648</v>
      </c>
      <c r="K489" t="s">
        <v>653</v>
      </c>
      <c r="L489" t="s">
        <v>1421</v>
      </c>
      <c r="M489" t="s">
        <v>704</v>
      </c>
      <c r="N489" t="s">
        <v>710</v>
      </c>
      <c r="O489" t="s">
        <v>720</v>
      </c>
      <c r="P489" t="s">
        <v>728</v>
      </c>
      <c r="Q489" t="str" cm="1">
        <f t="array" ref="Q489">_xlfn.IFS(U489&lt;=_xlfn.QUARTILE.INC($U$2:$U1120,1),"Low",B489&lt;=_xlfn.QUARTILE.INC($U$2:$U$633,2),"Medium",TRUE,"High")</f>
        <v>High</v>
      </c>
      <c r="R489" t="s">
        <v>1220</v>
      </c>
      <c r="S489" s="4">
        <v>1008.16</v>
      </c>
      <c r="T489">
        <v>2077.5</v>
      </c>
      <c r="U489">
        <v>2077.5</v>
      </c>
      <c r="V489" s="7">
        <v>7.3999999999999996E-2</v>
      </c>
      <c r="W489" s="7">
        <v>7.3999999999999996E-2</v>
      </c>
      <c r="X489" s="7" t="str">
        <f t="shared" si="30"/>
        <v>okay</v>
      </c>
      <c r="Y489" s="9">
        <v>15</v>
      </c>
      <c r="Z489">
        <v>28856.475000000002</v>
      </c>
      <c r="AA489">
        <v>15122.4</v>
      </c>
      <c r="AB489">
        <v>13734.075000000003</v>
      </c>
      <c r="AC489">
        <v>0.47594430712691005</v>
      </c>
    </row>
    <row r="490" spans="1:29" x14ac:dyDescent="0.3">
      <c r="A490" t="s">
        <v>502</v>
      </c>
      <c r="B490" s="3">
        <v>45424</v>
      </c>
      <c r="C490" s="3" t="str">
        <v>May-2024</v>
      </c>
      <c r="D490" s="11" t="str">
        <f t="shared" si="28"/>
        <v>Q2-2024</v>
      </c>
      <c r="E490" s="3">
        <v>45436</v>
      </c>
      <c r="F490" s="3">
        <v>45424</v>
      </c>
      <c r="G490" s="4">
        <f t="shared" si="29"/>
        <v>12</v>
      </c>
      <c r="H490" s="4" t="str">
        <v>delayed</v>
      </c>
      <c r="I490" s="4">
        <f t="shared" si="31"/>
        <v>0</v>
      </c>
      <c r="J490" t="s">
        <v>649</v>
      </c>
      <c r="K490" t="s">
        <v>658</v>
      </c>
      <c r="L490" t="s">
        <v>693</v>
      </c>
      <c r="M490" t="s">
        <v>702</v>
      </c>
      <c r="N490" t="s">
        <v>709</v>
      </c>
      <c r="O490" t="s">
        <v>723</v>
      </c>
      <c r="P490" t="s">
        <v>728</v>
      </c>
      <c r="Q490" t="str" cm="1">
        <f t="array" ref="Q490">_xlfn.IFS(U490&lt;=_xlfn.QUARTILE.INC($U$2:$U1121,1),"Low",B490&lt;=_xlfn.QUARTILE.INC($U$2:$U$633,2),"Medium",TRUE,"High")</f>
        <v>Low</v>
      </c>
      <c r="R490" t="s">
        <v>1221</v>
      </c>
      <c r="S490" s="4">
        <v>111.02</v>
      </c>
      <c r="T490">
        <v>172.88</v>
      </c>
      <c r="U490">
        <v>172.88</v>
      </c>
      <c r="V490" s="7">
        <v>0.19700000000000001</v>
      </c>
      <c r="W490" s="7">
        <v>0.19700000000000001</v>
      </c>
      <c r="X490" s="7" t="str">
        <f t="shared" si="30"/>
        <v>okay</v>
      </c>
      <c r="Y490" s="9">
        <v>29</v>
      </c>
      <c r="Z490">
        <v>4025.8565599999993</v>
      </c>
      <c r="AA490">
        <v>3219.58</v>
      </c>
      <c r="AB490">
        <v>806.27655999999934</v>
      </c>
      <c r="AC490">
        <v>0.20027453735212053</v>
      </c>
    </row>
    <row r="491" spans="1:29" x14ac:dyDescent="0.3">
      <c r="A491" t="s">
        <v>503</v>
      </c>
      <c r="B491" s="3">
        <v>45792</v>
      </c>
      <c r="C491" s="3" t="str">
        <v>May-2025</v>
      </c>
      <c r="D491" s="11" t="str">
        <f t="shared" si="28"/>
        <v>Q2-2025</v>
      </c>
      <c r="E491" s="3">
        <v>45813</v>
      </c>
      <c r="F491" s="3">
        <v>45792</v>
      </c>
      <c r="G491" s="4">
        <f t="shared" si="29"/>
        <v>21</v>
      </c>
      <c r="H491" s="4" t="str">
        <v>delayed</v>
      </c>
      <c r="I491" s="4">
        <f t="shared" si="31"/>
        <v>0</v>
      </c>
      <c r="J491" t="s">
        <v>647</v>
      </c>
      <c r="K491" t="s">
        <v>652</v>
      </c>
      <c r="L491" t="s">
        <v>666</v>
      </c>
      <c r="M491" t="s">
        <v>706</v>
      </c>
      <c r="N491" t="s">
        <v>711</v>
      </c>
      <c r="O491" t="s">
        <v>722</v>
      </c>
      <c r="P491" t="s">
        <v>730</v>
      </c>
      <c r="Q491" t="str" cm="1">
        <f t="array" ref="Q491">_xlfn.IFS(U491&lt;=_xlfn.QUARTILE.INC($U$2:$U1122,1),"Low",B491&lt;=_xlfn.QUARTILE.INC($U$2:$U$633,2),"Medium",TRUE,"High")</f>
        <v>High</v>
      </c>
      <c r="R491" t="s">
        <v>1222</v>
      </c>
      <c r="S491" s="4">
        <v>1466.5</v>
      </c>
      <c r="T491">
        <v>2778.74</v>
      </c>
      <c r="U491">
        <v>2778.74</v>
      </c>
      <c r="V491" s="7">
        <v>0.13500000000000001</v>
      </c>
      <c r="W491" s="7">
        <v>0.13500000000000001</v>
      </c>
      <c r="X491" s="7" t="str">
        <f t="shared" si="30"/>
        <v>okay</v>
      </c>
      <c r="Y491" s="9">
        <v>4</v>
      </c>
      <c r="Z491">
        <v>9614.4403999999995</v>
      </c>
      <c r="AA491">
        <v>5866</v>
      </c>
      <c r="AB491">
        <v>3748.4403999999995</v>
      </c>
      <c r="AC491">
        <v>0.38987608680792279</v>
      </c>
    </row>
    <row r="492" spans="1:29" x14ac:dyDescent="0.3">
      <c r="A492" t="s">
        <v>504</v>
      </c>
      <c r="B492" s="3">
        <v>45403</v>
      </c>
      <c r="C492" s="3" t="str">
        <v>Apr-2024</v>
      </c>
      <c r="D492" s="11" t="str">
        <f t="shared" si="28"/>
        <v>Q2-2024</v>
      </c>
      <c r="E492" s="3">
        <v>45431</v>
      </c>
      <c r="F492" s="3">
        <v>45403</v>
      </c>
      <c r="G492" s="4">
        <f t="shared" si="29"/>
        <v>28</v>
      </c>
      <c r="H492" s="4" t="str">
        <v>delayed</v>
      </c>
      <c r="I492" s="4">
        <f t="shared" si="31"/>
        <v>0</v>
      </c>
      <c r="J492" t="s">
        <v>646</v>
      </c>
      <c r="K492" t="s">
        <v>651</v>
      </c>
      <c r="L492" t="s">
        <v>665</v>
      </c>
      <c r="M492" t="s">
        <v>701</v>
      </c>
      <c r="N492" t="s">
        <v>710</v>
      </c>
      <c r="O492" t="s">
        <v>720</v>
      </c>
      <c r="P492" t="s">
        <v>733</v>
      </c>
      <c r="Q492" t="str" cm="1">
        <f t="array" ref="Q492">_xlfn.IFS(U492&lt;=_xlfn.QUARTILE.INC($U$2:$U1123,1),"Low",B492&lt;=_xlfn.QUARTILE.INC($U$2:$U$633,2),"Medium",TRUE,"High")</f>
        <v>Low</v>
      </c>
      <c r="R492" t="s">
        <v>1223</v>
      </c>
      <c r="S492" s="4">
        <v>187.22</v>
      </c>
      <c r="T492">
        <v>309.47000000000003</v>
      </c>
      <c r="U492">
        <v>309.47000000000003</v>
      </c>
      <c r="V492" s="7">
        <v>0</v>
      </c>
      <c r="W492" s="7">
        <v>0</v>
      </c>
      <c r="X492" s="7" t="str">
        <f t="shared" si="30"/>
        <v>okay</v>
      </c>
      <c r="Y492" s="9">
        <v>5</v>
      </c>
      <c r="Z492">
        <v>1547.3500000000001</v>
      </c>
      <c r="AA492">
        <v>936.1</v>
      </c>
      <c r="AB492">
        <v>611.25000000000011</v>
      </c>
      <c r="AC492">
        <v>0.39503021294471197</v>
      </c>
    </row>
    <row r="493" spans="1:29" x14ac:dyDescent="0.3">
      <c r="A493" t="s">
        <v>505</v>
      </c>
      <c r="B493" s="3">
        <v>45523</v>
      </c>
      <c r="C493" s="3" t="str">
        <v>Aug-2024</v>
      </c>
      <c r="D493" s="11" t="str">
        <f t="shared" si="28"/>
        <v>Q3-2024</v>
      </c>
      <c r="E493" s="3">
        <v>45542</v>
      </c>
      <c r="F493" s="3">
        <v>45523</v>
      </c>
      <c r="G493" s="4">
        <f t="shared" si="29"/>
        <v>19</v>
      </c>
      <c r="H493" s="4" t="str">
        <v>delayed</v>
      </c>
      <c r="I493" s="4">
        <f t="shared" si="31"/>
        <v>0</v>
      </c>
      <c r="J493" t="s">
        <v>649</v>
      </c>
      <c r="K493" t="s">
        <v>657</v>
      </c>
      <c r="L493" t="s">
        <v>679</v>
      </c>
      <c r="M493" t="s">
        <v>701</v>
      </c>
      <c r="N493" t="s">
        <v>711</v>
      </c>
      <c r="O493" t="s">
        <v>713</v>
      </c>
      <c r="P493" t="s">
        <v>727</v>
      </c>
      <c r="Q493" t="str" cm="1">
        <f t="array" ref="Q493">_xlfn.IFS(U493&lt;=_xlfn.QUARTILE.INC($U$2:$U1124,1),"Low",B493&lt;=_xlfn.QUARTILE.INC($U$2:$U$633,2),"Medium",TRUE,"High")</f>
        <v>High</v>
      </c>
      <c r="R493" t="s">
        <v>1224</v>
      </c>
      <c r="S493" s="4">
        <v>297.58999999999997</v>
      </c>
      <c r="T493">
        <v>666.41</v>
      </c>
      <c r="U493">
        <v>666.41</v>
      </c>
      <c r="V493" s="7">
        <v>0</v>
      </c>
      <c r="W493" s="7">
        <v>0</v>
      </c>
      <c r="X493" s="7" t="str">
        <f t="shared" si="30"/>
        <v>okay</v>
      </c>
      <c r="Y493" s="9">
        <v>10</v>
      </c>
      <c r="Z493">
        <v>6664.0999999999995</v>
      </c>
      <c r="AA493">
        <v>2975.8999999999996</v>
      </c>
      <c r="AB493">
        <v>3688.2</v>
      </c>
      <c r="AC493">
        <v>0.55344307558409989</v>
      </c>
    </row>
    <row r="494" spans="1:29" x14ac:dyDescent="0.3">
      <c r="A494" t="s">
        <v>506</v>
      </c>
      <c r="B494" s="3">
        <v>45861</v>
      </c>
      <c r="C494" s="3" t="str">
        <v>Jul-2025</v>
      </c>
      <c r="D494" s="11" t="str">
        <f t="shared" si="28"/>
        <v>Q3-2025</v>
      </c>
      <c r="E494" s="3">
        <v>45888</v>
      </c>
      <c r="F494" s="3">
        <v>45861</v>
      </c>
      <c r="G494" s="4">
        <f t="shared" si="29"/>
        <v>27</v>
      </c>
      <c r="H494" s="4" t="str">
        <v>delayed</v>
      </c>
      <c r="I494" s="4">
        <f t="shared" si="31"/>
        <v>0</v>
      </c>
      <c r="J494" t="s">
        <v>647</v>
      </c>
      <c r="K494" t="s">
        <v>652</v>
      </c>
      <c r="L494" t="s">
        <v>694</v>
      </c>
      <c r="M494" t="s">
        <v>704</v>
      </c>
      <c r="N494" t="s">
        <v>709</v>
      </c>
      <c r="O494" t="s">
        <v>717</v>
      </c>
      <c r="P494" t="s">
        <v>733</v>
      </c>
      <c r="Q494" t="str" cm="1">
        <f t="array" ref="Q494">_xlfn.IFS(U494&lt;=_xlfn.QUARTILE.INC($U$2:$U1125,1),"Low",B494&lt;=_xlfn.QUARTILE.INC($U$2:$U$633,2),"Medium",TRUE,"High")</f>
        <v>High</v>
      </c>
      <c r="R494" t="s">
        <v>1225</v>
      </c>
      <c r="S494" s="4">
        <v>896.09</v>
      </c>
      <c r="T494">
        <v>744.27</v>
      </c>
      <c r="U494">
        <v>744.27</v>
      </c>
      <c r="V494" s="7">
        <v>8.3000000000000004E-2</v>
      </c>
      <c r="W494" s="7">
        <v>8.3000000000000004E-2</v>
      </c>
      <c r="X494" s="7" t="str">
        <f t="shared" si="30"/>
        <v>okay</v>
      </c>
      <c r="Y494" s="9">
        <v>11</v>
      </c>
      <c r="Z494">
        <v>7507.4514899999995</v>
      </c>
      <c r="AA494">
        <v>9856.99</v>
      </c>
      <c r="AB494">
        <v>-2349.5385100000003</v>
      </c>
      <c r="AC494">
        <v>-0.31296086469950679</v>
      </c>
    </row>
    <row r="495" spans="1:29" x14ac:dyDescent="0.3">
      <c r="A495" t="s">
        <v>507</v>
      </c>
      <c r="B495" s="3">
        <v>45352</v>
      </c>
      <c r="C495" s="3" t="str">
        <v>Mar-2024</v>
      </c>
      <c r="D495" s="11" t="str">
        <f t="shared" si="28"/>
        <v>Q1-2024</v>
      </c>
      <c r="E495" s="3">
        <v>45351</v>
      </c>
      <c r="F495" s="3">
        <v>45359</v>
      </c>
      <c r="G495" s="4">
        <f t="shared" si="29"/>
        <v>-8</v>
      </c>
      <c r="H495" s="4" t="str">
        <v>ontime</v>
      </c>
      <c r="I495" s="4">
        <f t="shared" si="31"/>
        <v>1</v>
      </c>
      <c r="J495" t="s">
        <v>648</v>
      </c>
      <c r="K495" t="s">
        <v>655</v>
      </c>
      <c r="L495" t="s">
        <v>670</v>
      </c>
      <c r="M495" t="s">
        <v>703</v>
      </c>
      <c r="N495" t="s">
        <v>711</v>
      </c>
      <c r="O495" t="s">
        <v>714</v>
      </c>
      <c r="P495" t="s">
        <v>730</v>
      </c>
      <c r="Q495" t="str" cm="1">
        <f t="array" ref="Q495">_xlfn.IFS(U495&lt;=_xlfn.QUARTILE.INC($U$2:$U1126,1),"Low",B495&lt;=_xlfn.QUARTILE.INC($U$2:$U$633,2),"Medium",TRUE,"High")</f>
        <v>Low</v>
      </c>
      <c r="R495" t="s">
        <v>1226</v>
      </c>
      <c r="S495" s="4">
        <v>5.34</v>
      </c>
      <c r="T495">
        <v>12.69</v>
      </c>
      <c r="U495">
        <v>12.69</v>
      </c>
      <c r="V495" s="7">
        <v>0.13200000000000001</v>
      </c>
      <c r="W495" s="7">
        <v>0.13200000000000001</v>
      </c>
      <c r="X495" s="7" t="str">
        <f t="shared" si="30"/>
        <v>okay</v>
      </c>
      <c r="Y495" s="9">
        <v>10</v>
      </c>
      <c r="Z495">
        <v>110.14919999999999</v>
      </c>
      <c r="AA495">
        <v>53.4</v>
      </c>
      <c r="AB495">
        <v>56.749199999999995</v>
      </c>
      <c r="AC495">
        <v>0.51520301554618642</v>
      </c>
    </row>
    <row r="496" spans="1:29" x14ac:dyDescent="0.3">
      <c r="A496" t="s">
        <v>508</v>
      </c>
      <c r="B496" s="3">
        <v>45439</v>
      </c>
      <c r="C496" s="3" t="str">
        <v>May-2024</v>
      </c>
      <c r="D496" s="11" t="str">
        <f t="shared" si="28"/>
        <v>Q2-2024</v>
      </c>
      <c r="E496" s="3">
        <v>45460</v>
      </c>
      <c r="F496" s="3">
        <v>45439</v>
      </c>
      <c r="G496" s="4">
        <f t="shared" si="29"/>
        <v>21</v>
      </c>
      <c r="H496" s="4" t="str">
        <v>delayed</v>
      </c>
      <c r="I496" s="4">
        <f t="shared" si="31"/>
        <v>0</v>
      </c>
      <c r="J496" t="s">
        <v>647</v>
      </c>
      <c r="K496" t="s">
        <v>654</v>
      </c>
      <c r="L496" t="s">
        <v>680</v>
      </c>
      <c r="M496" t="s">
        <v>705</v>
      </c>
      <c r="N496" t="s">
        <v>708</v>
      </c>
      <c r="O496" t="s">
        <v>722</v>
      </c>
      <c r="P496" t="s">
        <v>733</v>
      </c>
      <c r="Q496" t="str" cm="1">
        <f t="array" ref="Q496">_xlfn.IFS(U496&lt;=_xlfn.QUARTILE.INC($U$2:$U1127,1),"Low",B496&lt;=_xlfn.QUARTILE.INC($U$2:$U$633,2),"Medium",TRUE,"High")</f>
        <v>High</v>
      </c>
      <c r="R496" t="s">
        <v>1227</v>
      </c>
      <c r="S496" s="4">
        <v>465.02</v>
      </c>
      <c r="T496">
        <v>651.55999999999995</v>
      </c>
      <c r="U496">
        <v>651.55999999999995</v>
      </c>
      <c r="V496" s="7">
        <v>4.2000000000000003E-2</v>
      </c>
      <c r="W496" s="7">
        <v>4.2000000000000003E-2</v>
      </c>
      <c r="X496" s="7" t="str">
        <f t="shared" si="30"/>
        <v>okay</v>
      </c>
      <c r="Y496" s="9">
        <v>19</v>
      </c>
      <c r="Z496">
        <v>11859.695119999998</v>
      </c>
      <c r="AA496">
        <v>8835.3799999999992</v>
      </c>
      <c r="AB496">
        <v>3024.3151199999993</v>
      </c>
      <c r="AC496">
        <v>0.25500783025187918</v>
      </c>
    </row>
    <row r="497" spans="1:29" x14ac:dyDescent="0.3">
      <c r="A497" t="s">
        <v>509</v>
      </c>
      <c r="B497" s="3">
        <v>45508</v>
      </c>
      <c r="C497" s="3" t="str">
        <v>Aug-2024</v>
      </c>
      <c r="D497" s="11" t="str">
        <f t="shared" si="28"/>
        <v>Q3-2024</v>
      </c>
      <c r="E497" s="3">
        <v>45521</v>
      </c>
      <c r="F497" s="3">
        <v>45508</v>
      </c>
      <c r="G497" s="4">
        <f t="shared" si="29"/>
        <v>13</v>
      </c>
      <c r="H497" s="4" t="str">
        <v>delayed</v>
      </c>
      <c r="I497" s="4">
        <f t="shared" si="31"/>
        <v>0</v>
      </c>
      <c r="J497" t="s">
        <v>648</v>
      </c>
      <c r="K497" t="s">
        <v>660</v>
      </c>
      <c r="L497" t="s">
        <v>697</v>
      </c>
      <c r="M497" t="s">
        <v>704</v>
      </c>
      <c r="N497" t="s">
        <v>707</v>
      </c>
      <c r="O497" t="s">
        <v>726</v>
      </c>
      <c r="P497" t="s">
        <v>732</v>
      </c>
      <c r="Q497" t="str" cm="1">
        <f t="array" ref="Q497">_xlfn.IFS(U497&lt;=_xlfn.QUARTILE.INC($U$2:$U1128,1),"Low",B497&lt;=_xlfn.QUARTILE.INC($U$2:$U$633,2),"Medium",TRUE,"High")</f>
        <v>High</v>
      </c>
      <c r="R497" t="s">
        <v>1228</v>
      </c>
      <c r="S497" s="4">
        <v>352.79</v>
      </c>
      <c r="T497">
        <v>754.22</v>
      </c>
      <c r="U497">
        <v>754.22</v>
      </c>
      <c r="V497" s="7">
        <v>0.113</v>
      </c>
      <c r="W497" s="7">
        <v>0.113</v>
      </c>
      <c r="X497" s="7" t="str">
        <f t="shared" si="30"/>
        <v>okay</v>
      </c>
      <c r="Y497" s="9">
        <v>7</v>
      </c>
      <c r="Z497">
        <v>4682.9519799999998</v>
      </c>
      <c r="AA497">
        <v>2469.5300000000002</v>
      </c>
      <c r="AB497">
        <v>2213.4219799999996</v>
      </c>
      <c r="AC497">
        <v>0.47265528014233443</v>
      </c>
    </row>
    <row r="498" spans="1:29" x14ac:dyDescent="0.3">
      <c r="A498" t="s">
        <v>510</v>
      </c>
      <c r="B498" s="3">
        <v>45097</v>
      </c>
      <c r="C498" s="3" t="str">
        <v>Jun-2023</v>
      </c>
      <c r="D498" s="11" t="str">
        <f t="shared" si="28"/>
        <v>Q2-2023</v>
      </c>
      <c r="E498" s="3">
        <v>45111</v>
      </c>
      <c r="F498" s="3">
        <v>45097</v>
      </c>
      <c r="G498" s="4">
        <f t="shared" si="29"/>
        <v>14</v>
      </c>
      <c r="H498" s="4" t="str">
        <v>delayed</v>
      </c>
      <c r="I498" s="4">
        <f t="shared" si="31"/>
        <v>0</v>
      </c>
      <c r="J498" t="s">
        <v>648</v>
      </c>
      <c r="K498" t="s">
        <v>655</v>
      </c>
      <c r="L498" t="s">
        <v>672</v>
      </c>
      <c r="M498" t="s">
        <v>703</v>
      </c>
      <c r="N498" t="s">
        <v>711</v>
      </c>
      <c r="O498" t="s">
        <v>712</v>
      </c>
      <c r="P498" t="s">
        <v>729</v>
      </c>
      <c r="Q498" t="str" cm="1">
        <f t="array" ref="Q498">_xlfn.IFS(U498&lt;=_xlfn.QUARTILE.INC($U$2:$U1129,1),"Low",B498&lt;=_xlfn.QUARTILE.INC($U$2:$U$633,2),"Medium",TRUE,"High")</f>
        <v>High</v>
      </c>
      <c r="R498" t="s">
        <v>1229</v>
      </c>
      <c r="S498" s="4">
        <v>1292.8599999999999</v>
      </c>
      <c r="T498">
        <v>2981.01</v>
      </c>
      <c r="U498">
        <v>2981.01</v>
      </c>
      <c r="V498" s="7">
        <v>0.14199999999999999</v>
      </c>
      <c r="W498" s="7">
        <v>0.14199999999999999</v>
      </c>
      <c r="X498" s="7" t="str">
        <f t="shared" si="30"/>
        <v>okay</v>
      </c>
      <c r="Y498" s="9">
        <v>12</v>
      </c>
      <c r="Z498">
        <v>30692.47896</v>
      </c>
      <c r="AA498">
        <v>15514.32</v>
      </c>
      <c r="AB498">
        <v>15178.158960000001</v>
      </c>
      <c r="AC498">
        <v>0.49452372288927687</v>
      </c>
    </row>
    <row r="499" spans="1:29" x14ac:dyDescent="0.3">
      <c r="A499" t="s">
        <v>511</v>
      </c>
      <c r="B499" s="3">
        <v>45544</v>
      </c>
      <c r="C499" s="3" t="str">
        <v>Sep-2024</v>
      </c>
      <c r="D499" s="11" t="str">
        <f t="shared" si="28"/>
        <v>Q3-2024</v>
      </c>
      <c r="E499" s="3">
        <v>45548</v>
      </c>
      <c r="F499" s="3">
        <v>45544</v>
      </c>
      <c r="G499" s="4">
        <f t="shared" si="29"/>
        <v>4</v>
      </c>
      <c r="H499" s="4" t="str">
        <v>ontime</v>
      </c>
      <c r="I499" s="4">
        <f t="shared" si="31"/>
        <v>1</v>
      </c>
      <c r="J499" t="s">
        <v>649</v>
      </c>
      <c r="K499" t="s">
        <v>658</v>
      </c>
      <c r="L499" t="s">
        <v>683</v>
      </c>
      <c r="M499" t="s">
        <v>704</v>
      </c>
      <c r="N499" t="s">
        <v>709</v>
      </c>
      <c r="O499" t="s">
        <v>721</v>
      </c>
      <c r="P499" t="s">
        <v>729</v>
      </c>
      <c r="Q499" t="str" cm="1">
        <f t="array" ref="Q499">_xlfn.IFS(U499&lt;=_xlfn.QUARTILE.INC($U$2:$U1130,1),"Low",B499&lt;=_xlfn.QUARTILE.INC($U$2:$U$633,2),"Medium",TRUE,"High")</f>
        <v>High</v>
      </c>
      <c r="R499" t="s">
        <v>1230</v>
      </c>
      <c r="S499" s="4">
        <v>1133.08</v>
      </c>
      <c r="T499">
        <v>976.17</v>
      </c>
      <c r="U499">
        <v>976.17</v>
      </c>
      <c r="V499" s="7">
        <v>4.2000000000000003E-2</v>
      </c>
      <c r="W499" s="7">
        <v>4.2000000000000003E-2</v>
      </c>
      <c r="X499" s="7" t="str">
        <f t="shared" si="30"/>
        <v>okay</v>
      </c>
      <c r="Y499" s="9">
        <v>27</v>
      </c>
      <c r="Z499">
        <v>25249.613219999999</v>
      </c>
      <c r="AA499">
        <v>30593.159999999996</v>
      </c>
      <c r="AB499">
        <v>-5343.5467799999969</v>
      </c>
      <c r="AC499">
        <v>-0.21162885678452373</v>
      </c>
    </row>
    <row r="500" spans="1:29" x14ac:dyDescent="0.3">
      <c r="A500" t="s">
        <v>512</v>
      </c>
      <c r="B500" s="3">
        <v>45224</v>
      </c>
      <c r="C500" s="3" t="str">
        <v>Oct-2023</v>
      </c>
      <c r="D500" s="11" t="str">
        <f t="shared" si="28"/>
        <v>Q4-2023</v>
      </c>
      <c r="E500" s="3">
        <v>45227</v>
      </c>
      <c r="F500" s="3">
        <v>45224</v>
      </c>
      <c r="G500" s="4">
        <f t="shared" si="29"/>
        <v>3</v>
      </c>
      <c r="H500" s="4" t="str">
        <v>ontime</v>
      </c>
      <c r="I500" s="4">
        <f t="shared" si="31"/>
        <v>1</v>
      </c>
      <c r="J500" t="s">
        <v>648</v>
      </c>
      <c r="K500" t="s">
        <v>655</v>
      </c>
      <c r="L500" t="s">
        <v>672</v>
      </c>
      <c r="M500" t="s">
        <v>701</v>
      </c>
      <c r="N500" t="s">
        <v>710</v>
      </c>
      <c r="O500" t="s">
        <v>716</v>
      </c>
      <c r="P500" t="s">
        <v>733</v>
      </c>
      <c r="Q500" t="str" cm="1">
        <f t="array" ref="Q500">_xlfn.IFS(U500&lt;=_xlfn.QUARTILE.INC($U$2:$U1131,1),"Low",B500&lt;=_xlfn.QUARTILE.INC($U$2:$U$633,2),"Medium",TRUE,"High")</f>
        <v>High</v>
      </c>
      <c r="R500" t="s">
        <v>1231</v>
      </c>
      <c r="S500" s="4">
        <v>509.31</v>
      </c>
      <c r="T500">
        <v>1145.9000000000001</v>
      </c>
      <c r="U500">
        <v>1145.9000000000001</v>
      </c>
      <c r="V500" s="7">
        <v>5.7000000000000002E-2</v>
      </c>
      <c r="W500" s="7">
        <v>5.7000000000000002E-2</v>
      </c>
      <c r="X500" s="7" t="str">
        <f t="shared" si="30"/>
        <v>okay</v>
      </c>
      <c r="Y500" s="9">
        <v>8</v>
      </c>
      <c r="Z500">
        <v>8644.6696000000011</v>
      </c>
      <c r="AA500">
        <v>4074.48</v>
      </c>
      <c r="AB500">
        <v>4570.1896000000015</v>
      </c>
      <c r="AC500">
        <v>0.52867140231709964</v>
      </c>
    </row>
    <row r="501" spans="1:29" x14ac:dyDescent="0.3">
      <c r="A501" t="s">
        <v>513</v>
      </c>
      <c r="B501" s="3">
        <v>45908</v>
      </c>
      <c r="C501" s="3" t="str">
        <v>Sep-2025</v>
      </c>
      <c r="D501" s="11" t="str">
        <f t="shared" si="28"/>
        <v>Q3-2025</v>
      </c>
      <c r="E501" s="3">
        <v>45935</v>
      </c>
      <c r="F501" s="3">
        <v>45908</v>
      </c>
      <c r="G501" s="4">
        <f t="shared" si="29"/>
        <v>27</v>
      </c>
      <c r="H501" s="4" t="str">
        <v>delayed</v>
      </c>
      <c r="I501" s="4">
        <f t="shared" si="31"/>
        <v>0</v>
      </c>
      <c r="J501" t="s">
        <v>648</v>
      </c>
      <c r="K501" t="s">
        <v>655</v>
      </c>
      <c r="L501" t="s">
        <v>692</v>
      </c>
      <c r="M501" t="s">
        <v>702</v>
      </c>
      <c r="N501" t="s">
        <v>708</v>
      </c>
      <c r="O501" t="s">
        <v>712</v>
      </c>
      <c r="P501" t="s">
        <v>732</v>
      </c>
      <c r="Q501" t="str" cm="1">
        <f t="array" ref="Q501">_xlfn.IFS(U501&lt;=_xlfn.QUARTILE.INC($U$2:$U1132,1),"Low",B501&lt;=_xlfn.QUARTILE.INC($U$2:$U$633,2),"Medium",TRUE,"High")</f>
        <v>High</v>
      </c>
      <c r="R501" t="s">
        <v>1232</v>
      </c>
      <c r="S501" s="4">
        <v>660.78</v>
      </c>
      <c r="T501">
        <v>1630.39</v>
      </c>
      <c r="U501">
        <v>1630.39</v>
      </c>
      <c r="V501" s="7">
        <v>0.218</v>
      </c>
      <c r="W501" s="7">
        <v>0.218</v>
      </c>
      <c r="X501" s="7" t="str">
        <f t="shared" si="30"/>
        <v>High discount</v>
      </c>
      <c r="Y501" s="9">
        <v>13</v>
      </c>
      <c r="Z501">
        <v>16574.544740000001</v>
      </c>
      <c r="AA501">
        <v>8590.14</v>
      </c>
      <c r="AB501">
        <v>7984.4047400000018</v>
      </c>
      <c r="AC501">
        <v>0.48172694123724097</v>
      </c>
    </row>
    <row r="502" spans="1:29" x14ac:dyDescent="0.3">
      <c r="A502" t="s">
        <v>514</v>
      </c>
      <c r="B502" s="3">
        <v>45048</v>
      </c>
      <c r="C502" s="3" t="str">
        <v>May-2023</v>
      </c>
      <c r="D502" s="11" t="str">
        <f t="shared" si="28"/>
        <v>Q2-2023</v>
      </c>
      <c r="E502" s="3">
        <v>45062</v>
      </c>
      <c r="F502" s="3">
        <v>45048</v>
      </c>
      <c r="G502" s="4">
        <f t="shared" si="29"/>
        <v>14</v>
      </c>
      <c r="H502" s="4" t="str">
        <v>delayed</v>
      </c>
      <c r="I502" s="4">
        <f t="shared" si="31"/>
        <v>0</v>
      </c>
      <c r="J502" t="s">
        <v>647</v>
      </c>
      <c r="K502" t="s">
        <v>654</v>
      </c>
      <c r="L502" t="s">
        <v>668</v>
      </c>
      <c r="M502" t="s">
        <v>703</v>
      </c>
      <c r="N502" t="s">
        <v>707</v>
      </c>
      <c r="O502" t="s">
        <v>716</v>
      </c>
      <c r="P502" t="s">
        <v>732</v>
      </c>
      <c r="Q502" t="str" cm="1">
        <f t="array" ref="Q502">_xlfn.IFS(U502&lt;=_xlfn.QUARTILE.INC($U$2:$U1133,1),"Low",B502&lt;=_xlfn.QUARTILE.INC($U$2:$U$633,2),"Medium",TRUE,"High")</f>
        <v>High</v>
      </c>
      <c r="R502" t="s">
        <v>1233</v>
      </c>
      <c r="S502" s="4">
        <v>475.37</v>
      </c>
      <c r="T502">
        <v>963.73</v>
      </c>
      <c r="U502">
        <v>963.73</v>
      </c>
      <c r="V502" s="7">
        <v>4.1000000000000002E-2</v>
      </c>
      <c r="W502" s="7">
        <v>4.1000000000000002E-2</v>
      </c>
      <c r="X502" s="7" t="str">
        <f t="shared" si="30"/>
        <v>okay</v>
      </c>
      <c r="Y502" s="9">
        <v>22</v>
      </c>
      <c r="Z502">
        <v>20332.775539999999</v>
      </c>
      <c r="AA502">
        <v>10458.14</v>
      </c>
      <c r="AB502">
        <v>9874.6355399999993</v>
      </c>
      <c r="AC502">
        <v>0.48565113604750881</v>
      </c>
    </row>
    <row r="503" spans="1:29" x14ac:dyDescent="0.3">
      <c r="A503" t="s">
        <v>515</v>
      </c>
      <c r="B503" s="3">
        <v>45408</v>
      </c>
      <c r="C503" s="3" t="str">
        <v>Apr-2024</v>
      </c>
      <c r="D503" s="11" t="str">
        <f t="shared" si="28"/>
        <v>Q2-2024</v>
      </c>
      <c r="E503" s="3">
        <v>45406</v>
      </c>
      <c r="F503" s="3">
        <v>45415</v>
      </c>
      <c r="G503" s="4">
        <f t="shared" si="29"/>
        <v>-9</v>
      </c>
      <c r="H503" s="4" t="str">
        <v>ontime</v>
      </c>
      <c r="I503" s="4">
        <f t="shared" si="31"/>
        <v>1</v>
      </c>
      <c r="J503" t="s">
        <v>649</v>
      </c>
      <c r="K503" t="s">
        <v>658</v>
      </c>
      <c r="L503" t="s">
        <v>683</v>
      </c>
      <c r="M503" t="s">
        <v>703</v>
      </c>
      <c r="N503" t="s">
        <v>710</v>
      </c>
      <c r="O503" t="s">
        <v>725</v>
      </c>
      <c r="P503" t="s">
        <v>730</v>
      </c>
      <c r="Q503" t="str" cm="1">
        <f t="array" ref="Q503">_xlfn.IFS(U503&lt;=_xlfn.QUARTILE.INC($U$2:$U1134,1),"Low",B503&lt;=_xlfn.QUARTILE.INC($U$2:$U$633,2),"Medium",TRUE,"High")</f>
        <v>High</v>
      </c>
      <c r="R503" t="s">
        <v>1234</v>
      </c>
      <c r="S503" s="4">
        <v>1232.77</v>
      </c>
      <c r="T503">
        <v>891.73</v>
      </c>
      <c r="U503">
        <v>891.73</v>
      </c>
      <c r="V503" s="7">
        <v>0.16700000000000001</v>
      </c>
      <c r="W503" s="7">
        <v>0.16700000000000001</v>
      </c>
      <c r="X503" s="7" t="str">
        <f t="shared" si="30"/>
        <v>okay</v>
      </c>
      <c r="Y503" s="9">
        <v>10</v>
      </c>
      <c r="Z503">
        <v>7428.1108999999988</v>
      </c>
      <c r="AA503">
        <v>12327.7</v>
      </c>
      <c r="AB503">
        <v>-4899.589100000002</v>
      </c>
      <c r="AC503">
        <v>-0.65960096260813805</v>
      </c>
    </row>
    <row r="504" spans="1:29" x14ac:dyDescent="0.3">
      <c r="A504" t="s">
        <v>516</v>
      </c>
      <c r="B504" s="3">
        <v>44980</v>
      </c>
      <c r="C504" s="3" t="str">
        <v>Feb-2023</v>
      </c>
      <c r="D504" s="11" t="str">
        <f t="shared" si="28"/>
        <v>Q1-2023</v>
      </c>
      <c r="E504" s="3">
        <v>45003</v>
      </c>
      <c r="F504" s="3">
        <v>44980</v>
      </c>
      <c r="G504" s="4">
        <f t="shared" si="29"/>
        <v>23</v>
      </c>
      <c r="H504" s="4" t="str">
        <v>delayed</v>
      </c>
      <c r="I504" s="4">
        <f t="shared" si="31"/>
        <v>0</v>
      </c>
      <c r="J504" t="s">
        <v>647</v>
      </c>
      <c r="K504" t="s">
        <v>659</v>
      </c>
      <c r="L504" t="s">
        <v>699</v>
      </c>
      <c r="M504" t="s">
        <v>702</v>
      </c>
      <c r="N504" t="s">
        <v>710</v>
      </c>
      <c r="O504" t="s">
        <v>723</v>
      </c>
      <c r="P504" t="s">
        <v>728</v>
      </c>
      <c r="Q504" t="str" cm="1">
        <f t="array" ref="Q504">_xlfn.IFS(U504&lt;=_xlfn.QUARTILE.INC($U$2:$U1135,1),"Low",B504&lt;=_xlfn.QUARTILE.INC($U$2:$U$633,2),"Medium",TRUE,"High")</f>
        <v>High</v>
      </c>
      <c r="R504" t="s">
        <v>1235</v>
      </c>
      <c r="S504" s="4">
        <v>770.11</v>
      </c>
      <c r="T504">
        <v>1667.82</v>
      </c>
      <c r="U504">
        <v>1667.82</v>
      </c>
      <c r="V504" s="7">
        <v>6.9000000000000006E-2</v>
      </c>
      <c r="W504" s="7">
        <v>6.9000000000000006E-2</v>
      </c>
      <c r="X504" s="7" t="str">
        <f t="shared" si="30"/>
        <v>okay</v>
      </c>
      <c r="Y504" s="9">
        <v>7</v>
      </c>
      <c r="Z504">
        <v>10869.182940000001</v>
      </c>
      <c r="AA504">
        <v>5390.77</v>
      </c>
      <c r="AB504">
        <v>5478.4129400000002</v>
      </c>
      <c r="AC504">
        <v>0.50403171703355287</v>
      </c>
    </row>
    <row r="505" spans="1:29" x14ac:dyDescent="0.3">
      <c r="A505" t="s">
        <v>517</v>
      </c>
      <c r="B505" s="3">
        <v>45740</v>
      </c>
      <c r="C505" s="3" t="str">
        <v>Mar-2025</v>
      </c>
      <c r="D505" s="11" t="str">
        <f t="shared" si="28"/>
        <v>Q1-2025</v>
      </c>
      <c r="E505" s="3">
        <v>45741</v>
      </c>
      <c r="F505" s="3">
        <v>45740</v>
      </c>
      <c r="G505" s="4">
        <f t="shared" si="29"/>
        <v>1</v>
      </c>
      <c r="H505" s="4" t="str">
        <v>ontime</v>
      </c>
      <c r="I505" s="4">
        <f t="shared" si="31"/>
        <v>1</v>
      </c>
      <c r="J505" t="s">
        <v>647</v>
      </c>
      <c r="K505" t="s">
        <v>659</v>
      </c>
      <c r="L505" t="s">
        <v>699</v>
      </c>
      <c r="M505" t="s">
        <v>703</v>
      </c>
      <c r="N505" t="s">
        <v>708</v>
      </c>
      <c r="O505" t="s">
        <v>715</v>
      </c>
      <c r="P505" t="s">
        <v>729</v>
      </c>
      <c r="Q505" t="str" cm="1">
        <f t="array" ref="Q505">_xlfn.IFS(U505&lt;=_xlfn.QUARTILE.INC($U$2:$U1136,1),"Low",B505&lt;=_xlfn.QUARTILE.INC($U$2:$U$633,2),"Medium",TRUE,"High")</f>
        <v>High</v>
      </c>
      <c r="R505" t="s">
        <v>1236</v>
      </c>
      <c r="S505" s="4">
        <v>1133.03</v>
      </c>
      <c r="T505">
        <v>1921.51</v>
      </c>
      <c r="U505">
        <v>1921.51</v>
      </c>
      <c r="V505" s="7">
        <v>0.10100000000000001</v>
      </c>
      <c r="W505" s="7">
        <v>0.10100000000000001</v>
      </c>
      <c r="X505" s="7" t="str">
        <f t="shared" si="30"/>
        <v>okay</v>
      </c>
      <c r="Y505" s="9">
        <v>5</v>
      </c>
      <c r="Z505">
        <v>8637.1874499999994</v>
      </c>
      <c r="AA505">
        <v>5665.15</v>
      </c>
      <c r="AB505">
        <v>2972.0374499999998</v>
      </c>
      <c r="AC505">
        <v>0.3440978289755654</v>
      </c>
    </row>
    <row r="506" spans="1:29" x14ac:dyDescent="0.3">
      <c r="A506" t="s">
        <v>518</v>
      </c>
      <c r="B506" s="3">
        <v>45726</v>
      </c>
      <c r="C506" s="3" t="str">
        <v>Mar-2025</v>
      </c>
      <c r="D506" s="11" t="str">
        <f t="shared" si="28"/>
        <v>Q1-2025</v>
      </c>
      <c r="E506" s="3">
        <v>45743</v>
      </c>
      <c r="F506" s="3">
        <v>45726</v>
      </c>
      <c r="G506" s="4">
        <f t="shared" si="29"/>
        <v>17</v>
      </c>
      <c r="H506" s="4" t="str">
        <v>delayed</v>
      </c>
      <c r="I506" s="4">
        <f t="shared" si="31"/>
        <v>0</v>
      </c>
      <c r="J506" t="s">
        <v>648</v>
      </c>
      <c r="K506" t="s">
        <v>655</v>
      </c>
      <c r="L506" t="s">
        <v>692</v>
      </c>
      <c r="M506" t="s">
        <v>706</v>
      </c>
      <c r="N506" t="s">
        <v>711</v>
      </c>
      <c r="O506" t="s">
        <v>721</v>
      </c>
      <c r="P506" t="s">
        <v>729</v>
      </c>
      <c r="Q506" t="str" cm="1">
        <f t="array" ref="Q506">_xlfn.IFS(U506&lt;=_xlfn.QUARTILE.INC($U$2:$U1137,1),"Low",B506&lt;=_xlfn.QUARTILE.INC($U$2:$U$633,2),"Medium",TRUE,"High")</f>
        <v>High</v>
      </c>
      <c r="R506" t="s">
        <v>1237</v>
      </c>
      <c r="S506" s="4">
        <v>996.73</v>
      </c>
      <c r="T506">
        <v>1217.43</v>
      </c>
      <c r="U506">
        <v>1217.43</v>
      </c>
      <c r="V506" s="7">
        <v>7.0000000000000007E-2</v>
      </c>
      <c r="W506" s="7">
        <v>7.0000000000000007E-2</v>
      </c>
      <c r="X506" s="7" t="str">
        <f t="shared" si="30"/>
        <v>okay</v>
      </c>
      <c r="Y506" s="9">
        <v>9</v>
      </c>
      <c r="Z506">
        <v>10189.8891</v>
      </c>
      <c r="AA506">
        <v>8970.57</v>
      </c>
      <c r="AB506">
        <v>1219.3191000000006</v>
      </c>
      <c r="AC506">
        <v>0.11965970267527255</v>
      </c>
    </row>
    <row r="507" spans="1:29" x14ac:dyDescent="0.3">
      <c r="A507" t="s">
        <v>519</v>
      </c>
      <c r="B507" s="3">
        <v>45387</v>
      </c>
      <c r="C507" s="3" t="str">
        <v>Apr-2024</v>
      </c>
      <c r="D507" s="11" t="str">
        <f t="shared" si="28"/>
        <v>Q2-2024</v>
      </c>
      <c r="E507" s="3">
        <v>45391</v>
      </c>
      <c r="F507" s="3">
        <v>45387</v>
      </c>
      <c r="G507" s="4">
        <f t="shared" si="29"/>
        <v>4</v>
      </c>
      <c r="H507" s="4" t="str">
        <v>ontime</v>
      </c>
      <c r="I507" s="4">
        <f t="shared" si="31"/>
        <v>1</v>
      </c>
      <c r="J507" t="s">
        <v>646</v>
      </c>
      <c r="K507" t="s">
        <v>651</v>
      </c>
      <c r="L507" t="s">
        <v>665</v>
      </c>
      <c r="M507" t="s">
        <v>703</v>
      </c>
      <c r="N507" t="s">
        <v>711</v>
      </c>
      <c r="O507" t="s">
        <v>723</v>
      </c>
      <c r="P507" t="s">
        <v>727</v>
      </c>
      <c r="Q507" t="str" cm="1">
        <f t="array" ref="Q507">_xlfn.IFS(U507&lt;=_xlfn.QUARTILE.INC($U$2:$U1138,1),"Low",B507&lt;=_xlfn.QUARTILE.INC($U$2:$U$633,2),"Medium",TRUE,"High")</f>
        <v>High</v>
      </c>
      <c r="R507" t="s">
        <v>1238</v>
      </c>
      <c r="S507" s="4">
        <v>395.07</v>
      </c>
      <c r="T507">
        <v>970.27</v>
      </c>
      <c r="U507">
        <v>970.27</v>
      </c>
      <c r="V507" s="7">
        <v>0.123</v>
      </c>
      <c r="W507" s="7">
        <v>0.123</v>
      </c>
      <c r="X507" s="7" t="str">
        <f t="shared" si="30"/>
        <v>okay</v>
      </c>
      <c r="Y507" s="9">
        <v>38</v>
      </c>
      <c r="Z507">
        <v>32335.21802</v>
      </c>
      <c r="AA507">
        <v>15012.66</v>
      </c>
      <c r="AB507">
        <v>17322.55802</v>
      </c>
      <c r="AC507">
        <v>0.53571799049833657</v>
      </c>
    </row>
    <row r="508" spans="1:29" x14ac:dyDescent="0.3">
      <c r="A508" t="s">
        <v>520</v>
      </c>
      <c r="B508" s="3">
        <v>45774</v>
      </c>
      <c r="C508" s="3" t="str">
        <v>Apr-2025</v>
      </c>
      <c r="D508" s="11" t="str">
        <f t="shared" si="28"/>
        <v>Q2-2025</v>
      </c>
      <c r="E508" s="3">
        <v>45794</v>
      </c>
      <c r="F508" s="3">
        <v>45774</v>
      </c>
      <c r="G508" s="4">
        <f t="shared" si="29"/>
        <v>20</v>
      </c>
      <c r="H508" s="4" t="str">
        <v>delayed</v>
      </c>
      <c r="I508" s="4">
        <f t="shared" si="31"/>
        <v>0</v>
      </c>
      <c r="J508" t="s">
        <v>648</v>
      </c>
      <c r="K508" t="s">
        <v>660</v>
      </c>
      <c r="L508" t="s">
        <v>697</v>
      </c>
      <c r="M508" t="s">
        <v>701</v>
      </c>
      <c r="N508" t="s">
        <v>711</v>
      </c>
      <c r="O508" t="s">
        <v>725</v>
      </c>
      <c r="P508" t="s">
        <v>730</v>
      </c>
      <c r="Q508" t="str" cm="1">
        <f t="array" ref="Q508">_xlfn.IFS(U508&lt;=_xlfn.QUARTILE.INC($U$2:$U1139,1),"Low",B508&lt;=_xlfn.QUARTILE.INC($U$2:$U$633,2),"Medium",TRUE,"High")</f>
        <v>High</v>
      </c>
      <c r="R508" t="s">
        <v>1239</v>
      </c>
      <c r="S508" s="4">
        <v>932.26</v>
      </c>
      <c r="T508">
        <v>1624.67</v>
      </c>
      <c r="U508">
        <v>1624.67</v>
      </c>
      <c r="V508" s="7">
        <v>0.23499999999999999</v>
      </c>
      <c r="W508" s="7">
        <v>0.23499999999999999</v>
      </c>
      <c r="X508" s="7" t="str">
        <f t="shared" si="30"/>
        <v>High discount</v>
      </c>
      <c r="Y508" s="9">
        <v>28</v>
      </c>
      <c r="Z508">
        <v>34800.431400000001</v>
      </c>
      <c r="AA508">
        <v>26103.279999999999</v>
      </c>
      <c r="AB508">
        <v>8697.1514000000025</v>
      </c>
      <c r="AC508">
        <v>0.24991504559337163</v>
      </c>
    </row>
    <row r="509" spans="1:29" x14ac:dyDescent="0.3">
      <c r="A509" t="s">
        <v>521</v>
      </c>
      <c r="B509" s="3">
        <v>45589</v>
      </c>
      <c r="C509" s="3" t="str">
        <v>Oct-2024</v>
      </c>
      <c r="D509" s="11" t="str">
        <f t="shared" si="28"/>
        <v>Q4-2024</v>
      </c>
      <c r="E509" s="3">
        <v>45593</v>
      </c>
      <c r="F509" s="3">
        <v>45589</v>
      </c>
      <c r="G509" s="4">
        <f t="shared" si="29"/>
        <v>4</v>
      </c>
      <c r="H509" s="4" t="str">
        <v>ontime</v>
      </c>
      <c r="I509" s="4">
        <f t="shared" si="31"/>
        <v>1</v>
      </c>
      <c r="J509" t="s">
        <v>647</v>
      </c>
      <c r="K509" t="s">
        <v>659</v>
      </c>
      <c r="L509" t="s">
        <v>685</v>
      </c>
      <c r="M509" t="s">
        <v>705</v>
      </c>
      <c r="N509" t="s">
        <v>710</v>
      </c>
      <c r="O509" t="s">
        <v>714</v>
      </c>
      <c r="P509" t="s">
        <v>729</v>
      </c>
      <c r="Q509" t="str" cm="1">
        <f t="array" ref="Q509">_xlfn.IFS(U509&lt;=_xlfn.QUARTILE.INC($U$2:$U1140,1),"Low",B509&lt;=_xlfn.QUARTILE.INC($U$2:$U$633,2),"Medium",TRUE,"High")</f>
        <v>High</v>
      </c>
      <c r="R509" t="s">
        <v>1240</v>
      </c>
      <c r="S509" s="4">
        <v>1331.77</v>
      </c>
      <c r="T509">
        <v>2606.11</v>
      </c>
      <c r="U509">
        <v>2606.11</v>
      </c>
      <c r="V509" s="7">
        <v>0.02</v>
      </c>
      <c r="W509" s="7">
        <v>0.02</v>
      </c>
      <c r="X509" s="7" t="str">
        <f t="shared" si="30"/>
        <v>okay</v>
      </c>
      <c r="Y509" s="9">
        <v>6</v>
      </c>
      <c r="Z509">
        <v>15323.926799999999</v>
      </c>
      <c r="AA509">
        <v>7990.62</v>
      </c>
      <c r="AB509">
        <v>7333.3067999999994</v>
      </c>
      <c r="AC509">
        <v>0.47855271665745619</v>
      </c>
    </row>
    <row r="510" spans="1:29" x14ac:dyDescent="0.3">
      <c r="A510" t="s">
        <v>522</v>
      </c>
      <c r="B510" s="3">
        <v>45029</v>
      </c>
      <c r="C510" s="3" t="str">
        <v>Apr-2023</v>
      </c>
      <c r="D510" s="11" t="str">
        <f t="shared" si="28"/>
        <v>Q2-2023</v>
      </c>
      <c r="E510" s="3">
        <v>45036</v>
      </c>
      <c r="F510" s="3">
        <v>45029</v>
      </c>
      <c r="G510" s="4">
        <f t="shared" si="29"/>
        <v>7</v>
      </c>
      <c r="H510" s="4" t="str">
        <v>ontime</v>
      </c>
      <c r="I510" s="4">
        <f t="shared" si="31"/>
        <v>1</v>
      </c>
      <c r="J510" t="s">
        <v>649</v>
      </c>
      <c r="K510" t="s">
        <v>657</v>
      </c>
      <c r="L510" t="s">
        <v>679</v>
      </c>
      <c r="M510" t="s">
        <v>705</v>
      </c>
      <c r="N510" t="s">
        <v>708</v>
      </c>
      <c r="O510" t="s">
        <v>720</v>
      </c>
      <c r="P510" t="s">
        <v>731</v>
      </c>
      <c r="Q510" t="str" cm="1">
        <f t="array" ref="Q510">_xlfn.IFS(U510&lt;=_xlfn.QUARTILE.INC($U$2:$U1141,1),"Low",B510&lt;=_xlfn.QUARTILE.INC($U$2:$U$633,2),"Medium",TRUE,"High")</f>
        <v>Low</v>
      </c>
      <c r="R510" t="s">
        <v>1241</v>
      </c>
      <c r="S510" s="4">
        <v>227.02</v>
      </c>
      <c r="T510">
        <v>434.72</v>
      </c>
      <c r="U510">
        <v>434.72</v>
      </c>
      <c r="V510" s="7">
        <v>9.8000000000000004E-2</v>
      </c>
      <c r="W510" s="7">
        <v>9.8000000000000004E-2</v>
      </c>
      <c r="X510" s="7" t="str">
        <f t="shared" si="30"/>
        <v>okay</v>
      </c>
      <c r="Y510" s="9">
        <v>10</v>
      </c>
      <c r="Z510">
        <v>3921.1744000000008</v>
      </c>
      <c r="AA510">
        <v>2270.2000000000003</v>
      </c>
      <c r="AB510">
        <v>1650.9744000000005</v>
      </c>
      <c r="AC510">
        <v>0.42104079838938052</v>
      </c>
    </row>
    <row r="511" spans="1:29" x14ac:dyDescent="0.3">
      <c r="A511" t="s">
        <v>523</v>
      </c>
      <c r="B511" s="3">
        <v>45608</v>
      </c>
      <c r="C511" s="3" t="str">
        <v>Nov-2024</v>
      </c>
      <c r="D511" s="11" t="str">
        <f t="shared" si="28"/>
        <v>Q4-2024</v>
      </c>
      <c r="E511" s="3">
        <v>45617</v>
      </c>
      <c r="F511" s="3">
        <v>45608</v>
      </c>
      <c r="G511" s="4">
        <f t="shared" si="29"/>
        <v>9</v>
      </c>
      <c r="H511" s="4" t="str">
        <v>delayed</v>
      </c>
      <c r="I511" s="4">
        <f t="shared" si="31"/>
        <v>0</v>
      </c>
      <c r="J511" t="s">
        <v>647</v>
      </c>
      <c r="K511" t="s">
        <v>654</v>
      </c>
      <c r="L511" t="s">
        <v>691</v>
      </c>
      <c r="M511" t="s">
        <v>701</v>
      </c>
      <c r="N511" t="s">
        <v>711</v>
      </c>
      <c r="O511" t="s">
        <v>722</v>
      </c>
      <c r="P511" t="s">
        <v>731</v>
      </c>
      <c r="Q511" t="str" cm="1">
        <f t="array" ref="Q511">_xlfn.IFS(U511&lt;=_xlfn.QUARTILE.INC($U$2:$U1142,1),"Low",B511&lt;=_xlfn.QUARTILE.INC($U$2:$U$633,2),"Medium",TRUE,"High")</f>
        <v>High</v>
      </c>
      <c r="R511" t="s">
        <v>1242</v>
      </c>
      <c r="S511" s="4">
        <v>903.41</v>
      </c>
      <c r="T511">
        <v>1860.41</v>
      </c>
      <c r="U511">
        <v>1860.41</v>
      </c>
      <c r="V511" s="7">
        <v>0.108</v>
      </c>
      <c r="W511" s="7">
        <v>0.108</v>
      </c>
      <c r="X511" s="7" t="str">
        <f t="shared" si="30"/>
        <v>okay</v>
      </c>
      <c r="Y511" s="9">
        <v>5</v>
      </c>
      <c r="Z511">
        <v>8297.4286000000011</v>
      </c>
      <c r="AA511">
        <v>4517.05</v>
      </c>
      <c r="AB511">
        <v>3780.3786000000009</v>
      </c>
      <c r="AC511">
        <v>0.455608451996803</v>
      </c>
    </row>
    <row r="512" spans="1:29" x14ac:dyDescent="0.3">
      <c r="A512" t="s">
        <v>524</v>
      </c>
      <c r="B512" s="3">
        <v>45056</v>
      </c>
      <c r="C512" s="3" t="str">
        <v>May-2023</v>
      </c>
      <c r="D512" s="11" t="str">
        <f t="shared" si="28"/>
        <v>Q2-2023</v>
      </c>
      <c r="E512" s="3">
        <v>45060</v>
      </c>
      <c r="F512" s="3">
        <v>45056</v>
      </c>
      <c r="G512" s="4">
        <f t="shared" si="29"/>
        <v>4</v>
      </c>
      <c r="H512" s="4" t="str">
        <v>ontime</v>
      </c>
      <c r="I512" s="4">
        <f t="shared" si="31"/>
        <v>1</v>
      </c>
      <c r="J512" t="s">
        <v>647</v>
      </c>
      <c r="K512" t="s">
        <v>654</v>
      </c>
      <c r="L512" t="s">
        <v>680</v>
      </c>
      <c r="M512" t="s">
        <v>703</v>
      </c>
      <c r="N512" t="s">
        <v>710</v>
      </c>
      <c r="O512" t="s">
        <v>712</v>
      </c>
      <c r="P512" t="s">
        <v>732</v>
      </c>
      <c r="Q512" t="str" cm="1">
        <f t="array" ref="Q512">_xlfn.IFS(U512&lt;=_xlfn.QUARTILE.INC($U$2:$U1143,1),"Low",B512&lt;=_xlfn.QUARTILE.INC($U$2:$U$633,2),"Medium",TRUE,"High")</f>
        <v>High</v>
      </c>
      <c r="R512" t="s">
        <v>1243</v>
      </c>
      <c r="S512" s="4">
        <v>622.6</v>
      </c>
      <c r="T512">
        <v>833.69</v>
      </c>
      <c r="U512">
        <v>833.69</v>
      </c>
      <c r="V512" s="7">
        <v>0.20899999999999999</v>
      </c>
      <c r="W512" s="7">
        <v>0.20899999999999999</v>
      </c>
      <c r="X512" s="7" t="str">
        <f t="shared" si="30"/>
        <v>High discount</v>
      </c>
      <c r="Y512" s="9">
        <v>14</v>
      </c>
      <c r="Z512">
        <v>9232.2830599999998</v>
      </c>
      <c r="AA512">
        <v>8716.4</v>
      </c>
      <c r="AB512">
        <v>515.88306000000011</v>
      </c>
      <c r="AC512">
        <v>5.5878167582959715E-2</v>
      </c>
    </row>
    <row r="513" spans="1:29" x14ac:dyDescent="0.3">
      <c r="A513" t="s">
        <v>525</v>
      </c>
      <c r="B513" s="3">
        <v>45353</v>
      </c>
      <c r="C513" s="3" t="str">
        <v>Mar-2024</v>
      </c>
      <c r="D513" s="11" t="str">
        <f t="shared" si="28"/>
        <v>Q1-2024</v>
      </c>
      <c r="E513" s="3">
        <v>45374</v>
      </c>
      <c r="F513" s="3">
        <v>45353</v>
      </c>
      <c r="G513" s="4">
        <f t="shared" si="29"/>
        <v>21</v>
      </c>
      <c r="H513" s="4" t="str">
        <v>delayed</v>
      </c>
      <c r="I513" s="4">
        <f t="shared" si="31"/>
        <v>0</v>
      </c>
      <c r="J513" t="s">
        <v>648</v>
      </c>
      <c r="K513" t="s">
        <v>660</v>
      </c>
      <c r="L513" t="s">
        <v>677</v>
      </c>
      <c r="M513" t="s">
        <v>705</v>
      </c>
      <c r="N513" t="s">
        <v>708</v>
      </c>
      <c r="O513" t="s">
        <v>721</v>
      </c>
      <c r="P513" t="s">
        <v>727</v>
      </c>
      <c r="Q513" t="str" cm="1">
        <f t="array" ref="Q513">_xlfn.IFS(U513&lt;=_xlfn.QUARTILE.INC($U$2:$U1144,1),"Low",B513&lt;=_xlfn.QUARTILE.INC($U$2:$U$633,2),"Medium",TRUE,"High")</f>
        <v>Low</v>
      </c>
      <c r="R513" t="s">
        <v>1244</v>
      </c>
      <c r="S513" s="4">
        <v>225.01</v>
      </c>
      <c r="T513">
        <v>333.48</v>
      </c>
      <c r="U513">
        <v>333.48</v>
      </c>
      <c r="V513" s="7">
        <v>0.11899999999999999</v>
      </c>
      <c r="W513" s="7">
        <v>0.11899999999999999</v>
      </c>
      <c r="X513" s="7" t="str">
        <f t="shared" si="30"/>
        <v>okay</v>
      </c>
      <c r="Y513" s="9">
        <v>12</v>
      </c>
      <c r="Z513">
        <v>3525.5505600000001</v>
      </c>
      <c r="AA513">
        <v>2700.12</v>
      </c>
      <c r="AB513">
        <v>825.43056000000024</v>
      </c>
      <c r="AC513">
        <v>0.23412813004729685</v>
      </c>
    </row>
    <row r="514" spans="1:29" x14ac:dyDescent="0.3">
      <c r="A514" t="s">
        <v>526</v>
      </c>
      <c r="B514" s="3">
        <v>45575</v>
      </c>
      <c r="C514" s="3" t="str">
        <v>Oct-2024</v>
      </c>
      <c r="D514" s="11" t="str">
        <f t="shared" si="28"/>
        <v>Q4-2024</v>
      </c>
      <c r="E514" s="3">
        <v>45576</v>
      </c>
      <c r="F514" s="3">
        <v>45575</v>
      </c>
      <c r="G514" s="4">
        <f t="shared" si="29"/>
        <v>1</v>
      </c>
      <c r="H514" s="4" t="str">
        <v>ontime</v>
      </c>
      <c r="I514" s="4">
        <f t="shared" si="31"/>
        <v>1</v>
      </c>
      <c r="J514" t="s">
        <v>649</v>
      </c>
      <c r="K514" t="s">
        <v>658</v>
      </c>
      <c r="L514" t="s">
        <v>693</v>
      </c>
      <c r="M514" t="s">
        <v>703</v>
      </c>
      <c r="N514" t="s">
        <v>710</v>
      </c>
      <c r="O514" t="s">
        <v>716</v>
      </c>
      <c r="P514" t="s">
        <v>727</v>
      </c>
      <c r="Q514" t="str" cm="1">
        <f t="array" ref="Q514">_xlfn.IFS(U514&lt;=_xlfn.QUARTILE.INC($U$2:$U1145,1),"Low",B514&lt;=_xlfn.QUARTILE.INC($U$2:$U$633,2),"Medium",TRUE,"High")</f>
        <v>High</v>
      </c>
      <c r="R514" t="s">
        <v>1245</v>
      </c>
      <c r="S514" s="4">
        <v>1389.46</v>
      </c>
      <c r="T514">
        <v>1784.7</v>
      </c>
      <c r="U514">
        <v>1784.7</v>
      </c>
      <c r="V514" s="7">
        <v>0.14599999999999999</v>
      </c>
      <c r="W514" s="7">
        <v>0.14599999999999999</v>
      </c>
      <c r="X514" s="7" t="str">
        <f t="shared" si="30"/>
        <v>okay</v>
      </c>
      <c r="Y514" s="9">
        <v>33</v>
      </c>
      <c r="Z514">
        <v>50296.415399999998</v>
      </c>
      <c r="AA514">
        <v>45852.18</v>
      </c>
      <c r="AB514">
        <v>4444.2353999999978</v>
      </c>
      <c r="AC514">
        <v>8.8360877503011831E-2</v>
      </c>
    </row>
    <row r="515" spans="1:29" x14ac:dyDescent="0.3">
      <c r="A515" t="s">
        <v>527</v>
      </c>
      <c r="B515" s="3">
        <v>45078</v>
      </c>
      <c r="C515" s="3" t="str">
        <v>Jun-2023</v>
      </c>
      <c r="D515" s="11" t="str">
        <f t="shared" ref="D515:D578" si="32">"Q" &amp; ROUNDUP(MONTH(C515)/3,0) &amp; "-" &amp; YEAR(C515)</f>
        <v>Q2-2023</v>
      </c>
      <c r="E515" s="3">
        <v>45085</v>
      </c>
      <c r="F515" s="3">
        <v>45078</v>
      </c>
      <c r="G515" s="4">
        <f t="shared" ref="G515:G578" si="33">(E515-F515)</f>
        <v>7</v>
      </c>
      <c r="H515" s="4" t="str">
        <v>ontime</v>
      </c>
      <c r="I515" s="4">
        <f t="shared" si="31"/>
        <v>1</v>
      </c>
      <c r="J515" t="s">
        <v>649</v>
      </c>
      <c r="K515" t="s">
        <v>656</v>
      </c>
      <c r="L515" t="s">
        <v>698</v>
      </c>
      <c r="M515" t="s">
        <v>704</v>
      </c>
      <c r="N515" t="s">
        <v>708</v>
      </c>
      <c r="O515" t="s">
        <v>720</v>
      </c>
      <c r="P515" t="s">
        <v>730</v>
      </c>
      <c r="Q515" t="str" cm="1">
        <f t="array" ref="Q515">_xlfn.IFS(U515&lt;=_xlfn.QUARTILE.INC($U$2:$U1146,1),"Low",B515&lt;=_xlfn.QUARTILE.INC($U$2:$U$633,2),"Medium",TRUE,"High")</f>
        <v>High</v>
      </c>
      <c r="R515" t="s">
        <v>1246</v>
      </c>
      <c r="S515" s="4">
        <v>804.17</v>
      </c>
      <c r="T515">
        <v>1072.29</v>
      </c>
      <c r="U515">
        <v>1072.29</v>
      </c>
      <c r="V515" s="7">
        <v>3.2000000000000001E-2</v>
      </c>
      <c r="W515" s="7">
        <v>3.2000000000000001E-2</v>
      </c>
      <c r="X515" s="7" t="str">
        <f t="shared" ref="X515:X578" si="34">IF(V515&gt;0.2, "High discount","okay")</f>
        <v>okay</v>
      </c>
      <c r="Y515" s="9">
        <v>5</v>
      </c>
      <c r="Z515">
        <v>5189.8836000000001</v>
      </c>
      <c r="AA515">
        <v>4020.85</v>
      </c>
      <c r="AB515">
        <v>1169.0336000000002</v>
      </c>
      <c r="AC515">
        <v>0.2252523736755869</v>
      </c>
    </row>
    <row r="516" spans="1:29" x14ac:dyDescent="0.3">
      <c r="A516" t="s">
        <v>528</v>
      </c>
      <c r="B516" s="3">
        <v>45661</v>
      </c>
      <c r="C516" s="3" t="str">
        <v>Jan-2025</v>
      </c>
      <c r="D516" s="11" t="str">
        <f t="shared" si="32"/>
        <v>Q1-2025</v>
      </c>
      <c r="E516" s="3">
        <v>45662</v>
      </c>
      <c r="F516" s="3">
        <v>45661</v>
      </c>
      <c r="G516" s="4">
        <f t="shared" si="33"/>
        <v>1</v>
      </c>
      <c r="H516" s="4" t="str">
        <v>ontime</v>
      </c>
      <c r="I516" s="4">
        <f t="shared" si="31"/>
        <v>1</v>
      </c>
      <c r="J516" t="s">
        <v>647</v>
      </c>
      <c r="K516" t="s">
        <v>654</v>
      </c>
      <c r="L516" t="s">
        <v>680</v>
      </c>
      <c r="M516" t="s">
        <v>702</v>
      </c>
      <c r="N516" t="s">
        <v>707</v>
      </c>
      <c r="O516" t="s">
        <v>714</v>
      </c>
      <c r="P516" t="s">
        <v>727</v>
      </c>
      <c r="Q516" t="str" cm="1">
        <f t="array" ref="Q516">_xlfn.IFS(U516&lt;=_xlfn.QUARTILE.INC($U$2:$U1147,1),"Low",B516&lt;=_xlfn.QUARTILE.INC($U$2:$U$633,2),"Medium",TRUE,"High")</f>
        <v>High</v>
      </c>
      <c r="R516" t="s">
        <v>1247</v>
      </c>
      <c r="S516" s="4">
        <v>1428.33</v>
      </c>
      <c r="T516">
        <v>3028.05</v>
      </c>
      <c r="U516">
        <v>3028.05</v>
      </c>
      <c r="V516" s="7">
        <v>0</v>
      </c>
      <c r="W516" s="7">
        <v>0</v>
      </c>
      <c r="X516" s="7" t="str">
        <f t="shared" si="34"/>
        <v>okay</v>
      </c>
      <c r="Y516" s="9">
        <v>11</v>
      </c>
      <c r="Z516">
        <v>33308.550000000003</v>
      </c>
      <c r="AA516">
        <v>15711.63</v>
      </c>
      <c r="AB516">
        <v>17596.920000000006</v>
      </c>
      <c r="AC516">
        <v>0.52830039134096207</v>
      </c>
    </row>
    <row r="517" spans="1:29" x14ac:dyDescent="0.3">
      <c r="A517" t="s">
        <v>529</v>
      </c>
      <c r="B517" s="3">
        <v>45874</v>
      </c>
      <c r="C517" s="3" t="str">
        <v>Aug-2025</v>
      </c>
      <c r="D517" s="11" t="str">
        <f t="shared" si="32"/>
        <v>Q3-2025</v>
      </c>
      <c r="E517" s="3">
        <v>45897</v>
      </c>
      <c r="F517" s="3">
        <v>45874</v>
      </c>
      <c r="G517" s="4">
        <f t="shared" si="33"/>
        <v>23</v>
      </c>
      <c r="H517" s="4" t="str">
        <v>delayed</v>
      </c>
      <c r="I517" s="4">
        <f t="shared" si="31"/>
        <v>0</v>
      </c>
      <c r="J517" t="s">
        <v>647</v>
      </c>
      <c r="K517" t="s">
        <v>654</v>
      </c>
      <c r="L517" t="s">
        <v>691</v>
      </c>
      <c r="M517" t="s">
        <v>703</v>
      </c>
      <c r="N517" t="s">
        <v>710</v>
      </c>
      <c r="O517" t="s">
        <v>725</v>
      </c>
      <c r="P517" t="s">
        <v>731</v>
      </c>
      <c r="Q517" t="str" cm="1">
        <f t="array" ref="Q517">_xlfn.IFS(U517&lt;=_xlfn.QUARTILE.INC($U$2:$U1148,1),"Low",B517&lt;=_xlfn.QUARTILE.INC($U$2:$U$633,2),"Medium",TRUE,"High")</f>
        <v>High</v>
      </c>
      <c r="R517" t="s">
        <v>1248</v>
      </c>
      <c r="S517" s="4">
        <v>638.54</v>
      </c>
      <c r="T517">
        <v>987.24</v>
      </c>
      <c r="U517">
        <v>987.24</v>
      </c>
      <c r="V517" s="7">
        <v>0</v>
      </c>
      <c r="W517" s="7">
        <v>0</v>
      </c>
      <c r="X517" s="7" t="str">
        <f t="shared" si="34"/>
        <v>okay</v>
      </c>
      <c r="Y517" s="9">
        <v>11</v>
      </c>
      <c r="Z517">
        <v>10859.64</v>
      </c>
      <c r="AA517">
        <v>7023.94</v>
      </c>
      <c r="AB517">
        <v>3835.7</v>
      </c>
      <c r="AC517">
        <v>0.35320692030306716</v>
      </c>
    </row>
    <row r="518" spans="1:29" x14ac:dyDescent="0.3">
      <c r="A518" t="s">
        <v>530</v>
      </c>
      <c r="B518" s="3">
        <v>45199</v>
      </c>
      <c r="C518" s="3" t="str">
        <v>Sep-2023</v>
      </c>
      <c r="D518" s="11" t="str">
        <f t="shared" si="32"/>
        <v>Q3-2023</v>
      </c>
      <c r="E518" s="3">
        <v>45229</v>
      </c>
      <c r="F518" s="3">
        <v>45199</v>
      </c>
      <c r="G518" s="4">
        <f t="shared" si="33"/>
        <v>30</v>
      </c>
      <c r="H518" s="4" t="str">
        <v>delayed</v>
      </c>
      <c r="I518" s="4">
        <f t="shared" si="31"/>
        <v>0</v>
      </c>
      <c r="J518" t="s">
        <v>647</v>
      </c>
      <c r="K518" t="s">
        <v>652</v>
      </c>
      <c r="L518" t="s">
        <v>689</v>
      </c>
      <c r="M518" t="s">
        <v>706</v>
      </c>
      <c r="N518" t="s">
        <v>708</v>
      </c>
      <c r="O518" t="s">
        <v>726</v>
      </c>
      <c r="P518" t="s">
        <v>728</v>
      </c>
      <c r="Q518" t="str" cm="1">
        <f t="array" ref="Q518">_xlfn.IFS(U518&lt;=_xlfn.QUARTILE.INC($U$2:$U1149,1),"Low",B518&lt;=_xlfn.QUARTILE.INC($U$2:$U$633,2),"Medium",TRUE,"High")</f>
        <v>High</v>
      </c>
      <c r="R518" t="s">
        <v>1249</v>
      </c>
      <c r="S518" s="4">
        <v>649.13</v>
      </c>
      <c r="T518">
        <v>975.43</v>
      </c>
      <c r="U518">
        <v>975.43</v>
      </c>
      <c r="V518" s="7">
        <v>0.157</v>
      </c>
      <c r="W518" s="7">
        <v>0.157</v>
      </c>
      <c r="X518" s="7" t="str">
        <f t="shared" si="34"/>
        <v>okay</v>
      </c>
      <c r="Y518" s="9">
        <v>27</v>
      </c>
      <c r="Z518">
        <v>22201.762229999997</v>
      </c>
      <c r="AA518">
        <v>17526.509999999998</v>
      </c>
      <c r="AB518">
        <v>4675.2522299999982</v>
      </c>
      <c r="AC518">
        <v>0.21058023149543473</v>
      </c>
    </row>
    <row r="519" spans="1:29" x14ac:dyDescent="0.3">
      <c r="A519" t="s">
        <v>531</v>
      </c>
      <c r="B519" s="3">
        <v>45794</v>
      </c>
      <c r="C519" s="3" t="str">
        <v>May-2025</v>
      </c>
      <c r="D519" s="11" t="str">
        <f t="shared" si="32"/>
        <v>Q2-2025</v>
      </c>
      <c r="E519" s="3">
        <v>45807</v>
      </c>
      <c r="F519" s="3">
        <v>45794</v>
      </c>
      <c r="G519" s="4">
        <f t="shared" si="33"/>
        <v>13</v>
      </c>
      <c r="H519" s="4" t="str">
        <v>delayed</v>
      </c>
      <c r="I519" s="4">
        <f t="shared" si="31"/>
        <v>0</v>
      </c>
      <c r="J519" t="s">
        <v>646</v>
      </c>
      <c r="K519" t="s">
        <v>651</v>
      </c>
      <c r="L519" t="s">
        <v>665</v>
      </c>
      <c r="M519" t="s">
        <v>704</v>
      </c>
      <c r="N519" t="s">
        <v>710</v>
      </c>
      <c r="O519" t="s">
        <v>721</v>
      </c>
      <c r="P519" t="s">
        <v>733</v>
      </c>
      <c r="Q519" t="str" cm="1">
        <f t="array" ref="Q519">_xlfn.IFS(U519&lt;=_xlfn.QUARTILE.INC($U$2:$U1150,1),"Low",B519&lt;=_xlfn.QUARTILE.INC($U$2:$U$633,2),"Medium",TRUE,"High")</f>
        <v>Low</v>
      </c>
      <c r="R519" t="s">
        <v>1250</v>
      </c>
      <c r="S519" s="4">
        <v>66.400000000000006</v>
      </c>
      <c r="T519">
        <v>141.43</v>
      </c>
      <c r="U519">
        <v>141.43</v>
      </c>
      <c r="V519" s="7">
        <v>0.107</v>
      </c>
      <c r="W519" s="7">
        <v>0.107</v>
      </c>
      <c r="X519" s="7" t="str">
        <f t="shared" si="34"/>
        <v>okay</v>
      </c>
      <c r="Y519" s="9">
        <v>8</v>
      </c>
      <c r="Z519">
        <v>1010.3759200000001</v>
      </c>
      <c r="AA519">
        <v>531.20000000000005</v>
      </c>
      <c r="AB519">
        <v>479.17592000000002</v>
      </c>
      <c r="AC519">
        <v>0.47425508715607551</v>
      </c>
    </row>
    <row r="520" spans="1:29" x14ac:dyDescent="0.3">
      <c r="A520" t="s">
        <v>532</v>
      </c>
      <c r="B520" s="3">
        <v>45413</v>
      </c>
      <c r="C520" s="3" t="str">
        <v>May-2024</v>
      </c>
      <c r="D520" s="11" t="str">
        <f t="shared" si="32"/>
        <v>Q2-2024</v>
      </c>
      <c r="E520" s="3">
        <v>45438</v>
      </c>
      <c r="F520" s="3">
        <v>45413</v>
      </c>
      <c r="G520" s="4">
        <f t="shared" si="33"/>
        <v>25</v>
      </c>
      <c r="H520" s="4" t="str">
        <v>delayed</v>
      </c>
      <c r="I520" s="4">
        <f t="shared" ref="I520:I583" si="35">IF(G520&lt;=7,1,0)</f>
        <v>0</v>
      </c>
      <c r="J520" t="s">
        <v>649</v>
      </c>
      <c r="K520" t="s">
        <v>656</v>
      </c>
      <c r="L520" t="s">
        <v>671</v>
      </c>
      <c r="M520" t="s">
        <v>703</v>
      </c>
      <c r="N520" t="s">
        <v>707</v>
      </c>
      <c r="O520" t="s">
        <v>717</v>
      </c>
      <c r="P520" t="s">
        <v>729</v>
      </c>
      <c r="Q520" t="str" cm="1">
        <f t="array" ref="Q520">_xlfn.IFS(U520&lt;=_xlfn.QUARTILE.INC($U$2:$U1151,1),"Low",B520&lt;=_xlfn.QUARTILE.INC($U$2:$U$633,2),"Medium",TRUE,"High")</f>
        <v>High</v>
      </c>
      <c r="R520" t="s">
        <v>1251</v>
      </c>
      <c r="S520" s="4">
        <v>930.71</v>
      </c>
      <c r="T520">
        <v>1625.42</v>
      </c>
      <c r="U520">
        <v>1625.42</v>
      </c>
      <c r="V520" s="7">
        <v>0.13800000000000001</v>
      </c>
      <c r="W520" s="7">
        <v>0.13800000000000001</v>
      </c>
      <c r="X520" s="7" t="str">
        <f t="shared" si="34"/>
        <v>okay</v>
      </c>
      <c r="Y520" s="9">
        <v>7</v>
      </c>
      <c r="Z520">
        <v>9807.7842799999999</v>
      </c>
      <c r="AA520">
        <v>6514.97</v>
      </c>
      <c r="AB520">
        <v>3292.8142799999996</v>
      </c>
      <c r="AC520">
        <v>0.33573477821231196</v>
      </c>
    </row>
    <row r="521" spans="1:29" x14ac:dyDescent="0.3">
      <c r="A521" t="s">
        <v>533</v>
      </c>
      <c r="B521" s="3">
        <v>45047</v>
      </c>
      <c r="C521" s="3" t="str">
        <v>May-2023</v>
      </c>
      <c r="D521" s="11" t="str">
        <f t="shared" si="32"/>
        <v>Q2-2023</v>
      </c>
      <c r="E521" s="3">
        <v>45064</v>
      </c>
      <c r="F521" s="3">
        <v>45047</v>
      </c>
      <c r="G521" s="4">
        <f t="shared" si="33"/>
        <v>17</v>
      </c>
      <c r="H521" s="4" t="str">
        <v>delayed</v>
      </c>
      <c r="I521" s="4">
        <f t="shared" si="35"/>
        <v>0</v>
      </c>
      <c r="J521" t="s">
        <v>646</v>
      </c>
      <c r="K521" t="s">
        <v>651</v>
      </c>
      <c r="L521" t="s">
        <v>663</v>
      </c>
      <c r="M521" t="s">
        <v>701</v>
      </c>
      <c r="N521" t="s">
        <v>711</v>
      </c>
      <c r="O521" t="s">
        <v>721</v>
      </c>
      <c r="P521" t="s">
        <v>727</v>
      </c>
      <c r="Q521" t="str" cm="1">
        <f t="array" ref="Q521">_xlfn.IFS(U521&lt;=_xlfn.QUARTILE.INC($U$2:$U1152,1),"Low",B521&lt;=_xlfn.QUARTILE.INC($U$2:$U$633,2),"Medium",TRUE,"High")</f>
        <v>Low</v>
      </c>
      <c r="R521" t="s">
        <v>1252</v>
      </c>
      <c r="S521" s="4">
        <v>327.97</v>
      </c>
      <c r="T521">
        <v>299.94</v>
      </c>
      <c r="U521">
        <v>299.94</v>
      </c>
      <c r="V521" s="7">
        <v>4.9000000000000002E-2</v>
      </c>
      <c r="W521" s="7">
        <v>4.9000000000000002E-2</v>
      </c>
      <c r="X521" s="7" t="str">
        <f t="shared" si="34"/>
        <v>okay</v>
      </c>
      <c r="Y521" s="9">
        <v>3</v>
      </c>
      <c r="Z521">
        <v>855.72881999999993</v>
      </c>
      <c r="AA521">
        <v>983.91000000000008</v>
      </c>
      <c r="AB521">
        <v>-128.18118000000015</v>
      </c>
      <c r="AC521">
        <v>-0.14979182306843442</v>
      </c>
    </row>
    <row r="522" spans="1:29" x14ac:dyDescent="0.3">
      <c r="A522" t="s">
        <v>534</v>
      </c>
      <c r="B522" s="3">
        <v>45482</v>
      </c>
      <c r="C522" s="3" t="str">
        <v>Jul-2024</v>
      </c>
      <c r="D522" s="11" t="str">
        <f t="shared" si="32"/>
        <v>Q3-2024</v>
      </c>
      <c r="E522" s="3">
        <v>45512</v>
      </c>
      <c r="F522" s="3">
        <v>45482</v>
      </c>
      <c r="G522" s="4">
        <f t="shared" si="33"/>
        <v>30</v>
      </c>
      <c r="H522" s="4" t="str">
        <v>delayed</v>
      </c>
      <c r="I522" s="4">
        <f t="shared" si="35"/>
        <v>0</v>
      </c>
      <c r="J522" t="s">
        <v>649</v>
      </c>
      <c r="K522" t="s">
        <v>657</v>
      </c>
      <c r="L522" t="s">
        <v>673</v>
      </c>
      <c r="M522" t="s">
        <v>701</v>
      </c>
      <c r="N522" t="s">
        <v>711</v>
      </c>
      <c r="O522" t="s">
        <v>713</v>
      </c>
      <c r="P522" t="s">
        <v>727</v>
      </c>
      <c r="Q522" t="str" cm="1">
        <f t="array" ref="Q522">_xlfn.IFS(U522&lt;=_xlfn.QUARTILE.INC($U$2:$U1153,1),"Low",B522&lt;=_xlfn.QUARTILE.INC($U$2:$U$633,2),"Medium",TRUE,"High")</f>
        <v>High</v>
      </c>
      <c r="R522" t="s">
        <v>1253</v>
      </c>
      <c r="S522" s="4">
        <v>1062.3800000000001</v>
      </c>
      <c r="T522">
        <v>1503.96</v>
      </c>
      <c r="U522">
        <v>1503.96</v>
      </c>
      <c r="V522" s="7">
        <v>0.18</v>
      </c>
      <c r="W522" s="7">
        <v>0.18</v>
      </c>
      <c r="X522" s="7" t="str">
        <f t="shared" si="34"/>
        <v>okay</v>
      </c>
      <c r="Y522" s="9">
        <v>6</v>
      </c>
      <c r="Z522">
        <v>7399.4832000000006</v>
      </c>
      <c r="AA522">
        <v>6374.2800000000007</v>
      </c>
      <c r="AB522">
        <v>1025.2031999999999</v>
      </c>
      <c r="AC522">
        <v>0.13855064905073369</v>
      </c>
    </row>
    <row r="523" spans="1:29" x14ac:dyDescent="0.3">
      <c r="A523" t="s">
        <v>535</v>
      </c>
      <c r="B523" s="3">
        <v>45056</v>
      </c>
      <c r="C523" s="3" t="str">
        <v>May-2023</v>
      </c>
      <c r="D523" s="11" t="str">
        <f t="shared" si="32"/>
        <v>Q2-2023</v>
      </c>
      <c r="E523" s="3">
        <v>45073</v>
      </c>
      <c r="F523" s="3">
        <v>45056</v>
      </c>
      <c r="G523" s="4">
        <f t="shared" si="33"/>
        <v>17</v>
      </c>
      <c r="H523" s="4" t="str">
        <v>delayed</v>
      </c>
      <c r="I523" s="4">
        <f t="shared" si="35"/>
        <v>0</v>
      </c>
      <c r="J523" t="s">
        <v>647</v>
      </c>
      <c r="K523" t="s">
        <v>654</v>
      </c>
      <c r="L523" t="s">
        <v>691</v>
      </c>
      <c r="M523" t="s">
        <v>704</v>
      </c>
      <c r="N523" t="s">
        <v>707</v>
      </c>
      <c r="O523" t="s">
        <v>724</v>
      </c>
      <c r="P523" t="s">
        <v>731</v>
      </c>
      <c r="Q523" t="str" cm="1">
        <f t="array" ref="Q523">_xlfn.IFS(U523&lt;=_xlfn.QUARTILE.INC($U$2:$U1154,1),"Low",B523&lt;=_xlfn.QUARTILE.INC($U$2:$U$633,2),"Medium",TRUE,"High")</f>
        <v>High</v>
      </c>
      <c r="R523" t="s">
        <v>1254</v>
      </c>
      <c r="S523" s="4">
        <v>1286.1600000000001</v>
      </c>
      <c r="T523">
        <v>3101.11</v>
      </c>
      <c r="U523">
        <v>3101.11</v>
      </c>
      <c r="V523" s="7">
        <v>0.1</v>
      </c>
      <c r="W523" s="7">
        <v>0.1</v>
      </c>
      <c r="X523" s="7" t="str">
        <f t="shared" si="34"/>
        <v>okay</v>
      </c>
      <c r="Y523" s="9">
        <v>23</v>
      </c>
      <c r="Z523">
        <v>64192.976999999999</v>
      </c>
      <c r="AA523">
        <v>29581.68</v>
      </c>
      <c r="AB523">
        <v>34611.296999999999</v>
      </c>
      <c r="AC523">
        <v>0.53917575749758417</v>
      </c>
    </row>
    <row r="524" spans="1:29" x14ac:dyDescent="0.3">
      <c r="A524" t="s">
        <v>536</v>
      </c>
      <c r="B524" s="3">
        <v>45482</v>
      </c>
      <c r="C524" s="3" t="str">
        <v>Jul-2024</v>
      </c>
      <c r="D524" s="11" t="str">
        <f t="shared" si="32"/>
        <v>Q3-2024</v>
      </c>
      <c r="E524" s="3">
        <v>45485</v>
      </c>
      <c r="F524" s="3">
        <v>45482</v>
      </c>
      <c r="G524" s="4">
        <f t="shared" si="33"/>
        <v>3</v>
      </c>
      <c r="H524" s="4" t="str">
        <v>ontime</v>
      </c>
      <c r="I524" s="4">
        <f t="shared" si="35"/>
        <v>1</v>
      </c>
      <c r="J524" t="s">
        <v>647</v>
      </c>
      <c r="K524" t="s">
        <v>659</v>
      </c>
      <c r="L524" t="s">
        <v>685</v>
      </c>
      <c r="M524" t="s">
        <v>705</v>
      </c>
      <c r="N524" t="s">
        <v>707</v>
      </c>
      <c r="O524" t="s">
        <v>726</v>
      </c>
      <c r="P524" t="s">
        <v>733</v>
      </c>
      <c r="Q524" t="str" cm="1">
        <f t="array" ref="Q524">_xlfn.IFS(U524&lt;=_xlfn.QUARTILE.INC($U$2:$U1155,1),"Low",B524&lt;=_xlfn.QUARTILE.INC($U$2:$U$633,2),"Medium",TRUE,"High")</f>
        <v>High</v>
      </c>
      <c r="R524" t="s">
        <v>1255</v>
      </c>
      <c r="S524" s="4">
        <v>748.39</v>
      </c>
      <c r="T524">
        <v>979.42</v>
      </c>
      <c r="U524">
        <v>979.42</v>
      </c>
      <c r="V524" s="7">
        <v>0</v>
      </c>
      <c r="W524" s="7">
        <v>0</v>
      </c>
      <c r="X524" s="7" t="str">
        <f t="shared" si="34"/>
        <v>okay</v>
      </c>
      <c r="Y524" s="9">
        <v>23</v>
      </c>
      <c r="Z524">
        <v>22526.66</v>
      </c>
      <c r="AA524">
        <v>17212.97</v>
      </c>
      <c r="AB524">
        <v>5313.6899999999987</v>
      </c>
      <c r="AC524">
        <v>0.23588450307324738</v>
      </c>
    </row>
    <row r="525" spans="1:29" x14ac:dyDescent="0.3">
      <c r="A525" t="s">
        <v>537</v>
      </c>
      <c r="B525" s="3">
        <v>45406</v>
      </c>
      <c r="C525" s="3" t="str">
        <v>Apr-2024</v>
      </c>
      <c r="D525" s="11" t="str">
        <f t="shared" si="32"/>
        <v>Q2-2024</v>
      </c>
      <c r="E525" s="3">
        <v>45422</v>
      </c>
      <c r="F525" s="3">
        <v>45406</v>
      </c>
      <c r="G525" s="4">
        <f t="shared" si="33"/>
        <v>16</v>
      </c>
      <c r="H525" s="4" t="str">
        <v>delayed</v>
      </c>
      <c r="I525" s="4">
        <f t="shared" si="35"/>
        <v>0</v>
      </c>
      <c r="J525" t="s">
        <v>646</v>
      </c>
      <c r="K525" t="s">
        <v>650</v>
      </c>
      <c r="L525" t="s">
        <v>662</v>
      </c>
      <c r="M525" t="s">
        <v>703</v>
      </c>
      <c r="N525" t="s">
        <v>708</v>
      </c>
      <c r="O525" t="s">
        <v>725</v>
      </c>
      <c r="P525" t="s">
        <v>732</v>
      </c>
      <c r="Q525" t="str" cm="1">
        <f t="array" ref="Q525">_xlfn.IFS(U525&lt;=_xlfn.QUARTILE.INC($U$2:$U1156,1),"Low",B525&lt;=_xlfn.QUARTILE.INC($U$2:$U$633,2),"Medium",TRUE,"High")</f>
        <v>High</v>
      </c>
      <c r="R525" t="s">
        <v>1256</v>
      </c>
      <c r="S525" s="4">
        <v>513.30999999999995</v>
      </c>
      <c r="T525">
        <v>1186.26</v>
      </c>
      <c r="U525">
        <v>1186.26</v>
      </c>
      <c r="V525" s="7">
        <v>9.4E-2</v>
      </c>
      <c r="W525" s="7">
        <v>9.4E-2</v>
      </c>
      <c r="X525" s="7" t="str">
        <f t="shared" si="34"/>
        <v>okay</v>
      </c>
      <c r="Y525" s="9">
        <v>15</v>
      </c>
      <c r="Z525">
        <v>16121.273400000002</v>
      </c>
      <c r="AA525">
        <v>7699.65</v>
      </c>
      <c r="AB525">
        <v>8421.6234000000022</v>
      </c>
      <c r="AC525">
        <v>0.52239194702820446</v>
      </c>
    </row>
    <row r="526" spans="1:29" x14ac:dyDescent="0.3">
      <c r="A526" t="s">
        <v>538</v>
      </c>
      <c r="B526" s="3">
        <v>45304</v>
      </c>
      <c r="C526" s="3" t="str">
        <v>Jan-2024</v>
      </c>
      <c r="D526" s="11" t="str">
        <f t="shared" si="32"/>
        <v>Q1-2024</v>
      </c>
      <c r="E526" s="3">
        <v>45306</v>
      </c>
      <c r="F526" s="3">
        <v>45304</v>
      </c>
      <c r="G526" s="4">
        <f t="shared" si="33"/>
        <v>2</v>
      </c>
      <c r="H526" s="4" t="str">
        <v>ontime</v>
      </c>
      <c r="I526" s="4">
        <f t="shared" si="35"/>
        <v>1</v>
      </c>
      <c r="J526" t="s">
        <v>648</v>
      </c>
      <c r="K526" t="s">
        <v>660</v>
      </c>
      <c r="L526" t="s">
        <v>686</v>
      </c>
      <c r="M526" t="s">
        <v>703</v>
      </c>
      <c r="N526" t="s">
        <v>711</v>
      </c>
      <c r="O526" t="s">
        <v>718</v>
      </c>
      <c r="P526" t="s">
        <v>727</v>
      </c>
      <c r="Q526" t="str" cm="1">
        <f t="array" ref="Q526">_xlfn.IFS(U526&lt;=_xlfn.QUARTILE.INC($U$2:$U1157,1),"Low",B526&lt;=_xlfn.QUARTILE.INC($U$2:$U$633,2),"Medium",TRUE,"High")</f>
        <v>High</v>
      </c>
      <c r="R526" t="s">
        <v>1257</v>
      </c>
      <c r="S526" s="4">
        <v>1061.3699999999999</v>
      </c>
      <c r="T526">
        <v>1938.33</v>
      </c>
      <c r="U526">
        <v>1938.33</v>
      </c>
      <c r="V526" s="7">
        <v>0.17</v>
      </c>
      <c r="W526" s="7">
        <v>0.17</v>
      </c>
      <c r="X526" s="7" t="str">
        <f t="shared" si="34"/>
        <v>okay</v>
      </c>
      <c r="Y526" s="9">
        <v>4</v>
      </c>
      <c r="Z526">
        <v>6435.2555999999995</v>
      </c>
      <c r="AA526">
        <v>4245.4799999999996</v>
      </c>
      <c r="AB526">
        <v>2189.7755999999999</v>
      </c>
      <c r="AC526">
        <v>0.34027795259600879</v>
      </c>
    </row>
    <row r="527" spans="1:29" x14ac:dyDescent="0.3">
      <c r="A527" t="s">
        <v>539</v>
      </c>
      <c r="B527" s="3">
        <v>45398</v>
      </c>
      <c r="C527" s="3" t="str">
        <v>Apr-2024</v>
      </c>
      <c r="D527" s="11" t="str">
        <f t="shared" si="32"/>
        <v>Q2-2024</v>
      </c>
      <c r="E527" s="3">
        <v>45409</v>
      </c>
      <c r="F527" s="3">
        <v>45398</v>
      </c>
      <c r="G527" s="4">
        <f t="shared" si="33"/>
        <v>11</v>
      </c>
      <c r="H527" s="4" t="str">
        <v>delayed</v>
      </c>
      <c r="I527" s="4">
        <f t="shared" si="35"/>
        <v>0</v>
      </c>
      <c r="J527" t="s">
        <v>646</v>
      </c>
      <c r="K527" t="s">
        <v>650</v>
      </c>
      <c r="L527" t="s">
        <v>678</v>
      </c>
      <c r="M527" t="s">
        <v>706</v>
      </c>
      <c r="N527" t="s">
        <v>708</v>
      </c>
      <c r="O527" t="s">
        <v>726</v>
      </c>
      <c r="P527" t="s">
        <v>728</v>
      </c>
      <c r="Q527" t="str" cm="1">
        <f t="array" ref="Q527">_xlfn.IFS(U527&lt;=_xlfn.QUARTILE.INC($U$2:$U1158,1),"Low",B527&lt;=_xlfn.QUARTILE.INC($U$2:$U$633,2),"Medium",TRUE,"High")</f>
        <v>High</v>
      </c>
      <c r="R527" t="s">
        <v>1258</v>
      </c>
      <c r="S527" s="4">
        <v>401.3</v>
      </c>
      <c r="T527">
        <v>826.47</v>
      </c>
      <c r="U527">
        <v>826.47</v>
      </c>
      <c r="V527" s="7">
        <v>0.22500000000000001</v>
      </c>
      <c r="W527" s="7">
        <v>0.22500000000000001</v>
      </c>
      <c r="X527" s="7" t="str">
        <f t="shared" si="34"/>
        <v>High discount</v>
      </c>
      <c r="Y527" s="9">
        <v>13</v>
      </c>
      <c r="Z527">
        <v>8326.6852500000005</v>
      </c>
      <c r="AA527">
        <v>5216.9000000000005</v>
      </c>
      <c r="AB527">
        <v>3109.7852499999999</v>
      </c>
      <c r="AC527">
        <v>0.37347217489696755</v>
      </c>
    </row>
    <row r="528" spans="1:29" x14ac:dyDescent="0.3">
      <c r="A528" t="s">
        <v>540</v>
      </c>
      <c r="B528" s="3">
        <v>45695</v>
      </c>
      <c r="C528" s="3" t="str">
        <v>Feb-2025</v>
      </c>
      <c r="D528" s="11" t="str">
        <f t="shared" si="32"/>
        <v>Q1-2025</v>
      </c>
      <c r="E528" s="3">
        <v>45704</v>
      </c>
      <c r="F528" s="3">
        <v>45695</v>
      </c>
      <c r="G528" s="4">
        <f t="shared" si="33"/>
        <v>9</v>
      </c>
      <c r="H528" s="4" t="str">
        <v>delayed</v>
      </c>
      <c r="I528" s="4">
        <f t="shared" si="35"/>
        <v>0</v>
      </c>
      <c r="J528" t="s">
        <v>646</v>
      </c>
      <c r="K528" t="s">
        <v>651</v>
      </c>
      <c r="L528" t="s">
        <v>665</v>
      </c>
      <c r="M528" t="s">
        <v>705</v>
      </c>
      <c r="N528" t="s">
        <v>710</v>
      </c>
      <c r="O528" t="s">
        <v>712</v>
      </c>
      <c r="P528" t="s">
        <v>728</v>
      </c>
      <c r="Q528" t="str" cm="1">
        <f t="array" ref="Q528">_xlfn.IFS(U528&lt;=_xlfn.QUARTILE.INC($U$2:$U1159,1),"Low",B528&lt;=_xlfn.QUARTILE.INC($U$2:$U$633,2),"Medium",TRUE,"High")</f>
        <v>Low</v>
      </c>
      <c r="R528" t="s">
        <v>1259</v>
      </c>
      <c r="S528" s="4">
        <v>90.68</v>
      </c>
      <c r="T528">
        <v>118.17</v>
      </c>
      <c r="U528">
        <v>118.17</v>
      </c>
      <c r="V528" s="7">
        <v>0.13500000000000001</v>
      </c>
      <c r="W528" s="7">
        <v>0.13500000000000001</v>
      </c>
      <c r="X528" s="7" t="str">
        <f t="shared" si="34"/>
        <v>okay</v>
      </c>
      <c r="Y528" s="9">
        <v>21</v>
      </c>
      <c r="Z528">
        <v>2146.5580500000001</v>
      </c>
      <c r="AA528">
        <v>1904.2800000000002</v>
      </c>
      <c r="AB528">
        <v>242.27804999999989</v>
      </c>
      <c r="AC528">
        <v>0.11286815653552899</v>
      </c>
    </row>
    <row r="529" spans="1:29" x14ac:dyDescent="0.3">
      <c r="A529" t="s">
        <v>541</v>
      </c>
      <c r="B529" s="3">
        <v>44938</v>
      </c>
      <c r="C529" s="3" t="str">
        <v>Jan-2023</v>
      </c>
      <c r="D529" s="11" t="str">
        <f t="shared" si="32"/>
        <v>Q1-2023</v>
      </c>
      <c r="E529" s="3">
        <v>44952</v>
      </c>
      <c r="F529" s="3">
        <v>44938</v>
      </c>
      <c r="G529" s="4">
        <f t="shared" si="33"/>
        <v>14</v>
      </c>
      <c r="H529" s="4" t="str">
        <v>delayed</v>
      </c>
      <c r="I529" s="4">
        <f t="shared" si="35"/>
        <v>0</v>
      </c>
      <c r="J529" t="s">
        <v>647</v>
      </c>
      <c r="K529" t="s">
        <v>659</v>
      </c>
      <c r="L529" t="s">
        <v>676</v>
      </c>
      <c r="M529" t="s">
        <v>703</v>
      </c>
      <c r="N529" t="s">
        <v>707</v>
      </c>
      <c r="O529" t="s">
        <v>724</v>
      </c>
      <c r="P529" t="s">
        <v>728</v>
      </c>
      <c r="Q529" t="str" cm="1">
        <f t="array" ref="Q529">_xlfn.IFS(U529&lt;=_xlfn.QUARTILE.INC($U$2:$U1160,1),"Low",B529&lt;=_xlfn.QUARTILE.INC($U$2:$U$633,2),"Medium",TRUE,"High")</f>
        <v>High</v>
      </c>
      <c r="R529" t="s">
        <v>1260</v>
      </c>
      <c r="S529" s="4">
        <v>1083.0899999999999</v>
      </c>
      <c r="T529">
        <v>1425.87</v>
      </c>
      <c r="U529">
        <v>1425.87</v>
      </c>
      <c r="V529" s="7">
        <v>0</v>
      </c>
      <c r="W529" s="7">
        <v>0</v>
      </c>
      <c r="X529" s="7" t="str">
        <f t="shared" si="34"/>
        <v>okay</v>
      </c>
      <c r="Y529" s="9">
        <v>8</v>
      </c>
      <c r="Z529">
        <v>11406.96</v>
      </c>
      <c r="AA529">
        <v>8664.7199999999993</v>
      </c>
      <c r="AB529">
        <v>2742.24</v>
      </c>
      <c r="AC529">
        <v>0.24040059752992909</v>
      </c>
    </row>
    <row r="530" spans="1:29" x14ac:dyDescent="0.3">
      <c r="A530" t="s">
        <v>542</v>
      </c>
      <c r="B530" s="3">
        <v>45448</v>
      </c>
      <c r="C530" s="3" t="str">
        <v>Jun-2024</v>
      </c>
      <c r="D530" s="11" t="str">
        <f t="shared" si="32"/>
        <v>Q2-2024</v>
      </c>
      <c r="E530" s="3">
        <v>45466</v>
      </c>
      <c r="F530" s="3">
        <v>45448</v>
      </c>
      <c r="G530" s="4">
        <f t="shared" si="33"/>
        <v>18</v>
      </c>
      <c r="H530" s="4" t="str">
        <v>delayed</v>
      </c>
      <c r="I530" s="4">
        <f t="shared" si="35"/>
        <v>0</v>
      </c>
      <c r="J530" t="s">
        <v>646</v>
      </c>
      <c r="K530" t="s">
        <v>650</v>
      </c>
      <c r="L530" t="s">
        <v>664</v>
      </c>
      <c r="M530" t="s">
        <v>704</v>
      </c>
      <c r="N530" t="s">
        <v>710</v>
      </c>
      <c r="O530" t="s">
        <v>726</v>
      </c>
      <c r="P530" t="s">
        <v>731</v>
      </c>
      <c r="Q530" t="str" cm="1">
        <f t="array" ref="Q530">_xlfn.IFS(U530&lt;=_xlfn.QUARTILE.INC($U$2:$U1161,1),"Low",B530&lt;=_xlfn.QUARTILE.INC($U$2:$U$633,2),"Medium",TRUE,"High")</f>
        <v>High</v>
      </c>
      <c r="R530" t="s">
        <v>1261</v>
      </c>
      <c r="S530" s="4">
        <v>1208.74</v>
      </c>
      <c r="T530">
        <v>1594.78</v>
      </c>
      <c r="U530">
        <v>1594.78</v>
      </c>
      <c r="V530" s="7">
        <v>5.8999999999999997E-2</v>
      </c>
      <c r="W530" s="7">
        <v>5.8999999999999997E-2</v>
      </c>
      <c r="X530" s="7" t="str">
        <f t="shared" si="34"/>
        <v>okay</v>
      </c>
      <c r="Y530" s="9">
        <v>39</v>
      </c>
      <c r="Z530">
        <v>58526.83122</v>
      </c>
      <c r="AA530">
        <v>47140.86</v>
      </c>
      <c r="AB530">
        <v>11385.971219999999</v>
      </c>
      <c r="AC530">
        <v>0.1945427589817838</v>
      </c>
    </row>
    <row r="531" spans="1:29" x14ac:dyDescent="0.3">
      <c r="A531" t="s">
        <v>543</v>
      </c>
      <c r="B531" s="3">
        <v>45162</v>
      </c>
      <c r="C531" s="3" t="str">
        <v>Aug-2023</v>
      </c>
      <c r="D531" s="11" t="str">
        <f t="shared" si="32"/>
        <v>Q3-2023</v>
      </c>
      <c r="E531" s="3">
        <v>45189</v>
      </c>
      <c r="F531" s="3">
        <v>45162</v>
      </c>
      <c r="G531" s="4">
        <f t="shared" si="33"/>
        <v>27</v>
      </c>
      <c r="H531" s="4" t="str">
        <v>delayed</v>
      </c>
      <c r="I531" s="4">
        <f t="shared" si="35"/>
        <v>0</v>
      </c>
      <c r="J531" t="s">
        <v>646</v>
      </c>
      <c r="K531" t="s">
        <v>661</v>
      </c>
      <c r="L531" t="s">
        <v>687</v>
      </c>
      <c r="M531" t="s">
        <v>705</v>
      </c>
      <c r="N531" t="s">
        <v>709</v>
      </c>
      <c r="O531" t="s">
        <v>724</v>
      </c>
      <c r="P531" t="s">
        <v>728</v>
      </c>
      <c r="Q531" t="str" cm="1">
        <f t="array" ref="Q531">_xlfn.IFS(U531&lt;=_xlfn.QUARTILE.INC($U$2:$U1162,1),"Low",B531&lt;=_xlfn.QUARTILE.INC($U$2:$U$633,2),"Medium",TRUE,"High")</f>
        <v>High</v>
      </c>
      <c r="R531" t="s">
        <v>1262</v>
      </c>
      <c r="S531" s="4">
        <v>1399.64</v>
      </c>
      <c r="T531">
        <v>3342.11</v>
      </c>
      <c r="U531">
        <v>3342.11</v>
      </c>
      <c r="V531" s="7">
        <v>0</v>
      </c>
      <c r="W531" s="7">
        <v>0</v>
      </c>
      <c r="X531" s="7" t="str">
        <f t="shared" si="34"/>
        <v>okay</v>
      </c>
      <c r="Y531" s="9">
        <v>10</v>
      </c>
      <c r="Z531">
        <v>33421.1</v>
      </c>
      <c r="AA531">
        <v>13996.400000000001</v>
      </c>
      <c r="AB531">
        <v>19424.699999999997</v>
      </c>
      <c r="AC531">
        <v>0.58121067229983447</v>
      </c>
    </row>
    <row r="532" spans="1:29" x14ac:dyDescent="0.3">
      <c r="A532" t="s">
        <v>544</v>
      </c>
      <c r="B532" s="3">
        <v>45316</v>
      </c>
      <c r="C532" s="3" t="str">
        <v>Jan-2024</v>
      </c>
      <c r="D532" s="11" t="str">
        <f t="shared" si="32"/>
        <v>Q1-2024</v>
      </c>
      <c r="E532" s="3">
        <v>45330</v>
      </c>
      <c r="F532" s="3">
        <v>45316</v>
      </c>
      <c r="G532" s="4">
        <f t="shared" si="33"/>
        <v>14</v>
      </c>
      <c r="H532" s="4" t="str">
        <v>delayed</v>
      </c>
      <c r="I532" s="4">
        <f t="shared" si="35"/>
        <v>0</v>
      </c>
      <c r="J532" t="s">
        <v>647</v>
      </c>
      <c r="K532" t="s">
        <v>652</v>
      </c>
      <c r="L532" t="s">
        <v>666</v>
      </c>
      <c r="M532" t="s">
        <v>704</v>
      </c>
      <c r="N532" t="s">
        <v>709</v>
      </c>
      <c r="O532" t="s">
        <v>714</v>
      </c>
      <c r="P532" t="s">
        <v>729</v>
      </c>
      <c r="Q532" t="str" cm="1">
        <f t="array" ref="Q532">_xlfn.IFS(U532&lt;=_xlfn.QUARTILE.INC($U$2:$U1163,1),"Low",B532&lt;=_xlfn.QUARTILE.INC($U$2:$U$633,2),"Medium",TRUE,"High")</f>
        <v>High</v>
      </c>
      <c r="R532" t="s">
        <v>1263</v>
      </c>
      <c r="S532" s="4">
        <v>937.16</v>
      </c>
      <c r="T532">
        <v>1069.77</v>
      </c>
      <c r="U532">
        <v>1069.77</v>
      </c>
      <c r="V532" s="7">
        <v>3.7999999999999999E-2</v>
      </c>
      <c r="W532" s="7">
        <v>3.7999999999999999E-2</v>
      </c>
      <c r="X532" s="7" t="str">
        <f t="shared" si="34"/>
        <v>okay</v>
      </c>
      <c r="Y532" s="9">
        <v>9</v>
      </c>
      <c r="Z532">
        <v>9262.0686600000008</v>
      </c>
      <c r="AA532">
        <v>8434.44</v>
      </c>
      <c r="AB532">
        <v>827.62866000000031</v>
      </c>
      <c r="AC532">
        <v>8.9356783066645962E-2</v>
      </c>
    </row>
    <row r="533" spans="1:29" x14ac:dyDescent="0.3">
      <c r="A533" t="s">
        <v>545</v>
      </c>
      <c r="B533" s="3">
        <v>45727</v>
      </c>
      <c r="C533" s="3" t="str">
        <v>Mar-2025</v>
      </c>
      <c r="D533" s="11" t="str">
        <f t="shared" si="32"/>
        <v>Q1-2025</v>
      </c>
      <c r="E533" s="3">
        <v>45742</v>
      </c>
      <c r="F533" s="3">
        <v>45727</v>
      </c>
      <c r="G533" s="4">
        <f t="shared" si="33"/>
        <v>15</v>
      </c>
      <c r="H533" s="4" t="str">
        <v>delayed</v>
      </c>
      <c r="I533" s="4">
        <f t="shared" si="35"/>
        <v>0</v>
      </c>
      <c r="J533" t="s">
        <v>649</v>
      </c>
      <c r="K533" t="s">
        <v>656</v>
      </c>
      <c r="L533" t="s">
        <v>671</v>
      </c>
      <c r="M533" t="s">
        <v>705</v>
      </c>
      <c r="N533" t="s">
        <v>708</v>
      </c>
      <c r="O533" t="s">
        <v>714</v>
      </c>
      <c r="P533" t="s">
        <v>730</v>
      </c>
      <c r="Q533" t="str" cm="1">
        <f t="array" ref="Q533">_xlfn.IFS(U533&lt;=_xlfn.QUARTILE.INC($U$2:$U1164,1),"Low",B533&lt;=_xlfn.QUARTILE.INC($U$2:$U$633,2),"Medium",TRUE,"High")</f>
        <v>Low</v>
      </c>
      <c r="R533" t="s">
        <v>1264</v>
      </c>
      <c r="S533" s="4">
        <v>116.97</v>
      </c>
      <c r="T533">
        <v>140.82</v>
      </c>
      <c r="U533">
        <v>140.82</v>
      </c>
      <c r="V533" s="7">
        <v>0.122</v>
      </c>
      <c r="W533" s="7">
        <v>0.122</v>
      </c>
      <c r="X533" s="7" t="str">
        <f t="shared" si="34"/>
        <v>okay</v>
      </c>
      <c r="Y533" s="9">
        <v>5</v>
      </c>
      <c r="Z533">
        <v>618.19979999999987</v>
      </c>
      <c r="AA533">
        <v>584.85</v>
      </c>
      <c r="AB533">
        <v>33.349799999999846</v>
      </c>
      <c r="AC533">
        <v>5.3946636669891926E-2</v>
      </c>
    </row>
    <row r="534" spans="1:29" x14ac:dyDescent="0.3">
      <c r="A534" t="s">
        <v>546</v>
      </c>
      <c r="B534" s="3">
        <v>45769</v>
      </c>
      <c r="C534" s="3" t="str">
        <v>Apr-2025</v>
      </c>
      <c r="D534" s="11" t="str">
        <f t="shared" si="32"/>
        <v>Q2-2025</v>
      </c>
      <c r="E534" s="3">
        <v>45789</v>
      </c>
      <c r="F534" s="3">
        <v>45769</v>
      </c>
      <c r="G534" s="4">
        <f t="shared" si="33"/>
        <v>20</v>
      </c>
      <c r="H534" s="4" t="str">
        <v>delayed</v>
      </c>
      <c r="I534" s="4">
        <f t="shared" si="35"/>
        <v>0</v>
      </c>
      <c r="J534" t="s">
        <v>649</v>
      </c>
      <c r="K534" t="s">
        <v>657</v>
      </c>
      <c r="L534" t="s">
        <v>679</v>
      </c>
      <c r="M534" t="s">
        <v>706</v>
      </c>
      <c r="N534" t="s">
        <v>709</v>
      </c>
      <c r="O534" t="s">
        <v>723</v>
      </c>
      <c r="P534" t="s">
        <v>732</v>
      </c>
      <c r="Q534" t="str" cm="1">
        <f t="array" ref="Q534">_xlfn.IFS(U534&lt;=_xlfn.QUARTILE.INC($U$2:$U1165,1),"Low",B534&lt;=_xlfn.QUARTILE.INC($U$2:$U$633,2),"Medium",TRUE,"High")</f>
        <v>Low</v>
      </c>
      <c r="R534" t="s">
        <v>1265</v>
      </c>
      <c r="S534" s="4">
        <v>59.51</v>
      </c>
      <c r="T534">
        <v>67.040000000000006</v>
      </c>
      <c r="U534">
        <v>67.040000000000006</v>
      </c>
      <c r="V534" s="7">
        <v>0.114</v>
      </c>
      <c r="W534" s="7">
        <v>0.114</v>
      </c>
      <c r="X534" s="7" t="str">
        <f t="shared" si="34"/>
        <v>okay</v>
      </c>
      <c r="Y534" s="9">
        <v>9</v>
      </c>
      <c r="Z534">
        <v>534.57695999999999</v>
      </c>
      <c r="AA534">
        <v>535.59</v>
      </c>
      <c r="AB534">
        <v>-1.0130400000000463</v>
      </c>
      <c r="AC534">
        <v>-1.8950311663264469E-3</v>
      </c>
    </row>
    <row r="535" spans="1:29" x14ac:dyDescent="0.3">
      <c r="A535" t="s">
        <v>547</v>
      </c>
      <c r="B535" s="3">
        <v>45155</v>
      </c>
      <c r="C535" s="3" t="str">
        <v>Aug-2023</v>
      </c>
      <c r="D535" s="11" t="str">
        <f t="shared" si="32"/>
        <v>Q3-2023</v>
      </c>
      <c r="E535" s="3">
        <v>45172</v>
      </c>
      <c r="F535" s="3">
        <v>45155</v>
      </c>
      <c r="G535" s="4">
        <f t="shared" si="33"/>
        <v>17</v>
      </c>
      <c r="H535" s="4" t="str">
        <v>delayed</v>
      </c>
      <c r="I535" s="4">
        <f t="shared" si="35"/>
        <v>0</v>
      </c>
      <c r="J535" t="s">
        <v>646</v>
      </c>
      <c r="K535" t="s">
        <v>661</v>
      </c>
      <c r="L535" t="s">
        <v>687</v>
      </c>
      <c r="M535" t="s">
        <v>706</v>
      </c>
      <c r="N535" t="s">
        <v>707</v>
      </c>
      <c r="O535" t="s">
        <v>720</v>
      </c>
      <c r="P535" t="s">
        <v>730</v>
      </c>
      <c r="Q535" t="str" cm="1">
        <f t="array" ref="Q535">_xlfn.IFS(U535&lt;=_xlfn.QUARTILE.INC($U$2:$U1166,1),"Low",B535&lt;=_xlfn.QUARTILE.INC($U$2:$U$633,2),"Medium",TRUE,"High")</f>
        <v>High</v>
      </c>
      <c r="R535" t="s">
        <v>1266</v>
      </c>
      <c r="S535" s="4">
        <v>676.37</v>
      </c>
      <c r="T535">
        <v>1276.67</v>
      </c>
      <c r="U535">
        <v>1276.67</v>
      </c>
      <c r="V535" s="7">
        <v>6.6000000000000003E-2</v>
      </c>
      <c r="W535" s="7">
        <v>6.6000000000000003E-2</v>
      </c>
      <c r="X535" s="7" t="str">
        <f t="shared" si="34"/>
        <v>okay</v>
      </c>
      <c r="Y535" s="9">
        <v>10</v>
      </c>
      <c r="Z535">
        <v>11924.0978</v>
      </c>
      <c r="AA535">
        <v>6763.7</v>
      </c>
      <c r="AB535">
        <v>5160.3977999999997</v>
      </c>
      <c r="AC535">
        <v>0.4327705027712872</v>
      </c>
    </row>
    <row r="536" spans="1:29" x14ac:dyDescent="0.3">
      <c r="A536" t="s">
        <v>548</v>
      </c>
      <c r="B536" s="3">
        <v>45832</v>
      </c>
      <c r="C536" s="3" t="str">
        <v>Jun-2025</v>
      </c>
      <c r="D536" s="11" t="str">
        <f t="shared" si="32"/>
        <v>Q2-2025</v>
      </c>
      <c r="E536" s="3">
        <v>45852</v>
      </c>
      <c r="F536" s="3">
        <v>45832</v>
      </c>
      <c r="G536" s="4">
        <f t="shared" si="33"/>
        <v>20</v>
      </c>
      <c r="H536" s="4" t="str">
        <v>delayed</v>
      </c>
      <c r="I536" s="4">
        <f t="shared" si="35"/>
        <v>0</v>
      </c>
      <c r="J536" t="s">
        <v>646</v>
      </c>
      <c r="K536" t="s">
        <v>661</v>
      </c>
      <c r="L536" t="s">
        <v>682</v>
      </c>
      <c r="M536" t="s">
        <v>706</v>
      </c>
      <c r="N536" t="s">
        <v>709</v>
      </c>
      <c r="O536" t="s">
        <v>713</v>
      </c>
      <c r="P536" t="s">
        <v>731</v>
      </c>
      <c r="Q536" t="str" cm="1">
        <f t="array" ref="Q536">_xlfn.IFS(U536&lt;=_xlfn.QUARTILE.INC($U$2:$U1167,1),"Low",B536&lt;=_xlfn.QUARTILE.INC($U$2:$U$633,2),"Medium",TRUE,"High")</f>
        <v>High</v>
      </c>
      <c r="R536" t="s">
        <v>1267</v>
      </c>
      <c r="S536" s="4">
        <v>1151.06</v>
      </c>
      <c r="T536">
        <v>2821.36</v>
      </c>
      <c r="U536">
        <v>2821.36</v>
      </c>
      <c r="V536" s="7">
        <v>0.248</v>
      </c>
      <c r="W536" s="7">
        <v>0.248</v>
      </c>
      <c r="X536" s="7" t="str">
        <f t="shared" si="34"/>
        <v>High discount</v>
      </c>
      <c r="Y536" s="9">
        <v>20</v>
      </c>
      <c r="Z536">
        <v>42433.254400000005</v>
      </c>
      <c r="AA536">
        <v>23021.199999999997</v>
      </c>
      <c r="AB536">
        <v>19412.054400000008</v>
      </c>
      <c r="AC536">
        <v>0.45747267501594235</v>
      </c>
    </row>
    <row r="537" spans="1:29" x14ac:dyDescent="0.3">
      <c r="A537" t="s">
        <v>549</v>
      </c>
      <c r="B537" s="3">
        <v>45667</v>
      </c>
      <c r="C537" s="3" t="str">
        <v>Jan-2025</v>
      </c>
      <c r="D537" s="11" t="str">
        <f t="shared" si="32"/>
        <v>Q1-2025</v>
      </c>
      <c r="E537" s="3">
        <v>45694</v>
      </c>
      <c r="F537" s="3">
        <v>45667</v>
      </c>
      <c r="G537" s="4">
        <f t="shared" si="33"/>
        <v>27</v>
      </c>
      <c r="H537" s="4" t="str">
        <v>delayed</v>
      </c>
      <c r="I537" s="4">
        <f t="shared" si="35"/>
        <v>0</v>
      </c>
      <c r="J537" t="s">
        <v>648</v>
      </c>
      <c r="K537" t="s">
        <v>655</v>
      </c>
      <c r="L537" t="s">
        <v>672</v>
      </c>
      <c r="M537" t="s">
        <v>703</v>
      </c>
      <c r="N537" t="s">
        <v>707</v>
      </c>
      <c r="O537" t="s">
        <v>717</v>
      </c>
      <c r="P537" t="s">
        <v>731</v>
      </c>
      <c r="Q537" t="str" cm="1">
        <f t="array" ref="Q537">_xlfn.IFS(U537&lt;=_xlfn.QUARTILE.INC($U$2:$U1168,1),"Low",B537&lt;=_xlfn.QUARTILE.INC($U$2:$U$633,2),"Medium",TRUE,"High")</f>
        <v>High</v>
      </c>
      <c r="R537" t="s">
        <v>1268</v>
      </c>
      <c r="S537" s="4">
        <v>725.62</v>
      </c>
      <c r="T537">
        <v>1559.19</v>
      </c>
      <c r="U537">
        <v>1559.19</v>
      </c>
      <c r="V537" s="7">
        <v>0.19</v>
      </c>
      <c r="W537" s="7">
        <v>0.19</v>
      </c>
      <c r="X537" s="7" t="str">
        <f t="shared" si="34"/>
        <v>okay</v>
      </c>
      <c r="Y537" s="9">
        <v>12</v>
      </c>
      <c r="Z537">
        <v>15155.326800000001</v>
      </c>
      <c r="AA537">
        <v>8707.44</v>
      </c>
      <c r="AB537">
        <v>6447.8868000000002</v>
      </c>
      <c r="AC537">
        <v>0.42545349797405885</v>
      </c>
    </row>
    <row r="538" spans="1:29" x14ac:dyDescent="0.3">
      <c r="A538" t="s">
        <v>550</v>
      </c>
      <c r="B538" s="3">
        <v>45108</v>
      </c>
      <c r="C538" s="3" t="str">
        <v>Jul-2023</v>
      </c>
      <c r="D538" s="11" t="str">
        <f t="shared" si="32"/>
        <v>Q3-2023</v>
      </c>
      <c r="E538" s="3">
        <v>45118</v>
      </c>
      <c r="F538" s="3">
        <v>45108</v>
      </c>
      <c r="G538" s="4">
        <f t="shared" si="33"/>
        <v>10</v>
      </c>
      <c r="H538" s="4" t="str">
        <v>delayed</v>
      </c>
      <c r="I538" s="4">
        <f t="shared" si="35"/>
        <v>0</v>
      </c>
      <c r="J538" t="s">
        <v>649</v>
      </c>
      <c r="K538" t="s">
        <v>657</v>
      </c>
      <c r="L538" t="s">
        <v>690</v>
      </c>
      <c r="M538" t="s">
        <v>701</v>
      </c>
      <c r="N538" t="s">
        <v>711</v>
      </c>
      <c r="O538" t="s">
        <v>721</v>
      </c>
      <c r="P538" t="s">
        <v>729</v>
      </c>
      <c r="Q538" t="str" cm="1">
        <f t="array" ref="Q538">_xlfn.IFS(U538&lt;=_xlfn.QUARTILE.INC($U$2:$U1169,1),"Low",B538&lt;=_xlfn.QUARTILE.INC($U$2:$U$633,2),"Medium",TRUE,"High")</f>
        <v>High</v>
      </c>
      <c r="R538" t="s">
        <v>1269</v>
      </c>
      <c r="S538" s="4">
        <v>479.5</v>
      </c>
      <c r="T538">
        <v>656.66</v>
      </c>
      <c r="U538">
        <v>656.66</v>
      </c>
      <c r="V538" s="7">
        <v>0.14899999999999999</v>
      </c>
      <c r="W538" s="7">
        <v>0.14899999999999999</v>
      </c>
      <c r="X538" s="7" t="str">
        <f t="shared" si="34"/>
        <v>okay</v>
      </c>
      <c r="Y538" s="9">
        <v>14</v>
      </c>
      <c r="Z538">
        <v>7823.4472399999995</v>
      </c>
      <c r="AA538">
        <v>6713</v>
      </c>
      <c r="AB538">
        <v>1110.4472399999995</v>
      </c>
      <c r="AC538">
        <v>0.14193835606412289</v>
      </c>
    </row>
    <row r="539" spans="1:29" x14ac:dyDescent="0.3">
      <c r="A539" t="s">
        <v>551</v>
      </c>
      <c r="B539" s="3">
        <v>45520</v>
      </c>
      <c r="C539" s="3" t="str">
        <v>Aug-2024</v>
      </c>
      <c r="D539" s="11" t="str">
        <f t="shared" si="32"/>
        <v>Q3-2024</v>
      </c>
      <c r="E539" s="3">
        <v>45530</v>
      </c>
      <c r="F539" s="3">
        <v>45520</v>
      </c>
      <c r="G539" s="4">
        <f t="shared" si="33"/>
        <v>10</v>
      </c>
      <c r="H539" s="4" t="str">
        <v>delayed</v>
      </c>
      <c r="I539" s="4">
        <f t="shared" si="35"/>
        <v>0</v>
      </c>
      <c r="J539" t="s">
        <v>648</v>
      </c>
      <c r="K539" t="s">
        <v>660</v>
      </c>
      <c r="L539" t="s">
        <v>677</v>
      </c>
      <c r="M539" t="s">
        <v>701</v>
      </c>
      <c r="N539" t="s">
        <v>710</v>
      </c>
      <c r="O539" t="s">
        <v>716</v>
      </c>
      <c r="P539" t="s">
        <v>731</v>
      </c>
      <c r="Q539" t="str" cm="1">
        <f t="array" ref="Q539">_xlfn.IFS(U539&lt;=_xlfn.QUARTILE.INC($U$2:$U1170,1),"Low",B539&lt;=_xlfn.QUARTILE.INC($U$2:$U$633,2),"Medium",TRUE,"High")</f>
        <v>High</v>
      </c>
      <c r="R539" t="s">
        <v>1121</v>
      </c>
      <c r="S539" s="4">
        <v>1291.7</v>
      </c>
      <c r="T539">
        <v>2657.84</v>
      </c>
      <c r="U539">
        <v>2657.84</v>
      </c>
      <c r="V539" s="7">
        <v>8.6999999999999994E-2</v>
      </c>
      <c r="W539" s="7">
        <v>8.6999999999999994E-2</v>
      </c>
      <c r="X539" s="7" t="str">
        <f t="shared" si="34"/>
        <v>okay</v>
      </c>
      <c r="Y539" s="9">
        <v>21</v>
      </c>
      <c r="Z539">
        <v>50958.766320000002</v>
      </c>
      <c r="AA539">
        <v>27125.7</v>
      </c>
      <c r="AB539">
        <v>23833.066320000002</v>
      </c>
      <c r="AC539">
        <v>0.46769315745083367</v>
      </c>
    </row>
    <row r="540" spans="1:29" x14ac:dyDescent="0.3">
      <c r="A540" t="s">
        <v>552</v>
      </c>
      <c r="B540" s="3">
        <v>45114</v>
      </c>
      <c r="C540" s="3" t="str">
        <v>Jul-2023</v>
      </c>
      <c r="D540" s="11" t="str">
        <f t="shared" si="32"/>
        <v>Q3-2023</v>
      </c>
      <c r="E540" s="3">
        <v>45120</v>
      </c>
      <c r="F540" s="3">
        <v>45114</v>
      </c>
      <c r="G540" s="4">
        <f t="shared" si="33"/>
        <v>6</v>
      </c>
      <c r="H540" s="4" t="str">
        <v>ontime</v>
      </c>
      <c r="I540" s="4">
        <f t="shared" si="35"/>
        <v>1</v>
      </c>
      <c r="J540" t="s">
        <v>646</v>
      </c>
      <c r="K540" t="s">
        <v>661</v>
      </c>
      <c r="L540" t="s">
        <v>695</v>
      </c>
      <c r="M540" t="s">
        <v>705</v>
      </c>
      <c r="N540" t="s">
        <v>709</v>
      </c>
      <c r="O540" t="s">
        <v>717</v>
      </c>
      <c r="P540" t="s">
        <v>733</v>
      </c>
      <c r="Q540" t="str" cm="1">
        <f t="array" ref="Q540">_xlfn.IFS(U540&lt;=_xlfn.QUARTILE.INC($U$2:$U1171,1),"Low",B540&lt;=_xlfn.QUARTILE.INC($U$2:$U$633,2),"Medium",TRUE,"High")</f>
        <v>High</v>
      </c>
      <c r="R540" t="s">
        <v>1270</v>
      </c>
      <c r="S540" s="4">
        <v>612.59</v>
      </c>
      <c r="T540">
        <v>1424.74</v>
      </c>
      <c r="U540">
        <v>1424.74</v>
      </c>
      <c r="V540" s="7">
        <v>4.3999999999999997E-2</v>
      </c>
      <c r="W540" s="7">
        <v>4.3999999999999997E-2</v>
      </c>
      <c r="X540" s="7" t="str">
        <f t="shared" si="34"/>
        <v>okay</v>
      </c>
      <c r="Y540" s="9">
        <v>15</v>
      </c>
      <c r="Z540">
        <v>20430.771599999996</v>
      </c>
      <c r="AA540">
        <v>9188.85</v>
      </c>
      <c r="AB540">
        <v>11241.921599999996</v>
      </c>
      <c r="AC540">
        <v>0.55024459281802152</v>
      </c>
    </row>
    <row r="541" spans="1:29" x14ac:dyDescent="0.3">
      <c r="A541" t="s">
        <v>553</v>
      </c>
      <c r="B541" s="3">
        <v>45288</v>
      </c>
      <c r="C541" s="3" t="str">
        <v>Dec-2023</v>
      </c>
      <c r="D541" s="11" t="str">
        <f t="shared" si="32"/>
        <v>Q4-2023</v>
      </c>
      <c r="E541" s="3">
        <v>45292</v>
      </c>
      <c r="F541" s="3">
        <v>45288</v>
      </c>
      <c r="G541" s="4">
        <f t="shared" si="33"/>
        <v>4</v>
      </c>
      <c r="H541" s="4" t="str">
        <v>ontime</v>
      </c>
      <c r="I541" s="4">
        <f t="shared" si="35"/>
        <v>1</v>
      </c>
      <c r="J541" t="s">
        <v>646</v>
      </c>
      <c r="K541" t="s">
        <v>661</v>
      </c>
      <c r="L541" t="s">
        <v>695</v>
      </c>
      <c r="M541" t="s">
        <v>702</v>
      </c>
      <c r="N541" t="s">
        <v>710</v>
      </c>
      <c r="O541" t="s">
        <v>720</v>
      </c>
      <c r="P541" t="s">
        <v>728</v>
      </c>
      <c r="Q541" t="str" cm="1">
        <f t="array" ref="Q541">_xlfn.IFS(U541&lt;=_xlfn.QUARTILE.INC($U$2:$U1172,1),"Low",B541&lt;=_xlfn.QUARTILE.INC($U$2:$U$633,2),"Medium",TRUE,"High")</f>
        <v>High</v>
      </c>
      <c r="R541" t="s">
        <v>1271</v>
      </c>
      <c r="S541" s="4">
        <v>1141.8</v>
      </c>
      <c r="T541">
        <v>2318.7399999999998</v>
      </c>
      <c r="U541">
        <v>2318.7399999999998</v>
      </c>
      <c r="V541" s="7">
        <v>0.107</v>
      </c>
      <c r="W541" s="7">
        <v>0.107</v>
      </c>
      <c r="X541" s="7" t="str">
        <f t="shared" si="34"/>
        <v>okay</v>
      </c>
      <c r="Y541" s="9">
        <v>32</v>
      </c>
      <c r="Z541">
        <v>66260.314239999992</v>
      </c>
      <c r="AA541">
        <v>36537.599999999999</v>
      </c>
      <c r="AB541">
        <v>29722.714239999994</v>
      </c>
      <c r="AC541">
        <v>0.44857490612468304</v>
      </c>
    </row>
    <row r="542" spans="1:29" x14ac:dyDescent="0.3">
      <c r="A542" t="s">
        <v>554</v>
      </c>
      <c r="B542" s="3">
        <v>44952</v>
      </c>
      <c r="C542" s="3" t="str">
        <v>Jan-2023</v>
      </c>
      <c r="D542" s="11" t="str">
        <f t="shared" si="32"/>
        <v>Q1-2023</v>
      </c>
      <c r="E542" s="3">
        <v>44972</v>
      </c>
      <c r="F542" s="3">
        <v>44952</v>
      </c>
      <c r="G542" s="4">
        <f t="shared" si="33"/>
        <v>20</v>
      </c>
      <c r="H542" s="4" t="str">
        <v>delayed</v>
      </c>
      <c r="I542" s="4">
        <f t="shared" si="35"/>
        <v>0</v>
      </c>
      <c r="J542" t="s">
        <v>649</v>
      </c>
      <c r="K542" t="s">
        <v>656</v>
      </c>
      <c r="L542" t="s">
        <v>671</v>
      </c>
      <c r="M542" t="s">
        <v>705</v>
      </c>
      <c r="N542" t="s">
        <v>708</v>
      </c>
      <c r="O542" t="s">
        <v>719</v>
      </c>
      <c r="P542" t="s">
        <v>729</v>
      </c>
      <c r="Q542" t="str" cm="1">
        <f t="array" ref="Q542">_xlfn.IFS(U542&lt;=_xlfn.QUARTILE.INC($U$2:$U1173,1),"Low",B542&lt;=_xlfn.QUARTILE.INC($U$2:$U$633,2),"Medium",TRUE,"High")</f>
        <v>Low</v>
      </c>
      <c r="R542" t="s">
        <v>1272</v>
      </c>
      <c r="S542" s="4">
        <v>492.62</v>
      </c>
      <c r="T542">
        <v>366.7</v>
      </c>
      <c r="U542">
        <v>366.7</v>
      </c>
      <c r="V542" s="7">
        <v>8.8999999999999996E-2</v>
      </c>
      <c r="W542" s="7">
        <v>8.8999999999999996E-2</v>
      </c>
      <c r="X542" s="7" t="str">
        <f t="shared" si="34"/>
        <v>okay</v>
      </c>
      <c r="Y542" s="9">
        <v>10</v>
      </c>
      <c r="Z542">
        <v>3340.6370000000002</v>
      </c>
      <c r="AA542">
        <v>4926.2</v>
      </c>
      <c r="AB542">
        <v>-1585.5629999999996</v>
      </c>
      <c r="AC542">
        <v>-0.47462894052840809</v>
      </c>
    </row>
    <row r="543" spans="1:29" x14ac:dyDescent="0.3">
      <c r="A543" t="s">
        <v>555</v>
      </c>
      <c r="B543" s="3">
        <v>45115</v>
      </c>
      <c r="C543" s="3" t="str">
        <v>Jul-2023</v>
      </c>
      <c r="D543" s="11" t="str">
        <f t="shared" si="32"/>
        <v>Q3-2023</v>
      </c>
      <c r="E543" s="3">
        <v>45116</v>
      </c>
      <c r="F543" s="3">
        <v>45115</v>
      </c>
      <c r="G543" s="4">
        <f t="shared" si="33"/>
        <v>1</v>
      </c>
      <c r="H543" s="4" t="str">
        <v>ontime</v>
      </c>
      <c r="I543" s="4">
        <f t="shared" si="35"/>
        <v>1</v>
      </c>
      <c r="J543" t="s">
        <v>646</v>
      </c>
      <c r="K543" t="s">
        <v>650</v>
      </c>
      <c r="L543" t="s">
        <v>664</v>
      </c>
      <c r="M543" t="s">
        <v>704</v>
      </c>
      <c r="N543" t="s">
        <v>708</v>
      </c>
      <c r="O543" t="s">
        <v>726</v>
      </c>
      <c r="P543" t="s">
        <v>731</v>
      </c>
      <c r="Q543" t="str" cm="1">
        <f t="array" ref="Q543">_xlfn.IFS(U543&lt;=_xlfn.QUARTILE.INC($U$2:$U1174,1),"Low",B543&lt;=_xlfn.QUARTILE.INC($U$2:$U$633,2),"Medium",TRUE,"High")</f>
        <v>High</v>
      </c>
      <c r="R543" t="s">
        <v>1273</v>
      </c>
      <c r="S543" s="4">
        <v>1258.72</v>
      </c>
      <c r="T543">
        <v>2797.41</v>
      </c>
      <c r="U543">
        <v>2797.41</v>
      </c>
      <c r="V543" s="7">
        <v>0</v>
      </c>
      <c r="W543" s="7">
        <v>0</v>
      </c>
      <c r="X543" s="7" t="str">
        <f t="shared" si="34"/>
        <v>okay</v>
      </c>
      <c r="Y543" s="9">
        <v>7</v>
      </c>
      <c r="Z543">
        <v>19581.87</v>
      </c>
      <c r="AA543">
        <v>8811.0400000000009</v>
      </c>
      <c r="AB543">
        <v>10770.829999999998</v>
      </c>
      <c r="AC543">
        <v>0.55004093071805704</v>
      </c>
    </row>
    <row r="544" spans="1:29" x14ac:dyDescent="0.3">
      <c r="A544" t="s">
        <v>556</v>
      </c>
      <c r="B544" s="3">
        <v>45450</v>
      </c>
      <c r="C544" s="3" t="str">
        <v>Jun-2024</v>
      </c>
      <c r="D544" s="11" t="str">
        <f t="shared" si="32"/>
        <v>Q2-2024</v>
      </c>
      <c r="E544" s="3">
        <v>45452</v>
      </c>
      <c r="F544" s="3">
        <v>45450</v>
      </c>
      <c r="G544" s="4">
        <f t="shared" si="33"/>
        <v>2</v>
      </c>
      <c r="H544" s="4" t="str">
        <v>ontime</v>
      </c>
      <c r="I544" s="4">
        <f t="shared" si="35"/>
        <v>1</v>
      </c>
      <c r="J544" t="s">
        <v>647</v>
      </c>
      <c r="K544" t="s">
        <v>659</v>
      </c>
      <c r="L544" t="s">
        <v>685</v>
      </c>
      <c r="M544" t="s">
        <v>701</v>
      </c>
      <c r="N544" t="s">
        <v>707</v>
      </c>
      <c r="O544" t="s">
        <v>719</v>
      </c>
      <c r="P544" t="s">
        <v>732</v>
      </c>
      <c r="Q544" t="str" cm="1">
        <f t="array" ref="Q544">_xlfn.IFS(U544&lt;=_xlfn.QUARTILE.INC($U$2:$U1175,1),"Low",B544&lt;=_xlfn.QUARTILE.INC($U$2:$U$633,2),"Medium",TRUE,"High")</f>
        <v>High</v>
      </c>
      <c r="R544" t="s">
        <v>1274</v>
      </c>
      <c r="S544" s="4">
        <v>1370.28</v>
      </c>
      <c r="T544">
        <v>2209.66</v>
      </c>
      <c r="U544">
        <v>2209.66</v>
      </c>
      <c r="V544" s="7">
        <v>0.13300000000000001</v>
      </c>
      <c r="W544" s="7">
        <v>0.13300000000000001</v>
      </c>
      <c r="X544" s="7" t="str">
        <f t="shared" si="34"/>
        <v>okay</v>
      </c>
      <c r="Y544" s="9">
        <v>16</v>
      </c>
      <c r="Z544">
        <v>30652.403519999996</v>
      </c>
      <c r="AA544">
        <v>21924.48</v>
      </c>
      <c r="AB544">
        <v>8727.9235199999966</v>
      </c>
      <c r="AC544">
        <v>0.28473863442079589</v>
      </c>
    </row>
    <row r="545" spans="1:29" x14ac:dyDescent="0.3">
      <c r="A545" t="s">
        <v>557</v>
      </c>
      <c r="B545" s="3">
        <v>44968</v>
      </c>
      <c r="C545" s="3" t="str">
        <v>Feb-2023</v>
      </c>
      <c r="D545" s="11" t="str">
        <f t="shared" si="32"/>
        <v>Q1-2023</v>
      </c>
      <c r="E545" s="3">
        <v>44969</v>
      </c>
      <c r="F545" s="3">
        <v>44968</v>
      </c>
      <c r="G545" s="4">
        <f t="shared" si="33"/>
        <v>1</v>
      </c>
      <c r="H545" s="4" t="str">
        <v>ontime</v>
      </c>
      <c r="I545" s="4">
        <f t="shared" si="35"/>
        <v>1</v>
      </c>
      <c r="J545" t="s">
        <v>646</v>
      </c>
      <c r="K545" t="s">
        <v>651</v>
      </c>
      <c r="L545" t="s">
        <v>663</v>
      </c>
      <c r="M545" t="s">
        <v>703</v>
      </c>
      <c r="N545" t="s">
        <v>711</v>
      </c>
      <c r="O545" t="s">
        <v>726</v>
      </c>
      <c r="P545" t="s">
        <v>733</v>
      </c>
      <c r="Q545" t="str" cm="1">
        <f t="array" ref="Q545">_xlfn.IFS(U545&lt;=_xlfn.QUARTILE.INC($U$2:$U1176,1),"Low",B545&lt;=_xlfn.QUARTILE.INC($U$2:$U$633,2),"Medium",TRUE,"High")</f>
        <v>High</v>
      </c>
      <c r="R545" t="s">
        <v>1275</v>
      </c>
      <c r="S545" s="4">
        <v>944.61</v>
      </c>
      <c r="T545">
        <v>839.04</v>
      </c>
      <c r="U545">
        <v>839.04</v>
      </c>
      <c r="V545" s="7">
        <v>5.8999999999999997E-2</v>
      </c>
      <c r="W545" s="7">
        <v>5.8999999999999997E-2</v>
      </c>
      <c r="X545" s="7" t="str">
        <f t="shared" si="34"/>
        <v>okay</v>
      </c>
      <c r="Y545" s="9">
        <v>6</v>
      </c>
      <c r="Z545">
        <v>4737.2198399999997</v>
      </c>
      <c r="AA545">
        <v>5667.66</v>
      </c>
      <c r="AB545">
        <v>-930.44016000000011</v>
      </c>
      <c r="AC545">
        <v>-0.19641059343363726</v>
      </c>
    </row>
    <row r="546" spans="1:29" x14ac:dyDescent="0.3">
      <c r="A546" t="s">
        <v>558</v>
      </c>
      <c r="B546" s="3">
        <v>45108</v>
      </c>
      <c r="C546" s="3" t="str">
        <v>Jul-2023</v>
      </c>
      <c r="D546" s="11" t="str">
        <f t="shared" si="32"/>
        <v>Q3-2023</v>
      </c>
      <c r="E546" s="3">
        <v>45115</v>
      </c>
      <c r="F546" s="3">
        <v>45108</v>
      </c>
      <c r="G546" s="4">
        <f t="shared" si="33"/>
        <v>7</v>
      </c>
      <c r="H546" s="4" t="str">
        <v>ontime</v>
      </c>
      <c r="I546" s="4">
        <f t="shared" si="35"/>
        <v>1</v>
      </c>
      <c r="J546" t="s">
        <v>649</v>
      </c>
      <c r="K546" t="s">
        <v>656</v>
      </c>
      <c r="L546" t="s">
        <v>698</v>
      </c>
      <c r="M546" t="s">
        <v>705</v>
      </c>
      <c r="N546" t="s">
        <v>710</v>
      </c>
      <c r="O546" t="s">
        <v>725</v>
      </c>
      <c r="P546" t="s">
        <v>731</v>
      </c>
      <c r="Q546" t="str" cm="1">
        <f t="array" ref="Q546">_xlfn.IFS(U546&lt;=_xlfn.QUARTILE.INC($U$2:$U1177,1),"Low",B546&lt;=_xlfn.QUARTILE.INC($U$2:$U$633,2),"Medium",TRUE,"High")</f>
        <v>High</v>
      </c>
      <c r="R546" t="s">
        <v>1276</v>
      </c>
      <c r="S546" s="4">
        <v>460.21</v>
      </c>
      <c r="T546">
        <v>1139.1500000000001</v>
      </c>
      <c r="U546">
        <v>1139.1500000000001</v>
      </c>
      <c r="V546" s="7">
        <v>0.115</v>
      </c>
      <c r="W546" s="7">
        <v>0.115</v>
      </c>
      <c r="X546" s="7" t="str">
        <f t="shared" si="34"/>
        <v>okay</v>
      </c>
      <c r="Y546" s="9">
        <v>14</v>
      </c>
      <c r="Z546">
        <v>14114.068500000001</v>
      </c>
      <c r="AA546">
        <v>6442.94</v>
      </c>
      <c r="AB546">
        <v>7671.1285000000016</v>
      </c>
      <c r="AC546">
        <v>0.54350937151821255</v>
      </c>
    </row>
    <row r="547" spans="1:29" x14ac:dyDescent="0.3">
      <c r="A547" t="s">
        <v>559</v>
      </c>
      <c r="B547" s="3">
        <v>45889</v>
      </c>
      <c r="C547" s="3" t="str">
        <v>Aug-2025</v>
      </c>
      <c r="D547" s="11" t="str">
        <f t="shared" si="32"/>
        <v>Q3-2025</v>
      </c>
      <c r="E547" s="3">
        <v>45895</v>
      </c>
      <c r="F547" s="3">
        <v>45889</v>
      </c>
      <c r="G547" s="4">
        <f t="shared" si="33"/>
        <v>6</v>
      </c>
      <c r="H547" s="4" t="str">
        <v>ontime</v>
      </c>
      <c r="I547" s="4">
        <f t="shared" si="35"/>
        <v>1</v>
      </c>
      <c r="J547" t="s">
        <v>648</v>
      </c>
      <c r="K547" t="s">
        <v>660</v>
      </c>
      <c r="L547" t="s">
        <v>700</v>
      </c>
      <c r="M547" t="s">
        <v>701</v>
      </c>
      <c r="N547" t="s">
        <v>707</v>
      </c>
      <c r="O547" t="s">
        <v>724</v>
      </c>
      <c r="P547" t="s">
        <v>729</v>
      </c>
      <c r="Q547" t="str" cm="1">
        <f t="array" ref="Q547">_xlfn.IFS(U547&lt;=_xlfn.QUARTILE.INC($U$2:$U1178,1),"Low",B547&lt;=_xlfn.QUARTILE.INC($U$2:$U$633,2),"Medium",TRUE,"High")</f>
        <v>High</v>
      </c>
      <c r="R547" t="s">
        <v>1277</v>
      </c>
      <c r="S547" s="4">
        <v>1304.95</v>
      </c>
      <c r="T547">
        <v>1712.03</v>
      </c>
      <c r="U547">
        <v>1712.03</v>
      </c>
      <c r="V547" s="7">
        <v>0.21199999999999999</v>
      </c>
      <c r="W547" s="7">
        <v>0.21199999999999999</v>
      </c>
      <c r="X547" s="7" t="str">
        <f t="shared" si="34"/>
        <v>High discount</v>
      </c>
      <c r="Y547" s="9">
        <v>8</v>
      </c>
      <c r="Z547">
        <v>10792.637119999999</v>
      </c>
      <c r="AA547">
        <v>10439.6</v>
      </c>
      <c r="AB547">
        <v>353.03711999999905</v>
      </c>
      <c r="AC547">
        <v>3.2710922833287949E-2</v>
      </c>
    </row>
    <row r="548" spans="1:29" x14ac:dyDescent="0.3">
      <c r="A548" t="s">
        <v>560</v>
      </c>
      <c r="B548" s="3">
        <v>45355</v>
      </c>
      <c r="C548" s="3" t="str">
        <v>Mar-2024</v>
      </c>
      <c r="D548" s="11" t="str">
        <f t="shared" si="32"/>
        <v>Q1-2024</v>
      </c>
      <c r="E548" s="3">
        <v>45367</v>
      </c>
      <c r="F548" s="3">
        <v>45355</v>
      </c>
      <c r="G548" s="4">
        <f t="shared" si="33"/>
        <v>12</v>
      </c>
      <c r="H548" s="4" t="str">
        <v>delayed</v>
      </c>
      <c r="I548" s="4">
        <f t="shared" si="35"/>
        <v>0</v>
      </c>
      <c r="J548" t="s">
        <v>646</v>
      </c>
      <c r="K548" t="s">
        <v>661</v>
      </c>
      <c r="L548" t="s">
        <v>682</v>
      </c>
      <c r="M548" t="s">
        <v>706</v>
      </c>
      <c r="N548" t="s">
        <v>710</v>
      </c>
      <c r="O548" t="s">
        <v>724</v>
      </c>
      <c r="P548" t="s">
        <v>732</v>
      </c>
      <c r="Q548" t="str" cm="1">
        <f t="array" ref="Q548">_xlfn.IFS(U548&lt;=_xlfn.QUARTILE.INC($U$2:$U1179,1),"Low",B548&lt;=_xlfn.QUARTILE.INC($U$2:$U$633,2),"Medium",TRUE,"High")</f>
        <v>High</v>
      </c>
      <c r="R548" t="s">
        <v>1278</v>
      </c>
      <c r="S548" s="4">
        <v>441.08</v>
      </c>
      <c r="T548">
        <v>1054.29</v>
      </c>
      <c r="U548">
        <v>1054.29</v>
      </c>
      <c r="V548" s="7">
        <v>0.23699999999999999</v>
      </c>
      <c r="W548" s="7">
        <v>0.23699999999999999</v>
      </c>
      <c r="X548" s="7" t="str">
        <f t="shared" si="34"/>
        <v>High discount</v>
      </c>
      <c r="Y548" s="9">
        <v>6</v>
      </c>
      <c r="Z548">
        <v>4826.5396199999996</v>
      </c>
      <c r="AA548">
        <v>2646.48</v>
      </c>
      <c r="AB548">
        <v>2180.0596199999995</v>
      </c>
      <c r="AC548">
        <v>0.45168169985932899</v>
      </c>
    </row>
    <row r="549" spans="1:29" x14ac:dyDescent="0.3">
      <c r="A549" t="s">
        <v>561</v>
      </c>
      <c r="B549" s="3">
        <v>45177</v>
      </c>
      <c r="C549" s="3" t="str">
        <v>Sep-2023</v>
      </c>
      <c r="D549" s="11" t="str">
        <f t="shared" si="32"/>
        <v>Q3-2023</v>
      </c>
      <c r="E549" s="3">
        <v>45201</v>
      </c>
      <c r="F549" s="3">
        <v>45177</v>
      </c>
      <c r="G549" s="4">
        <f t="shared" si="33"/>
        <v>24</v>
      </c>
      <c r="H549" s="4" t="str">
        <v>delayed</v>
      </c>
      <c r="I549" s="4">
        <f t="shared" si="35"/>
        <v>0</v>
      </c>
      <c r="J549" t="s">
        <v>648</v>
      </c>
      <c r="K549" t="s">
        <v>653</v>
      </c>
      <c r="L549" t="s">
        <v>667</v>
      </c>
      <c r="M549" t="s">
        <v>702</v>
      </c>
      <c r="N549" t="s">
        <v>711</v>
      </c>
      <c r="O549" t="s">
        <v>720</v>
      </c>
      <c r="P549" t="s">
        <v>733</v>
      </c>
      <c r="Q549" t="str" cm="1">
        <f t="array" ref="Q549">_xlfn.IFS(U549&lt;=_xlfn.QUARTILE.INC($U$2:$U1180,1),"Low",B549&lt;=_xlfn.QUARTILE.INC($U$2:$U$633,2),"Medium",TRUE,"High")</f>
        <v>High</v>
      </c>
      <c r="R549" t="s">
        <v>1279</v>
      </c>
      <c r="S549" s="4">
        <v>1299.03</v>
      </c>
      <c r="T549">
        <v>2451.2199999999998</v>
      </c>
      <c r="U549">
        <v>2451.2199999999998</v>
      </c>
      <c r="V549" s="7">
        <v>0.20799999999999999</v>
      </c>
      <c r="W549" s="7">
        <v>0.20799999999999999</v>
      </c>
      <c r="X549" s="7" t="str">
        <f t="shared" si="34"/>
        <v>High discount</v>
      </c>
      <c r="Y549" s="9">
        <v>8</v>
      </c>
      <c r="Z549">
        <v>15530.929919999999</v>
      </c>
      <c r="AA549">
        <v>10392.24</v>
      </c>
      <c r="AB549">
        <v>5138.6899199999989</v>
      </c>
      <c r="AC549">
        <v>0.3308681416032041</v>
      </c>
    </row>
    <row r="550" spans="1:29" x14ac:dyDescent="0.3">
      <c r="A550" t="s">
        <v>562</v>
      </c>
      <c r="B550" s="3">
        <v>44985</v>
      </c>
      <c r="C550" s="3" t="str">
        <v>Feb-2023</v>
      </c>
      <c r="D550" s="11" t="str">
        <f t="shared" si="32"/>
        <v>Q1-2023</v>
      </c>
      <c r="E550" s="3">
        <v>44991</v>
      </c>
      <c r="F550" s="3">
        <v>44985</v>
      </c>
      <c r="G550" s="4">
        <f t="shared" si="33"/>
        <v>6</v>
      </c>
      <c r="H550" s="4" t="str">
        <v>ontime</v>
      </c>
      <c r="I550" s="4">
        <f t="shared" si="35"/>
        <v>1</v>
      </c>
      <c r="J550" t="s">
        <v>649</v>
      </c>
      <c r="K550" t="s">
        <v>656</v>
      </c>
      <c r="L550" t="s">
        <v>698</v>
      </c>
      <c r="M550" t="s">
        <v>705</v>
      </c>
      <c r="N550" t="s">
        <v>709</v>
      </c>
      <c r="O550" t="s">
        <v>726</v>
      </c>
      <c r="P550" t="s">
        <v>728</v>
      </c>
      <c r="Q550" t="str" cm="1">
        <f t="array" ref="Q550">_xlfn.IFS(U550&lt;=_xlfn.QUARTILE.INC($U$2:$U1181,1),"Low",B550&lt;=_xlfn.QUARTILE.INC($U$2:$U$633,2),"Medium",TRUE,"High")</f>
        <v>High</v>
      </c>
      <c r="R550" t="s">
        <v>1280</v>
      </c>
      <c r="S550" s="4">
        <v>880.02</v>
      </c>
      <c r="T550">
        <v>1251.21</v>
      </c>
      <c r="U550">
        <v>1251.21</v>
      </c>
      <c r="V550" s="7">
        <v>0.123</v>
      </c>
      <c r="W550" s="7">
        <v>0.123</v>
      </c>
      <c r="X550" s="7" t="str">
        <f t="shared" si="34"/>
        <v>okay</v>
      </c>
      <c r="Y550" s="9">
        <v>29</v>
      </c>
      <c r="Z550">
        <v>31822.023930000003</v>
      </c>
      <c r="AA550">
        <v>25520.579999999998</v>
      </c>
      <c r="AB550">
        <v>6301.4439300000049</v>
      </c>
      <c r="AC550">
        <v>0.19802146915172672</v>
      </c>
    </row>
    <row r="551" spans="1:29" x14ac:dyDescent="0.3">
      <c r="A551" t="s">
        <v>563</v>
      </c>
      <c r="B551" s="3">
        <v>45486</v>
      </c>
      <c r="C551" s="3" t="str">
        <v>Jul-2024</v>
      </c>
      <c r="D551" s="11" t="str">
        <f t="shared" si="32"/>
        <v>Q3-2024</v>
      </c>
      <c r="E551" s="3">
        <v>45507</v>
      </c>
      <c r="F551" s="3">
        <v>45486</v>
      </c>
      <c r="G551" s="4">
        <f t="shared" si="33"/>
        <v>21</v>
      </c>
      <c r="H551" s="4" t="str">
        <v>delayed</v>
      </c>
      <c r="I551" s="4">
        <f t="shared" si="35"/>
        <v>0</v>
      </c>
      <c r="J551" t="s">
        <v>648</v>
      </c>
      <c r="K551" t="s">
        <v>655</v>
      </c>
      <c r="L551" t="s">
        <v>692</v>
      </c>
      <c r="M551" t="s">
        <v>701</v>
      </c>
      <c r="N551" t="s">
        <v>709</v>
      </c>
      <c r="O551" t="s">
        <v>724</v>
      </c>
      <c r="P551" t="s">
        <v>732</v>
      </c>
      <c r="Q551" t="str" cm="1">
        <f t="array" ref="Q551">_xlfn.IFS(U551&lt;=_xlfn.QUARTILE.INC($U$2:$U1182,1),"Low",B551&lt;=_xlfn.QUARTILE.INC($U$2:$U$633,2),"Medium",TRUE,"High")</f>
        <v>High</v>
      </c>
      <c r="R551" t="s">
        <v>1281</v>
      </c>
      <c r="S551" s="4">
        <v>702.98</v>
      </c>
      <c r="T551">
        <v>1104.8</v>
      </c>
      <c r="U551">
        <v>1104.8</v>
      </c>
      <c r="V551" s="7">
        <v>0.17499999999999999</v>
      </c>
      <c r="W551" s="7">
        <v>0.17499999999999999</v>
      </c>
      <c r="X551" s="7" t="str">
        <f t="shared" si="34"/>
        <v>okay</v>
      </c>
      <c r="Y551" s="9">
        <v>12</v>
      </c>
      <c r="Z551">
        <v>10937.519999999999</v>
      </c>
      <c r="AA551">
        <v>8435.76</v>
      </c>
      <c r="AB551">
        <v>2501.7599999999984</v>
      </c>
      <c r="AC551">
        <v>0.22873192460448061</v>
      </c>
    </row>
    <row r="552" spans="1:29" x14ac:dyDescent="0.3">
      <c r="A552" t="s">
        <v>564</v>
      </c>
      <c r="B552" s="3">
        <v>45633</v>
      </c>
      <c r="C552" s="3" t="str">
        <v>Dec-2024</v>
      </c>
      <c r="D552" s="11" t="str">
        <f t="shared" si="32"/>
        <v>Q4-2024</v>
      </c>
      <c r="E552" s="3">
        <v>45652</v>
      </c>
      <c r="F552" s="3">
        <v>45633</v>
      </c>
      <c r="G552" s="4">
        <f t="shared" si="33"/>
        <v>19</v>
      </c>
      <c r="H552" s="4" t="str">
        <v>delayed</v>
      </c>
      <c r="I552" s="4">
        <f t="shared" si="35"/>
        <v>0</v>
      </c>
      <c r="J552" t="s">
        <v>649</v>
      </c>
      <c r="K552" t="s">
        <v>658</v>
      </c>
      <c r="L552" t="s">
        <v>683</v>
      </c>
      <c r="M552" t="s">
        <v>706</v>
      </c>
      <c r="N552" t="s">
        <v>708</v>
      </c>
      <c r="O552" t="s">
        <v>726</v>
      </c>
      <c r="P552" t="s">
        <v>729</v>
      </c>
      <c r="Q552" t="str" cm="1">
        <f t="array" ref="Q552">_xlfn.IFS(U552&lt;=_xlfn.QUARTILE.INC($U$2:$U1183,1),"Low",B552&lt;=_xlfn.QUARTILE.INC($U$2:$U$633,2),"Medium",TRUE,"High")</f>
        <v>High</v>
      </c>
      <c r="R552" t="s">
        <v>1282</v>
      </c>
      <c r="S552" s="4">
        <v>1035.24</v>
      </c>
      <c r="T552">
        <v>2383.41</v>
      </c>
      <c r="U552">
        <v>2383.41</v>
      </c>
      <c r="V552" s="7">
        <v>0.17</v>
      </c>
      <c r="W552" s="7">
        <v>0.17</v>
      </c>
      <c r="X552" s="7" t="str">
        <f t="shared" si="34"/>
        <v>okay</v>
      </c>
      <c r="Y552" s="9">
        <v>15</v>
      </c>
      <c r="Z552">
        <v>29673.454499999993</v>
      </c>
      <c r="AA552">
        <v>15528.6</v>
      </c>
      <c r="AB552">
        <v>14144.854499999992</v>
      </c>
      <c r="AC552">
        <v>0.47668378145860962</v>
      </c>
    </row>
    <row r="553" spans="1:29" x14ac:dyDescent="0.3">
      <c r="A553" t="s">
        <v>565</v>
      </c>
      <c r="B553" s="3">
        <v>45875</v>
      </c>
      <c r="C553" s="3" t="str">
        <v>Aug-2025</v>
      </c>
      <c r="D553" s="11" t="str">
        <f t="shared" si="32"/>
        <v>Q3-2025</v>
      </c>
      <c r="E553" s="3">
        <v>45892</v>
      </c>
      <c r="F553" s="3">
        <v>45875</v>
      </c>
      <c r="G553" s="4">
        <f t="shared" si="33"/>
        <v>17</v>
      </c>
      <c r="H553" s="4" t="str">
        <v>delayed</v>
      </c>
      <c r="I553" s="4">
        <f t="shared" si="35"/>
        <v>0</v>
      </c>
      <c r="J553" t="s">
        <v>648</v>
      </c>
      <c r="K553" t="s">
        <v>655</v>
      </c>
      <c r="L553" t="s">
        <v>672</v>
      </c>
      <c r="M553" t="s">
        <v>704</v>
      </c>
      <c r="N553" t="s">
        <v>710</v>
      </c>
      <c r="O553" t="s">
        <v>720</v>
      </c>
      <c r="P553" t="s">
        <v>732</v>
      </c>
      <c r="Q553" t="str" cm="1">
        <f t="array" ref="Q553">_xlfn.IFS(U553&lt;=_xlfn.QUARTILE.INC($U$2:$U1184,1),"Low",B553&lt;=_xlfn.QUARTILE.INC($U$2:$U$633,2),"Medium",TRUE,"High")</f>
        <v>Low</v>
      </c>
      <c r="R553" t="s">
        <v>1283</v>
      </c>
      <c r="S553" s="4">
        <v>86.64</v>
      </c>
      <c r="T553">
        <v>213.06</v>
      </c>
      <c r="U553">
        <v>213.06</v>
      </c>
      <c r="V553" s="7">
        <v>0.21199999999999999</v>
      </c>
      <c r="W553" s="7">
        <v>0.21199999999999999</v>
      </c>
      <c r="X553" s="7" t="str">
        <f t="shared" si="34"/>
        <v>High discount</v>
      </c>
      <c r="Y553" s="9">
        <v>11</v>
      </c>
      <c r="Z553">
        <v>1846.8040799999999</v>
      </c>
      <c r="AA553">
        <v>953.04</v>
      </c>
      <c r="AB553">
        <v>893.76407999999992</v>
      </c>
      <c r="AC553">
        <v>0.48395175735154322</v>
      </c>
    </row>
    <row r="554" spans="1:29" x14ac:dyDescent="0.3">
      <c r="A554" t="s">
        <v>566</v>
      </c>
      <c r="B554" s="3">
        <v>44988</v>
      </c>
      <c r="C554" s="3" t="str">
        <v>Mar-2023</v>
      </c>
      <c r="D554" s="11" t="str">
        <f t="shared" si="32"/>
        <v>Q1-2023</v>
      </c>
      <c r="E554" s="3">
        <v>45005</v>
      </c>
      <c r="F554" s="3">
        <v>44988</v>
      </c>
      <c r="G554" s="4">
        <f t="shared" si="33"/>
        <v>17</v>
      </c>
      <c r="H554" s="4" t="str">
        <v>delayed</v>
      </c>
      <c r="I554" s="4">
        <f t="shared" si="35"/>
        <v>0</v>
      </c>
      <c r="J554" t="s">
        <v>647</v>
      </c>
      <c r="K554" t="s">
        <v>652</v>
      </c>
      <c r="L554" t="s">
        <v>694</v>
      </c>
      <c r="M554" t="s">
        <v>705</v>
      </c>
      <c r="N554" t="s">
        <v>708</v>
      </c>
      <c r="O554" t="s">
        <v>726</v>
      </c>
      <c r="P554" t="s">
        <v>729</v>
      </c>
      <c r="Q554" t="str" cm="1">
        <f t="array" ref="Q554">_xlfn.IFS(U554&lt;=_xlfn.QUARTILE.INC($U$2:$U1185,1),"Low",B554&lt;=_xlfn.QUARTILE.INC($U$2:$U$633,2),"Medium",TRUE,"High")</f>
        <v>High</v>
      </c>
      <c r="R554" t="s">
        <v>1284</v>
      </c>
      <c r="S554" s="4">
        <v>1171.17</v>
      </c>
      <c r="T554">
        <v>2030.64</v>
      </c>
      <c r="U554">
        <v>2030.64</v>
      </c>
      <c r="V554" s="7">
        <v>0.157</v>
      </c>
      <c r="W554" s="7">
        <v>0.157</v>
      </c>
      <c r="X554" s="7" t="str">
        <f t="shared" si="34"/>
        <v>okay</v>
      </c>
      <c r="Y554" s="9">
        <v>11</v>
      </c>
      <c r="Z554">
        <v>18830.12472</v>
      </c>
      <c r="AA554">
        <v>12882.87</v>
      </c>
      <c r="AB554">
        <v>5947.254719999999</v>
      </c>
      <c r="AC554">
        <v>0.31583724528830415</v>
      </c>
    </row>
    <row r="555" spans="1:29" x14ac:dyDescent="0.3">
      <c r="A555" t="s">
        <v>567</v>
      </c>
      <c r="B555" s="3">
        <v>45704</v>
      </c>
      <c r="C555" s="3" t="str">
        <v>Feb-2025</v>
      </c>
      <c r="D555" s="11" t="str">
        <f t="shared" si="32"/>
        <v>Q1-2025</v>
      </c>
      <c r="E555" s="3">
        <v>45733</v>
      </c>
      <c r="F555" s="3">
        <v>45704</v>
      </c>
      <c r="G555" s="4">
        <f t="shared" si="33"/>
        <v>29</v>
      </c>
      <c r="H555" s="4" t="str">
        <v>delayed</v>
      </c>
      <c r="I555" s="4">
        <f t="shared" si="35"/>
        <v>0</v>
      </c>
      <c r="J555" t="s">
        <v>649</v>
      </c>
      <c r="K555" t="s">
        <v>656</v>
      </c>
      <c r="L555" t="s">
        <v>684</v>
      </c>
      <c r="M555" t="s">
        <v>704</v>
      </c>
      <c r="N555" t="s">
        <v>707</v>
      </c>
      <c r="O555" t="s">
        <v>716</v>
      </c>
      <c r="P555" t="s">
        <v>733</v>
      </c>
      <c r="Q555" t="str" cm="1">
        <f t="array" ref="Q555">_xlfn.IFS(U555&lt;=_xlfn.QUARTILE.INC($U$2:$U1186,1),"Low",B555&lt;=_xlfn.QUARTILE.INC($U$2:$U$633,2),"Medium",TRUE,"High")</f>
        <v>High</v>
      </c>
      <c r="R555" t="s">
        <v>1285</v>
      </c>
      <c r="S555" s="4">
        <v>730.42</v>
      </c>
      <c r="T555">
        <v>956.7</v>
      </c>
      <c r="U555">
        <v>956.7</v>
      </c>
      <c r="V555" s="7">
        <v>4.2000000000000003E-2</v>
      </c>
      <c r="W555" s="7">
        <v>4.2000000000000003E-2</v>
      </c>
      <c r="X555" s="7" t="str">
        <f t="shared" si="34"/>
        <v>okay</v>
      </c>
      <c r="Y555" s="9">
        <v>22</v>
      </c>
      <c r="Z555">
        <v>20163.409200000002</v>
      </c>
      <c r="AA555">
        <v>16069.24</v>
      </c>
      <c r="AB555">
        <v>4094.1692000000021</v>
      </c>
      <c r="AC555">
        <v>0.20304945256975698</v>
      </c>
    </row>
    <row r="556" spans="1:29" x14ac:dyDescent="0.3">
      <c r="A556" t="s">
        <v>568</v>
      </c>
      <c r="B556" s="3">
        <v>45703</v>
      </c>
      <c r="C556" s="3" t="str">
        <v>Feb-2025</v>
      </c>
      <c r="D556" s="11" t="str">
        <f t="shared" si="32"/>
        <v>Q1-2025</v>
      </c>
      <c r="E556" s="3">
        <v>45717</v>
      </c>
      <c r="F556" s="3">
        <v>45703</v>
      </c>
      <c r="G556" s="4">
        <f t="shared" si="33"/>
        <v>14</v>
      </c>
      <c r="H556" s="4" t="str">
        <v>delayed</v>
      </c>
      <c r="I556" s="4">
        <f t="shared" si="35"/>
        <v>0</v>
      </c>
      <c r="J556" t="s">
        <v>646</v>
      </c>
      <c r="K556" t="s">
        <v>650</v>
      </c>
      <c r="L556" t="s">
        <v>675</v>
      </c>
      <c r="M556" t="s">
        <v>702</v>
      </c>
      <c r="N556" t="s">
        <v>711</v>
      </c>
      <c r="O556" t="s">
        <v>716</v>
      </c>
      <c r="P556" t="s">
        <v>733</v>
      </c>
      <c r="Q556" t="str" cm="1">
        <f t="array" ref="Q556">_xlfn.IFS(U556&lt;=_xlfn.QUARTILE.INC($U$2:$U1187,1),"Low",B556&lt;=_xlfn.QUARTILE.INC($U$2:$U$633,2),"Medium",TRUE,"High")</f>
        <v>High</v>
      </c>
      <c r="R556" t="s">
        <v>1286</v>
      </c>
      <c r="S556" s="4">
        <v>1162.8599999999999</v>
      </c>
      <c r="T556">
        <v>1447.68</v>
      </c>
      <c r="U556">
        <v>1447.68</v>
      </c>
      <c r="V556" s="7">
        <v>8.6999999999999994E-2</v>
      </c>
      <c r="W556" s="7">
        <v>8.6999999999999994E-2</v>
      </c>
      <c r="X556" s="7" t="str">
        <f t="shared" si="34"/>
        <v>okay</v>
      </c>
      <c r="Y556" s="9">
        <v>12</v>
      </c>
      <c r="Z556">
        <v>15860.782080000001</v>
      </c>
      <c r="AA556">
        <v>13954.32</v>
      </c>
      <c r="AB556">
        <v>1906.4620800000012</v>
      </c>
      <c r="AC556">
        <v>0.12019975247021369</v>
      </c>
    </row>
    <row r="557" spans="1:29" x14ac:dyDescent="0.3">
      <c r="A557" t="s">
        <v>569</v>
      </c>
      <c r="B557" s="3">
        <v>45535</v>
      </c>
      <c r="C557" s="3" t="str">
        <v>Aug-2024</v>
      </c>
      <c r="D557" s="11" t="str">
        <f t="shared" si="32"/>
        <v>Q3-2024</v>
      </c>
      <c r="E557" s="3">
        <v>45561</v>
      </c>
      <c r="F557" s="3">
        <v>45535</v>
      </c>
      <c r="G557" s="4">
        <f t="shared" si="33"/>
        <v>26</v>
      </c>
      <c r="H557" s="4" t="str">
        <v>delayed</v>
      </c>
      <c r="I557" s="4">
        <f t="shared" si="35"/>
        <v>0</v>
      </c>
      <c r="J557" t="s">
        <v>647</v>
      </c>
      <c r="K557" t="s">
        <v>652</v>
      </c>
      <c r="L557" t="s">
        <v>689</v>
      </c>
      <c r="M557" t="s">
        <v>702</v>
      </c>
      <c r="N557" t="s">
        <v>708</v>
      </c>
      <c r="O557" t="s">
        <v>714</v>
      </c>
      <c r="P557" t="s">
        <v>730</v>
      </c>
      <c r="Q557" t="str" cm="1">
        <f t="array" ref="Q557">_xlfn.IFS(U557&lt;=_xlfn.QUARTILE.INC($U$2:$U1188,1),"Low",B557&lt;=_xlfn.QUARTILE.INC($U$2:$U$633,2),"Medium",TRUE,"High")</f>
        <v>High</v>
      </c>
      <c r="R557" t="s">
        <v>1287</v>
      </c>
      <c r="S557" s="4">
        <v>1189.03</v>
      </c>
      <c r="T557">
        <v>2949.62</v>
      </c>
      <c r="U557">
        <v>2949.62</v>
      </c>
      <c r="V557" s="7">
        <v>0.125</v>
      </c>
      <c r="W557" s="7">
        <v>0.125</v>
      </c>
      <c r="X557" s="7" t="str">
        <f t="shared" si="34"/>
        <v>okay</v>
      </c>
      <c r="Y557" s="9">
        <v>13</v>
      </c>
      <c r="Z557">
        <v>33551.927499999998</v>
      </c>
      <c r="AA557">
        <v>15457.39</v>
      </c>
      <c r="AB557">
        <v>18094.537499999999</v>
      </c>
      <c r="AC557">
        <v>0.53929949330034765</v>
      </c>
    </row>
    <row r="558" spans="1:29" x14ac:dyDescent="0.3">
      <c r="A558" t="s">
        <v>570</v>
      </c>
      <c r="B558" s="3">
        <v>45053</v>
      </c>
      <c r="C558" s="3" t="str">
        <v>May-2023</v>
      </c>
      <c r="D558" s="11" t="str">
        <f t="shared" si="32"/>
        <v>Q2-2023</v>
      </c>
      <c r="E558" s="3">
        <v>45066</v>
      </c>
      <c r="F558" s="3">
        <v>45053</v>
      </c>
      <c r="G558" s="4">
        <f t="shared" si="33"/>
        <v>13</v>
      </c>
      <c r="H558" s="4" t="str">
        <v>delayed</v>
      </c>
      <c r="I558" s="4">
        <f t="shared" si="35"/>
        <v>0</v>
      </c>
      <c r="J558" t="s">
        <v>647</v>
      </c>
      <c r="K558" t="s">
        <v>654</v>
      </c>
      <c r="L558" t="s">
        <v>691</v>
      </c>
      <c r="M558" t="s">
        <v>706</v>
      </c>
      <c r="N558" t="s">
        <v>707</v>
      </c>
      <c r="O558" t="s">
        <v>726</v>
      </c>
      <c r="P558" t="s">
        <v>733</v>
      </c>
      <c r="Q558" t="str" cm="1">
        <f t="array" ref="Q558">_xlfn.IFS(U558&lt;=_xlfn.QUARTILE.INC($U$2:$U1189,1),"Low",B558&lt;=_xlfn.QUARTILE.INC($U$2:$U$633,2),"Medium",TRUE,"High")</f>
        <v>High</v>
      </c>
      <c r="R558" t="s">
        <v>1288</v>
      </c>
      <c r="S558" s="4">
        <v>1443.28</v>
      </c>
      <c r="T558">
        <v>2580.5700000000002</v>
      </c>
      <c r="U558">
        <v>2580.5700000000002</v>
      </c>
      <c r="V558" s="7">
        <v>0</v>
      </c>
      <c r="W558" s="7">
        <v>0</v>
      </c>
      <c r="X558" s="7" t="str">
        <f t="shared" si="34"/>
        <v>okay</v>
      </c>
      <c r="Y558" s="9">
        <v>18</v>
      </c>
      <c r="Z558">
        <v>46450.26</v>
      </c>
      <c r="AA558">
        <v>25979.040000000001</v>
      </c>
      <c r="AB558">
        <v>20471.22</v>
      </c>
      <c r="AC558">
        <v>0.4407127107577008</v>
      </c>
    </row>
    <row r="559" spans="1:29" x14ac:dyDescent="0.3">
      <c r="A559" t="s">
        <v>571</v>
      </c>
      <c r="B559" s="3">
        <v>45791</v>
      </c>
      <c r="C559" s="3" t="str">
        <v>May-2025</v>
      </c>
      <c r="D559" s="11" t="str">
        <f t="shared" si="32"/>
        <v>Q2-2025</v>
      </c>
      <c r="E559" s="3">
        <v>45789</v>
      </c>
      <c r="F559" s="3">
        <v>45798</v>
      </c>
      <c r="G559" s="4">
        <f t="shared" si="33"/>
        <v>-9</v>
      </c>
      <c r="H559" s="4" t="str">
        <v>ontime</v>
      </c>
      <c r="I559" s="4">
        <f t="shared" si="35"/>
        <v>1</v>
      </c>
      <c r="J559" t="s">
        <v>648</v>
      </c>
      <c r="K559" t="s">
        <v>653</v>
      </c>
      <c r="L559" t="s">
        <v>688</v>
      </c>
      <c r="M559" t="s">
        <v>703</v>
      </c>
      <c r="N559" t="s">
        <v>710</v>
      </c>
      <c r="O559" t="s">
        <v>721</v>
      </c>
      <c r="P559" t="s">
        <v>728</v>
      </c>
      <c r="Q559" t="str" cm="1">
        <f t="array" ref="Q559">_xlfn.IFS(U559&lt;=_xlfn.QUARTILE.INC($U$2:$U1190,1),"Low",B559&lt;=_xlfn.QUARTILE.INC($U$2:$U$633,2),"Medium",TRUE,"High")</f>
        <v>High</v>
      </c>
      <c r="R559" t="s">
        <v>1289</v>
      </c>
      <c r="S559" s="4">
        <v>883.5</v>
      </c>
      <c r="T559">
        <v>1978.91</v>
      </c>
      <c r="U559">
        <v>1978.91</v>
      </c>
      <c r="V559" s="7">
        <v>5.3999999999999999E-2</v>
      </c>
      <c r="W559" s="7">
        <v>5.3999999999999999E-2</v>
      </c>
      <c r="X559" s="7" t="str">
        <f t="shared" si="34"/>
        <v>okay</v>
      </c>
      <c r="Y559" s="9">
        <v>27</v>
      </c>
      <c r="Z559">
        <v>50545.319219999998</v>
      </c>
      <c r="AA559">
        <v>23854.5</v>
      </c>
      <c r="AB559">
        <v>26690.819219999998</v>
      </c>
      <c r="AC559">
        <v>0.52805718970390547</v>
      </c>
    </row>
    <row r="560" spans="1:29" x14ac:dyDescent="0.3">
      <c r="A560" t="s">
        <v>572</v>
      </c>
      <c r="B560" s="3">
        <v>45362</v>
      </c>
      <c r="C560" s="3" t="str">
        <v>Mar-2024</v>
      </c>
      <c r="D560" s="11" t="str">
        <f t="shared" si="32"/>
        <v>Q1-2024</v>
      </c>
      <c r="E560" s="3">
        <v>45380</v>
      </c>
      <c r="F560" s="3">
        <v>45362</v>
      </c>
      <c r="G560" s="4">
        <f t="shared" si="33"/>
        <v>18</v>
      </c>
      <c r="H560" s="4" t="str">
        <v>delayed</v>
      </c>
      <c r="I560" s="4">
        <f t="shared" si="35"/>
        <v>0</v>
      </c>
      <c r="J560" t="s">
        <v>648</v>
      </c>
      <c r="K560" t="s">
        <v>660</v>
      </c>
      <c r="L560" t="s">
        <v>700</v>
      </c>
      <c r="M560" t="s">
        <v>701</v>
      </c>
      <c r="N560" t="s">
        <v>707</v>
      </c>
      <c r="O560" t="s">
        <v>724</v>
      </c>
      <c r="P560" t="s">
        <v>732</v>
      </c>
      <c r="Q560" t="str" cm="1">
        <f t="array" ref="Q560">_xlfn.IFS(U560&lt;=_xlfn.QUARTILE.INC($U$2:$U1191,1),"Low",B560&lt;=_xlfn.QUARTILE.INC($U$2:$U$633,2),"Medium",TRUE,"High")</f>
        <v>High</v>
      </c>
      <c r="R560" t="s">
        <v>1290</v>
      </c>
      <c r="S560" s="4">
        <v>710.98</v>
      </c>
      <c r="T560">
        <v>1481.45</v>
      </c>
      <c r="U560">
        <v>1481.45</v>
      </c>
      <c r="V560" s="7">
        <v>0.21099999999999999</v>
      </c>
      <c r="W560" s="7">
        <v>0.21099999999999999</v>
      </c>
      <c r="X560" s="7" t="str">
        <f t="shared" si="34"/>
        <v>High discount</v>
      </c>
      <c r="Y560" s="9">
        <v>9</v>
      </c>
      <c r="Z560">
        <v>10519.776450000001</v>
      </c>
      <c r="AA560">
        <v>6398.82</v>
      </c>
      <c r="AB560">
        <v>4120.9564500000015</v>
      </c>
      <c r="AC560">
        <v>0.39173422264120461</v>
      </c>
    </row>
    <row r="561" spans="1:29" x14ac:dyDescent="0.3">
      <c r="A561" t="s">
        <v>573</v>
      </c>
      <c r="B561" s="3">
        <v>45430</v>
      </c>
      <c r="C561" s="3" t="str">
        <v>May-2024</v>
      </c>
      <c r="D561" s="11" t="str">
        <f t="shared" si="32"/>
        <v>Q2-2024</v>
      </c>
      <c r="E561" s="3">
        <v>45434</v>
      </c>
      <c r="F561" s="3">
        <v>45430</v>
      </c>
      <c r="G561" s="4">
        <f t="shared" si="33"/>
        <v>4</v>
      </c>
      <c r="H561" s="4" t="str">
        <v>ontime</v>
      </c>
      <c r="I561" s="4">
        <f t="shared" si="35"/>
        <v>1</v>
      </c>
      <c r="J561" t="s">
        <v>646</v>
      </c>
      <c r="K561" t="s">
        <v>650</v>
      </c>
      <c r="L561" t="s">
        <v>664</v>
      </c>
      <c r="M561" t="s">
        <v>701</v>
      </c>
      <c r="N561" t="s">
        <v>711</v>
      </c>
      <c r="O561" t="s">
        <v>722</v>
      </c>
      <c r="P561" t="s">
        <v>733</v>
      </c>
      <c r="Q561" t="str" cm="1">
        <f t="array" ref="Q561">_xlfn.IFS(U561&lt;=_xlfn.QUARTILE.INC($U$2:$U1192,1),"Low",B561&lt;=_xlfn.QUARTILE.INC($U$2:$U$633,2),"Medium",TRUE,"High")</f>
        <v>High</v>
      </c>
      <c r="R561" t="s">
        <v>1291</v>
      </c>
      <c r="S561" s="4">
        <v>857.42</v>
      </c>
      <c r="T561">
        <v>1658.92</v>
      </c>
      <c r="U561">
        <v>1658.92</v>
      </c>
      <c r="V561" s="7">
        <v>0.122</v>
      </c>
      <c r="W561" s="7">
        <v>0.122</v>
      </c>
      <c r="X561" s="7" t="str">
        <f t="shared" si="34"/>
        <v>okay</v>
      </c>
      <c r="Y561" s="9">
        <v>9</v>
      </c>
      <c r="Z561">
        <v>13108.78584</v>
      </c>
      <c r="AA561">
        <v>7716.78</v>
      </c>
      <c r="AB561">
        <v>5392.0058400000007</v>
      </c>
      <c r="AC561">
        <v>0.41132763215544305</v>
      </c>
    </row>
    <row r="562" spans="1:29" x14ac:dyDescent="0.3">
      <c r="A562" t="s">
        <v>574</v>
      </c>
      <c r="B562" s="3">
        <v>45299</v>
      </c>
      <c r="C562" s="3" t="str">
        <v>Jan-2024</v>
      </c>
      <c r="D562" s="11" t="str">
        <f t="shared" si="32"/>
        <v>Q1-2024</v>
      </c>
      <c r="E562" s="3">
        <v>45303</v>
      </c>
      <c r="F562" s="3">
        <v>45299</v>
      </c>
      <c r="G562" s="4">
        <f t="shared" si="33"/>
        <v>4</v>
      </c>
      <c r="H562" s="4" t="str">
        <v>ontime</v>
      </c>
      <c r="I562" s="4">
        <f t="shared" si="35"/>
        <v>1</v>
      </c>
      <c r="J562" t="s">
        <v>647</v>
      </c>
      <c r="K562" t="s">
        <v>654</v>
      </c>
      <c r="L562" t="s">
        <v>668</v>
      </c>
      <c r="M562" t="s">
        <v>701</v>
      </c>
      <c r="N562" t="s">
        <v>711</v>
      </c>
      <c r="O562" t="s">
        <v>718</v>
      </c>
      <c r="P562" t="s">
        <v>728</v>
      </c>
      <c r="Q562" t="str" cm="1">
        <f t="array" ref="Q562">_xlfn.IFS(U562&lt;=_xlfn.QUARTILE.INC($U$2:$U1193,1),"Low",B562&lt;=_xlfn.QUARTILE.INC($U$2:$U$633,2),"Medium",TRUE,"High")</f>
        <v>Low</v>
      </c>
      <c r="R562" t="s">
        <v>1292</v>
      </c>
      <c r="S562" s="4">
        <v>802.32</v>
      </c>
      <c r="T562">
        <v>602.34</v>
      </c>
      <c r="U562">
        <v>602.34</v>
      </c>
      <c r="V562" s="7">
        <v>0.12</v>
      </c>
      <c r="W562" s="7">
        <v>0.12</v>
      </c>
      <c r="X562" s="7" t="str">
        <f t="shared" si="34"/>
        <v>okay</v>
      </c>
      <c r="Y562" s="9">
        <v>25</v>
      </c>
      <c r="Z562">
        <v>13251.48</v>
      </c>
      <c r="AA562">
        <v>20058</v>
      </c>
      <c r="AB562">
        <v>-6806.52</v>
      </c>
      <c r="AC562">
        <v>-0.51364224977134632</v>
      </c>
    </row>
    <row r="563" spans="1:29" x14ac:dyDescent="0.3">
      <c r="A563" t="s">
        <v>575</v>
      </c>
      <c r="B563" s="3">
        <v>45590</v>
      </c>
      <c r="C563" s="3" t="str">
        <v>Oct-2024</v>
      </c>
      <c r="D563" s="11" t="str">
        <f t="shared" si="32"/>
        <v>Q4-2024</v>
      </c>
      <c r="E563" s="3">
        <v>45601</v>
      </c>
      <c r="F563" s="3">
        <v>45590</v>
      </c>
      <c r="G563" s="4">
        <f t="shared" si="33"/>
        <v>11</v>
      </c>
      <c r="H563" s="4" t="str">
        <v>delayed</v>
      </c>
      <c r="I563" s="4">
        <f t="shared" si="35"/>
        <v>0</v>
      </c>
      <c r="J563" t="s">
        <v>648</v>
      </c>
      <c r="K563" t="s">
        <v>660</v>
      </c>
      <c r="L563" t="s">
        <v>700</v>
      </c>
      <c r="M563" t="s">
        <v>701</v>
      </c>
      <c r="N563" t="s">
        <v>710</v>
      </c>
      <c r="O563" t="s">
        <v>725</v>
      </c>
      <c r="P563" t="s">
        <v>727</v>
      </c>
      <c r="Q563" t="str" cm="1">
        <f t="array" ref="Q563">_xlfn.IFS(U563&lt;=_xlfn.QUARTILE.INC($U$2:$U1194,1),"Low",B563&lt;=_xlfn.QUARTILE.INC($U$2:$U$633,2),"Medium",TRUE,"High")</f>
        <v>Low</v>
      </c>
      <c r="R563" t="s">
        <v>1293</v>
      </c>
      <c r="S563" s="4">
        <v>446.66</v>
      </c>
      <c r="T563">
        <v>527.64</v>
      </c>
      <c r="U563">
        <v>527.64</v>
      </c>
      <c r="V563" s="7">
        <v>0.14499999999999999</v>
      </c>
      <c r="W563" s="7">
        <v>0.14499999999999999</v>
      </c>
      <c r="X563" s="7" t="str">
        <f t="shared" si="34"/>
        <v>okay</v>
      </c>
      <c r="Y563" s="9">
        <v>15</v>
      </c>
      <c r="Z563">
        <v>6766.9829999999993</v>
      </c>
      <c r="AA563">
        <v>6699.9000000000005</v>
      </c>
      <c r="AB563">
        <v>67.082999999998719</v>
      </c>
      <c r="AC563">
        <v>9.9132804087137105E-3</v>
      </c>
    </row>
    <row r="564" spans="1:29" x14ac:dyDescent="0.3">
      <c r="A564" t="s">
        <v>576</v>
      </c>
      <c r="B564" s="3">
        <v>45626</v>
      </c>
      <c r="C564" s="3" t="str">
        <v>Nov-2024</v>
      </c>
      <c r="D564" s="11" t="str">
        <f t="shared" si="32"/>
        <v>Q4-2024</v>
      </c>
      <c r="E564" s="3">
        <v>45645</v>
      </c>
      <c r="F564" s="3">
        <v>45626</v>
      </c>
      <c r="G564" s="4">
        <f t="shared" si="33"/>
        <v>19</v>
      </c>
      <c r="H564" s="4" t="str">
        <v>delayed</v>
      </c>
      <c r="I564" s="4">
        <f t="shared" si="35"/>
        <v>0</v>
      </c>
      <c r="J564" t="s">
        <v>646</v>
      </c>
      <c r="K564" t="s">
        <v>650</v>
      </c>
      <c r="L564" t="s">
        <v>662</v>
      </c>
      <c r="M564" t="s">
        <v>701</v>
      </c>
      <c r="N564" t="s">
        <v>708</v>
      </c>
      <c r="O564" t="s">
        <v>716</v>
      </c>
      <c r="P564" t="s">
        <v>730</v>
      </c>
      <c r="Q564" t="str" cm="1">
        <f t="array" ref="Q564">_xlfn.IFS(U564&lt;=_xlfn.QUARTILE.INC($U$2:$U1195,1),"Low",B564&lt;=_xlfn.QUARTILE.INC($U$2:$U$633,2),"Medium",TRUE,"High")</f>
        <v>High</v>
      </c>
      <c r="R564" t="s">
        <v>1294</v>
      </c>
      <c r="S564" s="4">
        <v>1195.98</v>
      </c>
      <c r="T564">
        <v>1841.9</v>
      </c>
      <c r="U564">
        <v>1841.9</v>
      </c>
      <c r="V564" s="7">
        <v>5.5E-2</v>
      </c>
      <c r="W564" s="7">
        <v>5.5E-2</v>
      </c>
      <c r="X564" s="7" t="str">
        <f t="shared" si="34"/>
        <v>okay</v>
      </c>
      <c r="Y564" s="9">
        <v>19</v>
      </c>
      <c r="Z564">
        <v>33071.3145</v>
      </c>
      <c r="AA564">
        <v>22723.62</v>
      </c>
      <c r="AB564">
        <v>10347.694500000001</v>
      </c>
      <c r="AC564">
        <v>0.31289032977506842</v>
      </c>
    </row>
    <row r="565" spans="1:29" x14ac:dyDescent="0.3">
      <c r="A565" t="s">
        <v>577</v>
      </c>
      <c r="B565" s="3">
        <v>45029</v>
      </c>
      <c r="C565" s="3" t="str">
        <v>Apr-2023</v>
      </c>
      <c r="D565" s="11" t="str">
        <f t="shared" si="32"/>
        <v>Q2-2023</v>
      </c>
      <c r="E565" s="3">
        <v>45048</v>
      </c>
      <c r="F565" s="3">
        <v>45029</v>
      </c>
      <c r="G565" s="4">
        <f t="shared" si="33"/>
        <v>19</v>
      </c>
      <c r="H565" s="4" t="str">
        <v>delayed</v>
      </c>
      <c r="I565" s="4">
        <f t="shared" si="35"/>
        <v>0</v>
      </c>
      <c r="J565" t="s">
        <v>648</v>
      </c>
      <c r="K565" t="s">
        <v>653</v>
      </c>
      <c r="L565" t="s">
        <v>681</v>
      </c>
      <c r="M565" t="s">
        <v>704</v>
      </c>
      <c r="N565" t="s">
        <v>710</v>
      </c>
      <c r="O565" t="s">
        <v>718</v>
      </c>
      <c r="P565" t="s">
        <v>732</v>
      </c>
      <c r="Q565" t="str" cm="1">
        <f t="array" ref="Q565">_xlfn.IFS(U565&lt;=_xlfn.QUARTILE.INC($U$2:$U1196,1),"Low",B565&lt;=_xlfn.QUARTILE.INC($U$2:$U$633,2),"Medium",TRUE,"High")</f>
        <v>High</v>
      </c>
      <c r="R565" t="s">
        <v>1295</v>
      </c>
      <c r="S565" s="4">
        <v>671.05</v>
      </c>
      <c r="T565">
        <v>1645.48</v>
      </c>
      <c r="U565">
        <v>1645.48</v>
      </c>
      <c r="V565" s="7">
        <v>0.13700000000000001</v>
      </c>
      <c r="W565" s="7">
        <v>0.13700000000000001</v>
      </c>
      <c r="X565" s="7" t="str">
        <f t="shared" si="34"/>
        <v>okay</v>
      </c>
      <c r="Y565" s="9">
        <v>6</v>
      </c>
      <c r="Z565">
        <v>8520.2954399999999</v>
      </c>
      <c r="AA565">
        <v>4026.2999999999997</v>
      </c>
      <c r="AB565">
        <v>4493.9954400000006</v>
      </c>
      <c r="AC565">
        <v>0.52744596377517172</v>
      </c>
    </row>
    <row r="566" spans="1:29" x14ac:dyDescent="0.3">
      <c r="A566" t="s">
        <v>578</v>
      </c>
      <c r="B566" s="3">
        <v>45692</v>
      </c>
      <c r="C566" s="3" t="str">
        <v>Feb-2025</v>
      </c>
      <c r="D566" s="11" t="str">
        <f t="shared" si="32"/>
        <v>Q1-2025</v>
      </c>
      <c r="E566" s="3">
        <v>45696</v>
      </c>
      <c r="F566" s="3">
        <v>45692</v>
      </c>
      <c r="G566" s="4">
        <f t="shared" si="33"/>
        <v>4</v>
      </c>
      <c r="H566" s="4" t="str">
        <v>ontime</v>
      </c>
      <c r="I566" s="4">
        <f t="shared" si="35"/>
        <v>1</v>
      </c>
      <c r="J566" t="s">
        <v>649</v>
      </c>
      <c r="K566" t="s">
        <v>658</v>
      </c>
      <c r="L566" t="s">
        <v>693</v>
      </c>
      <c r="M566" t="s">
        <v>706</v>
      </c>
      <c r="N566" t="s">
        <v>709</v>
      </c>
      <c r="O566" t="s">
        <v>716</v>
      </c>
      <c r="P566" t="s">
        <v>729</v>
      </c>
      <c r="Q566" t="str" cm="1">
        <f t="array" ref="Q566">_xlfn.IFS(U566&lt;=_xlfn.QUARTILE.INC($U$2:$U1197,1),"Low",B566&lt;=_xlfn.QUARTILE.INC($U$2:$U$633,2),"Medium",TRUE,"High")</f>
        <v>High</v>
      </c>
      <c r="R566" t="s">
        <v>1296</v>
      </c>
      <c r="S566" s="4">
        <v>586.21</v>
      </c>
      <c r="T566">
        <v>727.22</v>
      </c>
      <c r="U566">
        <v>727.22</v>
      </c>
      <c r="V566" s="7">
        <v>6.8000000000000005E-2</v>
      </c>
      <c r="W566" s="7">
        <v>6.8000000000000005E-2</v>
      </c>
      <c r="X566" s="7" t="str">
        <f t="shared" si="34"/>
        <v>okay</v>
      </c>
      <c r="Y566" s="9">
        <v>15</v>
      </c>
      <c r="Z566">
        <v>10166.535600000001</v>
      </c>
      <c r="AA566">
        <v>8793.1500000000015</v>
      </c>
      <c r="AB566">
        <v>1373.3855999999996</v>
      </c>
      <c r="AC566">
        <v>0.13508884973559721</v>
      </c>
    </row>
    <row r="567" spans="1:29" x14ac:dyDescent="0.3">
      <c r="A567" t="s">
        <v>579</v>
      </c>
      <c r="B567" s="3">
        <v>45315</v>
      </c>
      <c r="C567" s="3" t="str">
        <v>Jan-2024</v>
      </c>
      <c r="D567" s="11" t="str">
        <f t="shared" si="32"/>
        <v>Q1-2024</v>
      </c>
      <c r="E567" s="3">
        <v>45326</v>
      </c>
      <c r="F567" s="3">
        <v>45315</v>
      </c>
      <c r="G567" s="4">
        <f t="shared" si="33"/>
        <v>11</v>
      </c>
      <c r="H567" s="4" t="str">
        <v>delayed</v>
      </c>
      <c r="I567" s="4">
        <f t="shared" si="35"/>
        <v>0</v>
      </c>
      <c r="J567" t="s">
        <v>649</v>
      </c>
      <c r="K567" t="s">
        <v>658</v>
      </c>
      <c r="L567" t="s">
        <v>693</v>
      </c>
      <c r="M567" t="s">
        <v>704</v>
      </c>
      <c r="N567" t="s">
        <v>707</v>
      </c>
      <c r="O567" t="s">
        <v>717</v>
      </c>
      <c r="P567" t="s">
        <v>731</v>
      </c>
      <c r="Q567" t="str" cm="1">
        <f t="array" ref="Q567">_xlfn.IFS(U567&lt;=_xlfn.QUARTILE.INC($U$2:$U1198,1),"Low",B567&lt;=_xlfn.QUARTILE.INC($U$2:$U$633,2),"Medium",TRUE,"High")</f>
        <v>High</v>
      </c>
      <c r="R567" t="s">
        <v>1297</v>
      </c>
      <c r="S567" s="4">
        <v>525.34</v>
      </c>
      <c r="T567">
        <v>1233.79</v>
      </c>
      <c r="U567">
        <v>1233.79</v>
      </c>
      <c r="V567" s="7">
        <v>0.14299999999999999</v>
      </c>
      <c r="W567" s="7">
        <v>0.14299999999999999</v>
      </c>
      <c r="X567" s="7" t="str">
        <f t="shared" si="34"/>
        <v>okay</v>
      </c>
      <c r="Y567" s="9">
        <v>4</v>
      </c>
      <c r="Z567">
        <v>4229.4321199999995</v>
      </c>
      <c r="AA567">
        <v>2101.36</v>
      </c>
      <c r="AB567">
        <v>2128.0721199999994</v>
      </c>
      <c r="AC567">
        <v>0.50315788494082736</v>
      </c>
    </row>
    <row r="568" spans="1:29" x14ac:dyDescent="0.3">
      <c r="A568" t="s">
        <v>580</v>
      </c>
      <c r="B568" s="3">
        <v>45330</v>
      </c>
      <c r="C568" s="3" t="str">
        <v>Feb-2024</v>
      </c>
      <c r="D568" s="11" t="str">
        <f t="shared" si="32"/>
        <v>Q1-2024</v>
      </c>
      <c r="E568" s="3">
        <v>45331</v>
      </c>
      <c r="F568" s="3">
        <v>45330</v>
      </c>
      <c r="G568" s="4">
        <f t="shared" si="33"/>
        <v>1</v>
      </c>
      <c r="H568" s="4" t="str">
        <v>ontime</v>
      </c>
      <c r="I568" s="4">
        <f t="shared" si="35"/>
        <v>1</v>
      </c>
      <c r="J568" t="s">
        <v>646</v>
      </c>
      <c r="K568" t="s">
        <v>650</v>
      </c>
      <c r="L568" t="s">
        <v>675</v>
      </c>
      <c r="M568" t="s">
        <v>701</v>
      </c>
      <c r="N568" t="s">
        <v>711</v>
      </c>
      <c r="O568" t="s">
        <v>721</v>
      </c>
      <c r="P568" t="s">
        <v>727</v>
      </c>
      <c r="Q568" t="str" cm="1">
        <f t="array" ref="Q568">_xlfn.IFS(U568&lt;=_xlfn.QUARTILE.INC($U$2:$U1199,1),"Low",B568&lt;=_xlfn.QUARTILE.INC($U$2:$U$633,2),"Medium",TRUE,"High")</f>
        <v>High</v>
      </c>
      <c r="R568" t="s">
        <v>1298</v>
      </c>
      <c r="S568" s="4">
        <v>1233.52</v>
      </c>
      <c r="T568">
        <v>1543.76</v>
      </c>
      <c r="U568">
        <v>1543.76</v>
      </c>
      <c r="V568" s="7">
        <v>0.126</v>
      </c>
      <c r="W568" s="7">
        <v>0.126</v>
      </c>
      <c r="X568" s="7" t="str">
        <f t="shared" si="34"/>
        <v>okay</v>
      </c>
      <c r="Y568" s="9">
        <v>13</v>
      </c>
      <c r="Z568">
        <v>17540.201120000002</v>
      </c>
      <c r="AA568">
        <v>16035.76</v>
      </c>
      <c r="AB568">
        <v>1504.4411200000013</v>
      </c>
      <c r="AC568">
        <v>8.5771030201277493E-2</v>
      </c>
    </row>
    <row r="569" spans="1:29" x14ac:dyDescent="0.3">
      <c r="A569" t="s">
        <v>581</v>
      </c>
      <c r="B569" s="3">
        <v>45834</v>
      </c>
      <c r="C569" s="3" t="str">
        <v>Jun-2025</v>
      </c>
      <c r="D569" s="11" t="str">
        <f t="shared" si="32"/>
        <v>Q2-2025</v>
      </c>
      <c r="E569" s="3">
        <v>45849</v>
      </c>
      <c r="F569" s="3">
        <v>45834</v>
      </c>
      <c r="G569" s="4">
        <f t="shared" si="33"/>
        <v>15</v>
      </c>
      <c r="H569" s="4" t="str">
        <v>delayed</v>
      </c>
      <c r="I569" s="4">
        <f t="shared" si="35"/>
        <v>0</v>
      </c>
      <c r="J569" t="s">
        <v>646</v>
      </c>
      <c r="K569" t="s">
        <v>651</v>
      </c>
      <c r="L569" t="s">
        <v>663</v>
      </c>
      <c r="M569" t="s">
        <v>705</v>
      </c>
      <c r="N569" t="s">
        <v>708</v>
      </c>
      <c r="O569" t="s">
        <v>720</v>
      </c>
      <c r="P569" t="s">
        <v>731</v>
      </c>
      <c r="Q569" t="str" cm="1">
        <f t="array" ref="Q569">_xlfn.IFS(U569&lt;=_xlfn.QUARTILE.INC($U$2:$U1200,1),"Low",B569&lt;=_xlfn.QUARTILE.INC($U$2:$U$633,2),"Medium",TRUE,"High")</f>
        <v>High</v>
      </c>
      <c r="R569" t="s">
        <v>1299</v>
      </c>
      <c r="S569" s="4">
        <v>1170.1500000000001</v>
      </c>
      <c r="T569">
        <v>2115.19</v>
      </c>
      <c r="U569">
        <v>2115.19</v>
      </c>
      <c r="V569" s="7">
        <v>9.1999999999999998E-2</v>
      </c>
      <c r="W569" s="7">
        <v>9.1999999999999998E-2</v>
      </c>
      <c r="X569" s="7" t="str">
        <f t="shared" si="34"/>
        <v>okay</v>
      </c>
      <c r="Y569" s="9">
        <v>23</v>
      </c>
      <c r="Z569">
        <v>44173.627960000005</v>
      </c>
      <c r="AA569">
        <v>26913.45</v>
      </c>
      <c r="AB569">
        <v>17260.177960000005</v>
      </c>
      <c r="AC569">
        <v>0.39073489674946776</v>
      </c>
    </row>
    <row r="570" spans="1:29" x14ac:dyDescent="0.3">
      <c r="A570" t="s">
        <v>582</v>
      </c>
      <c r="B570" s="3">
        <v>45600</v>
      </c>
      <c r="C570" s="3" t="str">
        <v>Nov-2024</v>
      </c>
      <c r="D570" s="11" t="str">
        <f t="shared" si="32"/>
        <v>Q4-2024</v>
      </c>
      <c r="E570" s="3">
        <v>45603</v>
      </c>
      <c r="F570" s="3">
        <v>45600</v>
      </c>
      <c r="G570" s="4">
        <f t="shared" si="33"/>
        <v>3</v>
      </c>
      <c r="H570" s="4" t="str">
        <v>ontime</v>
      </c>
      <c r="I570" s="4">
        <f t="shared" si="35"/>
        <v>1</v>
      </c>
      <c r="J570" t="s">
        <v>649</v>
      </c>
      <c r="K570" t="s">
        <v>657</v>
      </c>
      <c r="L570" t="s">
        <v>679</v>
      </c>
      <c r="M570" t="s">
        <v>701</v>
      </c>
      <c r="N570" t="s">
        <v>708</v>
      </c>
      <c r="O570" t="s">
        <v>719</v>
      </c>
      <c r="P570" t="s">
        <v>732</v>
      </c>
      <c r="Q570" t="str" cm="1">
        <f t="array" ref="Q570">_xlfn.IFS(U570&lt;=_xlfn.QUARTILE.INC($U$2:$U1201,1),"Low",B570&lt;=_xlfn.QUARTILE.INC($U$2:$U$633,2),"Medium",TRUE,"High")</f>
        <v>High</v>
      </c>
      <c r="R570" t="s">
        <v>1300</v>
      </c>
      <c r="S570" s="4">
        <v>740.68</v>
      </c>
      <c r="T570">
        <v>1837.19</v>
      </c>
      <c r="U570">
        <v>1837.19</v>
      </c>
      <c r="V570" s="7">
        <v>0.19700000000000001</v>
      </c>
      <c r="W570" s="7">
        <v>0.19700000000000001</v>
      </c>
      <c r="X570" s="7" t="str">
        <f t="shared" si="34"/>
        <v>okay</v>
      </c>
      <c r="Y570" s="9">
        <v>17</v>
      </c>
      <c r="Z570">
        <v>25079.480689999997</v>
      </c>
      <c r="AA570">
        <v>12591.56</v>
      </c>
      <c r="AB570">
        <v>12487.920689999997</v>
      </c>
      <c r="AC570">
        <v>0.4979337827748298</v>
      </c>
    </row>
    <row r="571" spans="1:29" x14ac:dyDescent="0.3">
      <c r="A571" t="s">
        <v>583</v>
      </c>
      <c r="B571" s="3">
        <v>45342</v>
      </c>
      <c r="C571" s="3" t="str">
        <v>Feb-2024</v>
      </c>
      <c r="D571" s="11" t="str">
        <f t="shared" si="32"/>
        <v>Q1-2024</v>
      </c>
      <c r="E571" s="3">
        <v>45342</v>
      </c>
      <c r="F571" s="3">
        <v>45342</v>
      </c>
      <c r="G571" s="4">
        <f t="shared" si="33"/>
        <v>0</v>
      </c>
      <c r="H571" s="4" t="str">
        <v>ontime</v>
      </c>
      <c r="I571" s="4">
        <f t="shared" si="35"/>
        <v>1</v>
      </c>
      <c r="J571" t="s">
        <v>648</v>
      </c>
      <c r="K571" t="s">
        <v>660</v>
      </c>
      <c r="L571" t="s">
        <v>700</v>
      </c>
      <c r="M571" t="s">
        <v>706</v>
      </c>
      <c r="N571" t="s">
        <v>708</v>
      </c>
      <c r="O571" t="s">
        <v>712</v>
      </c>
      <c r="P571" t="s">
        <v>729</v>
      </c>
      <c r="Q571" t="str" cm="1">
        <f t="array" ref="Q571">_xlfn.IFS(U571&lt;=_xlfn.QUARTILE.INC($U$2:$U1202,1),"Low",B571&lt;=_xlfn.QUARTILE.INC($U$2:$U$633,2),"Medium",TRUE,"High")</f>
        <v>High</v>
      </c>
      <c r="R571" t="s">
        <v>1301</v>
      </c>
      <c r="S571" s="4">
        <v>1407.05</v>
      </c>
      <c r="T571">
        <v>2858.93</v>
      </c>
      <c r="U571">
        <v>2858.93</v>
      </c>
      <c r="V571" s="7">
        <v>0</v>
      </c>
      <c r="W571" s="7">
        <v>0</v>
      </c>
      <c r="X571" s="7" t="str">
        <f t="shared" si="34"/>
        <v>okay</v>
      </c>
      <c r="Y571" s="9">
        <v>12</v>
      </c>
      <c r="Z571">
        <v>34307.159999999996</v>
      </c>
      <c r="AA571">
        <v>16884.599999999999</v>
      </c>
      <c r="AB571">
        <v>17422.559999999998</v>
      </c>
      <c r="AC571">
        <v>0.50784034586366222</v>
      </c>
    </row>
    <row r="572" spans="1:29" x14ac:dyDescent="0.3">
      <c r="A572" t="s">
        <v>584</v>
      </c>
      <c r="B572" s="3">
        <v>45760</v>
      </c>
      <c r="C572" s="3" t="str">
        <v>Apr-2025</v>
      </c>
      <c r="D572" s="11" t="str">
        <f t="shared" si="32"/>
        <v>Q2-2025</v>
      </c>
      <c r="E572" s="3">
        <v>45761</v>
      </c>
      <c r="F572" s="3">
        <v>45760</v>
      </c>
      <c r="G572" s="4">
        <f t="shared" si="33"/>
        <v>1</v>
      </c>
      <c r="H572" s="4" t="str">
        <v>ontime</v>
      </c>
      <c r="I572" s="4">
        <f t="shared" si="35"/>
        <v>1</v>
      </c>
      <c r="J572" t="s">
        <v>647</v>
      </c>
      <c r="K572" t="s">
        <v>652</v>
      </c>
      <c r="L572" t="s">
        <v>666</v>
      </c>
      <c r="M572" t="s">
        <v>706</v>
      </c>
      <c r="N572" t="s">
        <v>708</v>
      </c>
      <c r="O572" t="s">
        <v>715</v>
      </c>
      <c r="P572" t="s">
        <v>727</v>
      </c>
      <c r="Q572" t="str" cm="1">
        <f t="array" ref="Q572">_xlfn.IFS(U572&lt;=_xlfn.QUARTILE.INC($U$2:$U1203,1),"Low",B572&lt;=_xlfn.QUARTILE.INC($U$2:$U$633,2),"Medium",TRUE,"High")</f>
        <v>Low</v>
      </c>
      <c r="R572" t="s">
        <v>1302</v>
      </c>
      <c r="S572" s="4">
        <v>138.9</v>
      </c>
      <c r="T572">
        <v>289.92</v>
      </c>
      <c r="U572">
        <v>289.92</v>
      </c>
      <c r="V572" s="7">
        <v>2.9000000000000001E-2</v>
      </c>
      <c r="W572" s="7">
        <v>2.9000000000000001E-2</v>
      </c>
      <c r="X572" s="7" t="str">
        <f t="shared" si="34"/>
        <v>okay</v>
      </c>
      <c r="Y572" s="9">
        <v>12</v>
      </c>
      <c r="Z572">
        <v>3378.1478400000001</v>
      </c>
      <c r="AA572">
        <v>1666.8000000000002</v>
      </c>
      <c r="AB572">
        <v>1711.3478399999999</v>
      </c>
      <c r="AC572">
        <v>0.50659353025828491</v>
      </c>
    </row>
    <row r="573" spans="1:29" x14ac:dyDescent="0.3">
      <c r="A573" t="s">
        <v>585</v>
      </c>
      <c r="B573" s="3">
        <v>45078</v>
      </c>
      <c r="C573" s="3" t="str">
        <v>Jun-2023</v>
      </c>
      <c r="D573" s="11" t="str">
        <f t="shared" si="32"/>
        <v>Q2-2023</v>
      </c>
      <c r="E573" s="3">
        <v>45078</v>
      </c>
      <c r="F573" s="3">
        <v>45078</v>
      </c>
      <c r="G573" s="4">
        <f t="shared" si="33"/>
        <v>0</v>
      </c>
      <c r="H573" s="4" t="str">
        <v>ontime</v>
      </c>
      <c r="I573" s="4">
        <f t="shared" si="35"/>
        <v>1</v>
      </c>
      <c r="J573" t="s">
        <v>647</v>
      </c>
      <c r="K573" t="s">
        <v>654</v>
      </c>
      <c r="L573" t="s">
        <v>668</v>
      </c>
      <c r="M573" t="s">
        <v>701</v>
      </c>
      <c r="N573" t="s">
        <v>707</v>
      </c>
      <c r="O573" t="s">
        <v>718</v>
      </c>
      <c r="P573" t="s">
        <v>733</v>
      </c>
      <c r="Q573" t="str" cm="1">
        <f t="array" ref="Q573">_xlfn.IFS(U573&lt;=_xlfn.QUARTILE.INC($U$2:$U1204,1),"Low",B573&lt;=_xlfn.QUARTILE.INC($U$2:$U$633,2),"Medium",TRUE,"High")</f>
        <v>High</v>
      </c>
      <c r="R573" t="s">
        <v>1303</v>
      </c>
      <c r="S573" s="4">
        <v>669.37</v>
      </c>
      <c r="T573">
        <v>997.2</v>
      </c>
      <c r="U573">
        <v>997.2</v>
      </c>
      <c r="V573" s="7">
        <v>8.2000000000000003E-2</v>
      </c>
      <c r="W573" s="7">
        <v>8.2000000000000003E-2</v>
      </c>
      <c r="X573" s="7" t="str">
        <f t="shared" si="34"/>
        <v>okay</v>
      </c>
      <c r="Y573" s="9">
        <v>5</v>
      </c>
      <c r="Z573">
        <v>4577.1480000000001</v>
      </c>
      <c r="AA573">
        <v>3346.85</v>
      </c>
      <c r="AB573">
        <v>1230.2980000000002</v>
      </c>
      <c r="AC573">
        <v>0.26879139586484863</v>
      </c>
    </row>
    <row r="574" spans="1:29" x14ac:dyDescent="0.3">
      <c r="A574" t="s">
        <v>586</v>
      </c>
      <c r="B574" s="3">
        <v>45740</v>
      </c>
      <c r="C574" s="3" t="str">
        <v>Mar-2025</v>
      </c>
      <c r="D574" s="11" t="str">
        <f t="shared" si="32"/>
        <v>Q1-2025</v>
      </c>
      <c r="E574" s="3">
        <v>45751</v>
      </c>
      <c r="F574" s="3">
        <v>45740</v>
      </c>
      <c r="G574" s="4">
        <f t="shared" si="33"/>
        <v>11</v>
      </c>
      <c r="H574" s="4" t="str">
        <v>delayed</v>
      </c>
      <c r="I574" s="4">
        <f t="shared" si="35"/>
        <v>0</v>
      </c>
      <c r="J574" t="s">
        <v>647</v>
      </c>
      <c r="K574" t="s">
        <v>654</v>
      </c>
      <c r="L574" t="s">
        <v>691</v>
      </c>
      <c r="M574" t="s">
        <v>702</v>
      </c>
      <c r="N574" t="s">
        <v>709</v>
      </c>
      <c r="O574" t="s">
        <v>713</v>
      </c>
      <c r="P574" t="s">
        <v>730</v>
      </c>
      <c r="Q574" t="str" cm="1">
        <f t="array" ref="Q574">_xlfn.IFS(U574&lt;=_xlfn.QUARTILE.INC($U$2:$U1205,1),"Low",B574&lt;=_xlfn.QUARTILE.INC($U$2:$U$633,2),"Medium",TRUE,"High")</f>
        <v>Low</v>
      </c>
      <c r="R574" t="s">
        <v>1304</v>
      </c>
      <c r="S574" s="4">
        <v>23.83</v>
      </c>
      <c r="T574">
        <v>47.29</v>
      </c>
      <c r="U574">
        <v>47.29</v>
      </c>
      <c r="V574" s="7">
        <v>6.4000000000000001E-2</v>
      </c>
      <c r="W574" s="7">
        <v>6.4000000000000001E-2</v>
      </c>
      <c r="X574" s="7" t="str">
        <f t="shared" si="34"/>
        <v>okay</v>
      </c>
      <c r="Y574" s="9">
        <v>19</v>
      </c>
      <c r="Z574">
        <v>841.00536</v>
      </c>
      <c r="AA574">
        <v>452.77</v>
      </c>
      <c r="AB574">
        <v>388.23536000000001</v>
      </c>
      <c r="AC574">
        <v>0.46163244429262618</v>
      </c>
    </row>
    <row r="575" spans="1:29" x14ac:dyDescent="0.3">
      <c r="A575" t="s">
        <v>587</v>
      </c>
      <c r="B575" s="3">
        <v>45293</v>
      </c>
      <c r="C575" s="3" t="str">
        <v>Jan-2024</v>
      </c>
      <c r="D575" s="11" t="str">
        <f t="shared" si="32"/>
        <v>Q1-2024</v>
      </c>
      <c r="E575" s="3">
        <v>45293</v>
      </c>
      <c r="F575" s="3">
        <v>45293</v>
      </c>
      <c r="G575" s="4">
        <f t="shared" si="33"/>
        <v>0</v>
      </c>
      <c r="H575" s="4" t="str">
        <v>ontime</v>
      </c>
      <c r="I575" s="4">
        <f t="shared" si="35"/>
        <v>1</v>
      </c>
      <c r="J575" t="s">
        <v>648</v>
      </c>
      <c r="K575" t="s">
        <v>653</v>
      </c>
      <c r="L575" t="s">
        <v>688</v>
      </c>
      <c r="M575" t="s">
        <v>702</v>
      </c>
      <c r="N575" t="s">
        <v>711</v>
      </c>
      <c r="O575" t="s">
        <v>720</v>
      </c>
      <c r="P575" t="s">
        <v>731</v>
      </c>
      <c r="Q575" t="str" cm="1">
        <f t="array" ref="Q575">_xlfn.IFS(U575&lt;=_xlfn.QUARTILE.INC($U$2:$U1206,1),"Low",B575&lt;=_xlfn.QUARTILE.INC($U$2:$U$633,2),"Medium",TRUE,"High")</f>
        <v>High</v>
      </c>
      <c r="R575" t="s">
        <v>1305</v>
      </c>
      <c r="S575" s="4">
        <v>444.41</v>
      </c>
      <c r="T575">
        <v>754.24</v>
      </c>
      <c r="U575">
        <v>754.24</v>
      </c>
      <c r="V575" s="7">
        <v>0.20699999999999999</v>
      </c>
      <c r="W575" s="7">
        <v>0.20699999999999999</v>
      </c>
      <c r="X575" s="7" t="str">
        <f t="shared" si="34"/>
        <v>High discount</v>
      </c>
      <c r="Y575" s="9">
        <v>32</v>
      </c>
      <c r="Z575">
        <v>19139.594240000002</v>
      </c>
      <c r="AA575">
        <v>14221.12</v>
      </c>
      <c r="AB575">
        <v>4918.4742400000014</v>
      </c>
      <c r="AC575">
        <v>0.25697902360546598</v>
      </c>
    </row>
    <row r="576" spans="1:29" x14ac:dyDescent="0.3">
      <c r="A576" t="s">
        <v>588</v>
      </c>
      <c r="B576" s="3">
        <v>45279</v>
      </c>
      <c r="C576" s="3" t="str">
        <v>Dec-2023</v>
      </c>
      <c r="D576" s="11" t="str">
        <f t="shared" si="32"/>
        <v>Q4-2023</v>
      </c>
      <c r="E576" s="3">
        <v>45292</v>
      </c>
      <c r="F576" s="3">
        <v>45279</v>
      </c>
      <c r="G576" s="4">
        <f t="shared" si="33"/>
        <v>13</v>
      </c>
      <c r="H576" s="4" t="str">
        <v>delayed</v>
      </c>
      <c r="I576" s="4">
        <f t="shared" si="35"/>
        <v>0</v>
      </c>
      <c r="J576" t="s">
        <v>648</v>
      </c>
      <c r="K576" t="s">
        <v>653</v>
      </c>
      <c r="L576" t="s">
        <v>667</v>
      </c>
      <c r="M576" t="s">
        <v>706</v>
      </c>
      <c r="N576" t="s">
        <v>707</v>
      </c>
      <c r="O576" t="s">
        <v>723</v>
      </c>
      <c r="P576" t="s">
        <v>732</v>
      </c>
      <c r="Q576" t="str" cm="1">
        <f t="array" ref="Q576">_xlfn.IFS(U576&lt;=_xlfn.QUARTILE.INC($U$2:$U1207,1),"Low",B576&lt;=_xlfn.QUARTILE.INC($U$2:$U$633,2),"Medium",TRUE,"High")</f>
        <v>High</v>
      </c>
      <c r="R576" t="s">
        <v>1306</v>
      </c>
      <c r="S576" s="4">
        <v>856.1</v>
      </c>
      <c r="T576">
        <v>901.48</v>
      </c>
      <c r="U576">
        <v>901.48</v>
      </c>
      <c r="V576" s="7">
        <v>5.6000000000000001E-2</v>
      </c>
      <c r="W576" s="7">
        <v>5.6000000000000001E-2</v>
      </c>
      <c r="X576" s="7" t="str">
        <f t="shared" si="34"/>
        <v>okay</v>
      </c>
      <c r="Y576" s="9">
        <v>17</v>
      </c>
      <c r="Z576">
        <v>14466.95104</v>
      </c>
      <c r="AA576">
        <v>14553.7</v>
      </c>
      <c r="AB576">
        <v>-86.748960000000807</v>
      </c>
      <c r="AC576">
        <v>-5.9963540182134192E-3</v>
      </c>
    </row>
    <row r="577" spans="1:29" x14ac:dyDescent="0.3">
      <c r="A577" t="s">
        <v>589</v>
      </c>
      <c r="B577" s="3">
        <v>45042</v>
      </c>
      <c r="C577" s="3" t="str">
        <v>Apr-2023</v>
      </c>
      <c r="D577" s="11" t="str">
        <f t="shared" si="32"/>
        <v>Q2-2023</v>
      </c>
      <c r="E577" s="3">
        <v>45042</v>
      </c>
      <c r="F577" s="3">
        <v>45042</v>
      </c>
      <c r="G577" s="4">
        <f t="shared" si="33"/>
        <v>0</v>
      </c>
      <c r="H577" s="4" t="str">
        <v>ontime</v>
      </c>
      <c r="I577" s="4">
        <f t="shared" si="35"/>
        <v>1</v>
      </c>
      <c r="J577" t="s">
        <v>649</v>
      </c>
      <c r="K577" t="s">
        <v>657</v>
      </c>
      <c r="L577" t="s">
        <v>673</v>
      </c>
      <c r="M577" t="s">
        <v>704</v>
      </c>
      <c r="N577" t="s">
        <v>711</v>
      </c>
      <c r="O577" t="s">
        <v>724</v>
      </c>
      <c r="P577" t="s">
        <v>727</v>
      </c>
      <c r="Q577" t="str" cm="1">
        <f t="array" ref="Q577">_xlfn.IFS(U577&lt;=_xlfn.QUARTILE.INC($U$2:$U1208,1),"Low",B577&lt;=_xlfn.QUARTILE.INC($U$2:$U$633,2),"Medium",TRUE,"High")</f>
        <v>Low</v>
      </c>
      <c r="R577" t="s">
        <v>1307</v>
      </c>
      <c r="S577" s="4">
        <v>81.489999999999995</v>
      </c>
      <c r="T577">
        <v>113.08</v>
      </c>
      <c r="U577">
        <v>113.08</v>
      </c>
      <c r="V577" s="7">
        <v>0.121</v>
      </c>
      <c r="W577" s="7">
        <v>0.121</v>
      </c>
      <c r="X577" s="7" t="str">
        <f t="shared" si="34"/>
        <v>okay</v>
      </c>
      <c r="Y577" s="9">
        <v>5</v>
      </c>
      <c r="Z577">
        <v>496.98660000000001</v>
      </c>
      <c r="AA577">
        <v>407.45</v>
      </c>
      <c r="AB577">
        <v>89.536600000000021</v>
      </c>
      <c r="AC577">
        <v>0.18015898215364362</v>
      </c>
    </row>
    <row r="578" spans="1:29" x14ac:dyDescent="0.3">
      <c r="A578" t="s">
        <v>590</v>
      </c>
      <c r="B578" s="3">
        <v>45872</v>
      </c>
      <c r="C578" s="3" t="str">
        <v>Aug-2025</v>
      </c>
      <c r="D578" s="11" t="str">
        <f t="shared" si="32"/>
        <v>Q3-2025</v>
      </c>
      <c r="E578" s="3">
        <v>45885</v>
      </c>
      <c r="F578" s="3">
        <v>45872</v>
      </c>
      <c r="G578" s="4">
        <f t="shared" si="33"/>
        <v>13</v>
      </c>
      <c r="H578" s="4" t="str">
        <v>delayed</v>
      </c>
      <c r="I578" s="4">
        <f t="shared" si="35"/>
        <v>0</v>
      </c>
      <c r="J578" t="s">
        <v>648</v>
      </c>
      <c r="K578" t="s">
        <v>653</v>
      </c>
      <c r="L578" t="s">
        <v>681</v>
      </c>
      <c r="M578" t="s">
        <v>706</v>
      </c>
      <c r="N578" t="s">
        <v>710</v>
      </c>
      <c r="O578" t="s">
        <v>719</v>
      </c>
      <c r="P578" t="s">
        <v>729</v>
      </c>
      <c r="Q578" t="str" cm="1">
        <f t="array" ref="Q578">_xlfn.IFS(U578&lt;=_xlfn.QUARTILE.INC($U$2:$U1209,1),"Low",B578&lt;=_xlfn.QUARTILE.INC($U$2:$U$633,2),"Medium",TRUE,"High")</f>
        <v>High</v>
      </c>
      <c r="R578" t="s">
        <v>1308</v>
      </c>
      <c r="S578" s="4">
        <v>698.66</v>
      </c>
      <c r="T578">
        <v>868.62</v>
      </c>
      <c r="U578">
        <v>868.62</v>
      </c>
      <c r="V578" s="7">
        <v>7.1999999999999995E-2</v>
      </c>
      <c r="W578" s="7">
        <v>7.1999999999999995E-2</v>
      </c>
      <c r="X578" s="7" t="str">
        <f t="shared" si="34"/>
        <v>okay</v>
      </c>
      <c r="Y578" s="9">
        <v>15</v>
      </c>
      <c r="Z578">
        <v>12091.190399999999</v>
      </c>
      <c r="AA578">
        <v>10479.9</v>
      </c>
      <c r="AB578">
        <v>1611.2903999999999</v>
      </c>
      <c r="AC578">
        <v>0.13326151906432637</v>
      </c>
    </row>
    <row r="579" spans="1:29" x14ac:dyDescent="0.3">
      <c r="A579" t="s">
        <v>591</v>
      </c>
      <c r="B579" s="3">
        <v>45140</v>
      </c>
      <c r="C579" s="3" t="str">
        <v>Aug-2023</v>
      </c>
      <c r="D579" s="11" t="str">
        <f t="shared" ref="D579:D633" si="36">"Q" &amp; ROUNDUP(MONTH(C579)/3,0) &amp; "-" &amp; YEAR(C579)</f>
        <v>Q3-2023</v>
      </c>
      <c r="E579" s="3">
        <v>45157</v>
      </c>
      <c r="F579" s="3">
        <v>45140</v>
      </c>
      <c r="G579" s="4">
        <f t="shared" ref="G579:G633" si="37">(E579-F579)</f>
        <v>17</v>
      </c>
      <c r="H579" s="4" t="str">
        <v>delayed</v>
      </c>
      <c r="I579" s="4">
        <f t="shared" si="35"/>
        <v>0</v>
      </c>
      <c r="J579" t="s">
        <v>648</v>
      </c>
      <c r="K579" t="s">
        <v>653</v>
      </c>
      <c r="L579" t="s">
        <v>688</v>
      </c>
      <c r="M579" t="s">
        <v>701</v>
      </c>
      <c r="N579" t="s">
        <v>708</v>
      </c>
      <c r="O579" t="s">
        <v>721</v>
      </c>
      <c r="P579" t="s">
        <v>729</v>
      </c>
      <c r="Q579" t="str" cm="1">
        <f t="array" ref="Q579">_xlfn.IFS(U579&lt;=_xlfn.QUARTILE.INC($U$2:$U1210,1),"Low",B579&lt;=_xlfn.QUARTILE.INC($U$2:$U$633,2),"Medium",TRUE,"High")</f>
        <v>Low</v>
      </c>
      <c r="R579" t="s">
        <v>1309</v>
      </c>
      <c r="S579" s="4">
        <v>175.38</v>
      </c>
      <c r="T579">
        <v>347.9</v>
      </c>
      <c r="U579">
        <v>347.9</v>
      </c>
      <c r="V579" s="7">
        <v>7.1999999999999995E-2</v>
      </c>
      <c r="W579" s="7">
        <v>7.1999999999999995E-2</v>
      </c>
      <c r="X579" s="7" t="str">
        <f t="shared" ref="X579:X633" si="38">IF(V579&gt;0.2, "High discount","okay")</f>
        <v>okay</v>
      </c>
      <c r="Y579" s="9">
        <v>43</v>
      </c>
      <c r="Z579">
        <v>13882.6016</v>
      </c>
      <c r="AA579">
        <v>7541.34</v>
      </c>
      <c r="AB579">
        <v>6341.2615999999998</v>
      </c>
      <c r="AC579">
        <v>0.45677761148169804</v>
      </c>
    </row>
    <row r="580" spans="1:29" x14ac:dyDescent="0.3">
      <c r="A580" t="s">
        <v>592</v>
      </c>
      <c r="B580" s="3">
        <v>45092</v>
      </c>
      <c r="C580" s="3" t="str">
        <v>Jun-2023</v>
      </c>
      <c r="D580" s="11" t="str">
        <f t="shared" si="36"/>
        <v>Q2-2023</v>
      </c>
      <c r="E580" s="3">
        <v>45119</v>
      </c>
      <c r="F580" s="3">
        <v>45092</v>
      </c>
      <c r="G580" s="4">
        <f t="shared" si="37"/>
        <v>27</v>
      </c>
      <c r="H580" s="4" t="str">
        <v>delayed</v>
      </c>
      <c r="I580" s="4">
        <f t="shared" si="35"/>
        <v>0</v>
      </c>
      <c r="J580" t="s">
        <v>649</v>
      </c>
      <c r="K580" t="s">
        <v>658</v>
      </c>
      <c r="L580" t="s">
        <v>693</v>
      </c>
      <c r="M580" t="s">
        <v>704</v>
      </c>
      <c r="N580" t="s">
        <v>711</v>
      </c>
      <c r="O580" t="s">
        <v>714</v>
      </c>
      <c r="P580" t="s">
        <v>733</v>
      </c>
      <c r="Q580" t="str" cm="1">
        <f t="array" ref="Q580">_xlfn.IFS(U580&lt;=_xlfn.QUARTILE.INC($U$2:$U1211,1),"Low",B580&lt;=_xlfn.QUARTILE.INC($U$2:$U$633,2),"Medium",TRUE,"High")</f>
        <v>High</v>
      </c>
      <c r="R580" t="s">
        <v>1310</v>
      </c>
      <c r="S580" s="4">
        <v>751.28</v>
      </c>
      <c r="T580">
        <v>1111.8800000000001</v>
      </c>
      <c r="U580">
        <v>1111.8800000000001</v>
      </c>
      <c r="V580" s="7">
        <v>0.13500000000000001</v>
      </c>
      <c r="W580" s="7">
        <v>0.13500000000000001</v>
      </c>
      <c r="X580" s="7" t="str">
        <f t="shared" si="38"/>
        <v>okay</v>
      </c>
      <c r="Y580" s="9">
        <v>7</v>
      </c>
      <c r="Z580">
        <v>6732.4334000000008</v>
      </c>
      <c r="AA580">
        <v>5258.96</v>
      </c>
      <c r="AB580">
        <v>1473.4734000000008</v>
      </c>
      <c r="AC580">
        <v>0.21886193482433863</v>
      </c>
    </row>
    <row r="581" spans="1:29" x14ac:dyDescent="0.3">
      <c r="A581" t="s">
        <v>593</v>
      </c>
      <c r="B581" s="3">
        <v>45607</v>
      </c>
      <c r="C581" s="3" t="str">
        <v>Nov-2024</v>
      </c>
      <c r="D581" s="11" t="str">
        <f t="shared" si="36"/>
        <v>Q4-2024</v>
      </c>
      <c r="E581" s="3">
        <v>45620</v>
      </c>
      <c r="F581" s="3">
        <v>45607</v>
      </c>
      <c r="G581" s="4">
        <f t="shared" si="37"/>
        <v>13</v>
      </c>
      <c r="H581" s="4" t="str">
        <v>delayed</v>
      </c>
      <c r="I581" s="4">
        <f t="shared" si="35"/>
        <v>0</v>
      </c>
      <c r="J581" t="s">
        <v>649</v>
      </c>
      <c r="K581" t="s">
        <v>658</v>
      </c>
      <c r="L581" t="s">
        <v>683</v>
      </c>
      <c r="M581" t="s">
        <v>701</v>
      </c>
      <c r="N581" t="s">
        <v>707</v>
      </c>
      <c r="O581" t="s">
        <v>718</v>
      </c>
      <c r="P581" t="s">
        <v>729</v>
      </c>
      <c r="Q581" t="str" cm="1">
        <f t="array" ref="Q581">_xlfn.IFS(U581&lt;=_xlfn.QUARTILE.INC($U$2:$U1212,1),"Low",B581&lt;=_xlfn.QUARTILE.INC($U$2:$U$633,2),"Medium",TRUE,"High")</f>
        <v>Low</v>
      </c>
      <c r="R581" t="s">
        <v>1311</v>
      </c>
      <c r="S581" s="4">
        <v>164.53</v>
      </c>
      <c r="T581">
        <v>327.72</v>
      </c>
      <c r="U581">
        <v>327.72</v>
      </c>
      <c r="V581" s="7">
        <v>6.7000000000000004E-2</v>
      </c>
      <c r="W581" s="7">
        <v>6.7000000000000004E-2</v>
      </c>
      <c r="X581" s="7" t="str">
        <f t="shared" si="38"/>
        <v>okay</v>
      </c>
      <c r="Y581" s="9">
        <v>14</v>
      </c>
      <c r="Z581">
        <v>4280.6786400000001</v>
      </c>
      <c r="AA581">
        <v>2303.42</v>
      </c>
      <c r="AB581">
        <v>1977.25864</v>
      </c>
      <c r="AC581">
        <v>0.46190307805960412</v>
      </c>
    </row>
    <row r="582" spans="1:29" x14ac:dyDescent="0.3">
      <c r="A582" t="s">
        <v>594</v>
      </c>
      <c r="B582" s="3">
        <v>45849</v>
      </c>
      <c r="C582" s="3" t="str">
        <v>Jul-2025</v>
      </c>
      <c r="D582" s="11" t="str">
        <f t="shared" si="36"/>
        <v>Q3-2025</v>
      </c>
      <c r="E582" s="3">
        <v>45872</v>
      </c>
      <c r="F582" s="3">
        <v>45849</v>
      </c>
      <c r="G582" s="4">
        <f t="shared" si="37"/>
        <v>23</v>
      </c>
      <c r="H582" s="4" t="str">
        <v>delayed</v>
      </c>
      <c r="I582" s="4">
        <f t="shared" si="35"/>
        <v>0</v>
      </c>
      <c r="J582" t="s">
        <v>646</v>
      </c>
      <c r="K582" t="s">
        <v>650</v>
      </c>
      <c r="L582" t="s">
        <v>678</v>
      </c>
      <c r="M582" t="s">
        <v>705</v>
      </c>
      <c r="N582" t="s">
        <v>707</v>
      </c>
      <c r="O582" t="s">
        <v>712</v>
      </c>
      <c r="P582" t="s">
        <v>730</v>
      </c>
      <c r="Q582" t="str" cm="1">
        <f t="array" ref="Q582">_xlfn.IFS(U582&lt;=_xlfn.QUARTILE.INC($U$2:$U1213,1),"Low",B582&lt;=_xlfn.QUARTILE.INC($U$2:$U$633,2),"Medium",TRUE,"High")</f>
        <v>Low</v>
      </c>
      <c r="R582" t="s">
        <v>1312</v>
      </c>
      <c r="S582" s="4">
        <v>389.93</v>
      </c>
      <c r="T582">
        <v>486.13</v>
      </c>
      <c r="U582">
        <v>486.13</v>
      </c>
      <c r="V582" s="7">
        <v>0.13200000000000001</v>
      </c>
      <c r="W582" s="7">
        <v>0.13200000000000001</v>
      </c>
      <c r="X582" s="7" t="str">
        <f t="shared" si="38"/>
        <v>okay</v>
      </c>
      <c r="Y582" s="9">
        <v>17</v>
      </c>
      <c r="Z582">
        <v>7173.3342799999991</v>
      </c>
      <c r="AA582">
        <v>6628.81</v>
      </c>
      <c r="AB582">
        <v>544.52427999999873</v>
      </c>
      <c r="AC582">
        <v>7.5909508569562828E-2</v>
      </c>
    </row>
    <row r="583" spans="1:29" x14ac:dyDescent="0.3">
      <c r="A583" t="s">
        <v>595</v>
      </c>
      <c r="B583" s="3">
        <v>45080</v>
      </c>
      <c r="C583" s="3" t="str">
        <v>Jun-2023</v>
      </c>
      <c r="D583" s="11" t="str">
        <f t="shared" si="36"/>
        <v>Q2-2023</v>
      </c>
      <c r="E583" s="3">
        <v>45108</v>
      </c>
      <c r="F583" s="3">
        <v>45080</v>
      </c>
      <c r="G583" s="4">
        <f t="shared" si="37"/>
        <v>28</v>
      </c>
      <c r="H583" s="4" t="str">
        <v>delayed</v>
      </c>
      <c r="I583" s="4">
        <f t="shared" si="35"/>
        <v>0</v>
      </c>
      <c r="J583" t="s">
        <v>648</v>
      </c>
      <c r="K583" t="s">
        <v>655</v>
      </c>
      <c r="L583" t="s">
        <v>672</v>
      </c>
      <c r="M583" t="s">
        <v>705</v>
      </c>
      <c r="N583" t="s">
        <v>709</v>
      </c>
      <c r="O583" t="s">
        <v>720</v>
      </c>
      <c r="P583" t="s">
        <v>727</v>
      </c>
      <c r="Q583" t="str" cm="1">
        <f t="array" ref="Q583">_xlfn.IFS(U583&lt;=_xlfn.QUARTILE.INC($U$2:$U1214,1),"Low",B583&lt;=_xlfn.QUARTILE.INC($U$2:$U$633,2),"Medium",TRUE,"High")</f>
        <v>High</v>
      </c>
      <c r="R583" t="s">
        <v>1313</v>
      </c>
      <c r="S583" s="4">
        <v>860.4</v>
      </c>
      <c r="T583">
        <v>2066.6</v>
      </c>
      <c r="U583">
        <v>2066.6</v>
      </c>
      <c r="V583" s="7">
        <v>0.01</v>
      </c>
      <c r="W583" s="7">
        <v>0.01</v>
      </c>
      <c r="X583" s="7" t="str">
        <f t="shared" si="38"/>
        <v>okay</v>
      </c>
      <c r="Y583" s="9">
        <v>3</v>
      </c>
      <c r="Z583">
        <v>6137.8019999999988</v>
      </c>
      <c r="AA583">
        <v>2581.1999999999998</v>
      </c>
      <c r="AB583">
        <v>3556.601999999999</v>
      </c>
      <c r="AC583">
        <v>0.57945857491004105</v>
      </c>
    </row>
    <row r="584" spans="1:29" x14ac:dyDescent="0.3">
      <c r="A584" t="s">
        <v>596</v>
      </c>
      <c r="B584" s="3">
        <v>44955</v>
      </c>
      <c r="C584" s="3" t="str">
        <v>Jan-2023</v>
      </c>
      <c r="D584" s="11" t="str">
        <f t="shared" si="36"/>
        <v>Q1-2023</v>
      </c>
      <c r="E584" s="3">
        <v>44963</v>
      </c>
      <c r="F584" s="3">
        <v>44955</v>
      </c>
      <c r="G584" s="4">
        <f t="shared" si="37"/>
        <v>8</v>
      </c>
      <c r="H584" s="4" t="str">
        <v>delayed</v>
      </c>
      <c r="I584" s="4">
        <f t="shared" ref="I584:I633" si="39">IF(G584&lt;=7,1,0)</f>
        <v>0</v>
      </c>
      <c r="J584" t="s">
        <v>648</v>
      </c>
      <c r="K584" t="s">
        <v>655</v>
      </c>
      <c r="L584" t="s">
        <v>672</v>
      </c>
      <c r="M584" t="s">
        <v>701</v>
      </c>
      <c r="N584" t="s">
        <v>709</v>
      </c>
      <c r="O584" t="s">
        <v>726</v>
      </c>
      <c r="P584" t="s">
        <v>732</v>
      </c>
      <c r="Q584" t="str" cm="1">
        <f t="array" ref="Q584">_xlfn.IFS(U584&lt;=_xlfn.QUARTILE.INC($U$2:$U1215,1),"Low",B584&lt;=_xlfn.QUARTILE.INC($U$2:$U$633,2),"Medium",TRUE,"High")</f>
        <v>Low</v>
      </c>
      <c r="R584" t="s">
        <v>1314</v>
      </c>
      <c r="S584" s="4">
        <v>41.84</v>
      </c>
      <c r="T584">
        <v>86.2</v>
      </c>
      <c r="U584">
        <v>86.2</v>
      </c>
      <c r="V584" s="7">
        <v>0.22600000000000001</v>
      </c>
      <c r="W584" s="7">
        <v>0.22600000000000001</v>
      </c>
      <c r="X584" s="7" t="str">
        <f t="shared" si="38"/>
        <v>High discount</v>
      </c>
      <c r="Y584" s="9">
        <v>27</v>
      </c>
      <c r="Z584">
        <v>1801.4076000000002</v>
      </c>
      <c r="AA584">
        <v>1129.68</v>
      </c>
      <c r="AB584">
        <v>671.72760000000017</v>
      </c>
      <c r="AC584">
        <v>0.37289039970742882</v>
      </c>
    </row>
    <row r="585" spans="1:29" x14ac:dyDescent="0.3">
      <c r="A585" t="s">
        <v>597</v>
      </c>
      <c r="B585" s="3">
        <v>45541</v>
      </c>
      <c r="C585" s="3" t="str">
        <v>Sep-2024</v>
      </c>
      <c r="D585" s="11" t="str">
        <f t="shared" si="36"/>
        <v>Q3-2024</v>
      </c>
      <c r="E585" s="3">
        <v>45539</v>
      </c>
      <c r="F585" s="3">
        <v>45548</v>
      </c>
      <c r="G585" s="4">
        <f t="shared" si="37"/>
        <v>-9</v>
      </c>
      <c r="H585" s="4" t="str">
        <v>ontime</v>
      </c>
      <c r="I585" s="4">
        <f t="shared" si="39"/>
        <v>1</v>
      </c>
      <c r="J585" t="s">
        <v>647</v>
      </c>
      <c r="K585" t="s">
        <v>652</v>
      </c>
      <c r="L585" t="s">
        <v>666</v>
      </c>
      <c r="M585" t="s">
        <v>701</v>
      </c>
      <c r="N585" t="s">
        <v>711</v>
      </c>
      <c r="O585" t="s">
        <v>720</v>
      </c>
      <c r="P585" t="s">
        <v>731</v>
      </c>
      <c r="Q585" t="str" cm="1">
        <f t="array" ref="Q585">_xlfn.IFS(U585&lt;=_xlfn.QUARTILE.INC($U$2:$U1216,1),"Low",B585&lt;=_xlfn.QUARTILE.INC($U$2:$U$633,2),"Medium",TRUE,"High")</f>
        <v>High</v>
      </c>
      <c r="R585" t="s">
        <v>1315</v>
      </c>
      <c r="S585" s="4">
        <v>1368.17</v>
      </c>
      <c r="T585">
        <v>2307.75</v>
      </c>
      <c r="U585">
        <v>2307.75</v>
      </c>
      <c r="V585" s="7">
        <v>0.16300000000000001</v>
      </c>
      <c r="W585" s="7">
        <v>0.16300000000000001</v>
      </c>
      <c r="X585" s="7" t="str">
        <f t="shared" si="38"/>
        <v>okay</v>
      </c>
      <c r="Y585" s="9">
        <v>21</v>
      </c>
      <c r="Z585">
        <v>40563.321749999996</v>
      </c>
      <c r="AA585">
        <v>28731.57</v>
      </c>
      <c r="AB585">
        <v>11831.751749999996</v>
      </c>
      <c r="AC585">
        <v>0.29168596750831921</v>
      </c>
    </row>
    <row r="586" spans="1:29" x14ac:dyDescent="0.3">
      <c r="A586" t="s">
        <v>598</v>
      </c>
      <c r="B586" s="3">
        <v>45507</v>
      </c>
      <c r="C586" s="3" t="str">
        <v>Aug-2024</v>
      </c>
      <c r="D586" s="11" t="str">
        <f t="shared" si="36"/>
        <v>Q3-2024</v>
      </c>
      <c r="E586" s="3">
        <v>45513</v>
      </c>
      <c r="F586" s="3">
        <v>45507</v>
      </c>
      <c r="G586" s="4">
        <f t="shared" si="37"/>
        <v>6</v>
      </c>
      <c r="H586" s="4" t="str">
        <v>ontime</v>
      </c>
      <c r="I586" s="4">
        <f t="shared" si="39"/>
        <v>1</v>
      </c>
      <c r="J586" t="s">
        <v>646</v>
      </c>
      <c r="K586" t="s">
        <v>650</v>
      </c>
      <c r="L586" t="s">
        <v>675</v>
      </c>
      <c r="M586" t="s">
        <v>704</v>
      </c>
      <c r="N586" t="s">
        <v>709</v>
      </c>
      <c r="O586" t="s">
        <v>722</v>
      </c>
      <c r="P586" t="s">
        <v>731</v>
      </c>
      <c r="Q586" t="str" cm="1">
        <f t="array" ref="Q586">_xlfn.IFS(U586&lt;=_xlfn.QUARTILE.INC($U$2:$U1217,1),"Low",B586&lt;=_xlfn.QUARTILE.INC($U$2:$U$633,2),"Medium",TRUE,"High")</f>
        <v>High</v>
      </c>
      <c r="R586" t="s">
        <v>1316</v>
      </c>
      <c r="S586" s="4">
        <v>643.21</v>
      </c>
      <c r="T586">
        <v>1112.81</v>
      </c>
      <c r="U586">
        <v>1112.81</v>
      </c>
      <c r="V586" s="7">
        <v>0.14099999999999999</v>
      </c>
      <c r="W586" s="7">
        <v>0.14099999999999999</v>
      </c>
      <c r="X586" s="7" t="str">
        <f t="shared" si="38"/>
        <v>okay</v>
      </c>
      <c r="Y586" s="9">
        <v>4</v>
      </c>
      <c r="Z586">
        <v>3823.6151599999998</v>
      </c>
      <c r="AA586">
        <v>2572.84</v>
      </c>
      <c r="AB586">
        <v>1250.7751599999997</v>
      </c>
      <c r="AC586">
        <v>0.32711847496702562</v>
      </c>
    </row>
    <row r="587" spans="1:29" x14ac:dyDescent="0.3">
      <c r="A587" t="s">
        <v>599</v>
      </c>
      <c r="B587" s="3">
        <v>45764</v>
      </c>
      <c r="C587" s="3" t="str">
        <v>Apr-2025</v>
      </c>
      <c r="D587" s="11" t="str">
        <f t="shared" si="36"/>
        <v>Q2-2025</v>
      </c>
      <c r="E587" s="3">
        <v>45764</v>
      </c>
      <c r="F587" s="3">
        <v>45764</v>
      </c>
      <c r="G587" s="4">
        <f t="shared" si="37"/>
        <v>0</v>
      </c>
      <c r="H587" s="4" t="str">
        <v>ontime</v>
      </c>
      <c r="I587" s="4">
        <f t="shared" si="39"/>
        <v>1</v>
      </c>
      <c r="J587" t="s">
        <v>648</v>
      </c>
      <c r="K587" t="s">
        <v>655</v>
      </c>
      <c r="L587" t="s">
        <v>670</v>
      </c>
      <c r="M587" t="s">
        <v>701</v>
      </c>
      <c r="N587" t="s">
        <v>710</v>
      </c>
      <c r="O587" t="s">
        <v>716</v>
      </c>
      <c r="P587" t="s">
        <v>730</v>
      </c>
      <c r="Q587" t="str" cm="1">
        <f t="array" ref="Q587">_xlfn.IFS(U587&lt;=_xlfn.QUARTILE.INC($U$2:$U1218,1),"Low",B587&lt;=_xlfn.QUARTILE.INC($U$2:$U$633,2),"Medium",TRUE,"High")</f>
        <v>High</v>
      </c>
      <c r="R587" t="s">
        <v>1317</v>
      </c>
      <c r="S587" s="4">
        <v>719.41</v>
      </c>
      <c r="T587">
        <v>1125.99</v>
      </c>
      <c r="U587">
        <v>1125.99</v>
      </c>
      <c r="V587" s="7">
        <v>4.1000000000000002E-2</v>
      </c>
      <c r="W587" s="7">
        <v>4.1000000000000002E-2</v>
      </c>
      <c r="X587" s="7" t="str">
        <f t="shared" si="38"/>
        <v>okay</v>
      </c>
      <c r="Y587" s="9">
        <v>21</v>
      </c>
      <c r="Z587">
        <v>22676.312610000001</v>
      </c>
      <c r="AA587">
        <v>15107.609999999999</v>
      </c>
      <c r="AB587">
        <v>7568.7026100000021</v>
      </c>
      <c r="AC587">
        <v>0.33377131194876403</v>
      </c>
    </row>
    <row r="588" spans="1:29" x14ac:dyDescent="0.3">
      <c r="A588" t="s">
        <v>600</v>
      </c>
      <c r="B588" s="3">
        <v>45049</v>
      </c>
      <c r="C588" s="3" t="str">
        <v>May-2023</v>
      </c>
      <c r="D588" s="11" t="str">
        <f t="shared" si="36"/>
        <v>Q2-2023</v>
      </c>
      <c r="E588" s="3">
        <v>45062</v>
      </c>
      <c r="F588" s="3">
        <v>45049</v>
      </c>
      <c r="G588" s="4">
        <f t="shared" si="37"/>
        <v>13</v>
      </c>
      <c r="H588" s="4" t="str">
        <v>delayed</v>
      </c>
      <c r="I588" s="4">
        <f t="shared" si="39"/>
        <v>0</v>
      </c>
      <c r="J588" t="s">
        <v>648</v>
      </c>
      <c r="K588" t="s">
        <v>660</v>
      </c>
      <c r="L588" t="s">
        <v>700</v>
      </c>
      <c r="M588" t="s">
        <v>701</v>
      </c>
      <c r="N588" t="s">
        <v>709</v>
      </c>
      <c r="O588" t="s">
        <v>716</v>
      </c>
      <c r="P588" t="s">
        <v>730</v>
      </c>
      <c r="Q588" t="str" cm="1">
        <f t="array" ref="Q588">_xlfn.IFS(U588&lt;=_xlfn.QUARTILE.INC($U$2:$U1219,1),"Low",B588&lt;=_xlfn.QUARTILE.INC($U$2:$U$633,2),"Medium",TRUE,"High")</f>
        <v>Low</v>
      </c>
      <c r="R588" t="s">
        <v>1318</v>
      </c>
      <c r="S588" s="4">
        <v>64.5</v>
      </c>
      <c r="T588">
        <v>123.62</v>
      </c>
      <c r="U588">
        <v>123.62</v>
      </c>
      <c r="V588" s="7">
        <v>0</v>
      </c>
      <c r="W588" s="7">
        <v>0</v>
      </c>
      <c r="X588" s="7" t="str">
        <f t="shared" si="38"/>
        <v>okay</v>
      </c>
      <c r="Y588" s="9">
        <v>3</v>
      </c>
      <c r="Z588">
        <v>370.86</v>
      </c>
      <c r="AA588">
        <v>193.5</v>
      </c>
      <c r="AB588">
        <v>177.36</v>
      </c>
      <c r="AC588">
        <v>0.47823976702798904</v>
      </c>
    </row>
    <row r="589" spans="1:29" x14ac:dyDescent="0.3">
      <c r="A589" t="s">
        <v>601</v>
      </c>
      <c r="B589" s="3">
        <v>45364</v>
      </c>
      <c r="C589" s="3" t="str">
        <v>Mar-2024</v>
      </c>
      <c r="D589" s="11" t="str">
        <f t="shared" si="36"/>
        <v>Q1-2024</v>
      </c>
      <c r="E589" s="3">
        <v>45388</v>
      </c>
      <c r="F589" s="3">
        <v>45364</v>
      </c>
      <c r="G589" s="4">
        <f t="shared" si="37"/>
        <v>24</v>
      </c>
      <c r="H589" s="4" t="str">
        <v>delayed</v>
      </c>
      <c r="I589" s="4">
        <f t="shared" si="39"/>
        <v>0</v>
      </c>
      <c r="J589" t="s">
        <v>646</v>
      </c>
      <c r="K589" t="s">
        <v>651</v>
      </c>
      <c r="L589" t="s">
        <v>669</v>
      </c>
      <c r="M589" t="s">
        <v>704</v>
      </c>
      <c r="N589" t="s">
        <v>710</v>
      </c>
      <c r="O589" t="s">
        <v>716</v>
      </c>
      <c r="P589" t="s">
        <v>727</v>
      </c>
      <c r="Q589" t="str" cm="1">
        <f t="array" ref="Q589">_xlfn.IFS(U589&lt;=_xlfn.QUARTILE.INC($U$2:$U1220,1),"Low",B589&lt;=_xlfn.QUARTILE.INC($U$2:$U$633,2),"Medium",TRUE,"High")</f>
        <v>High</v>
      </c>
      <c r="R589" t="s">
        <v>1319</v>
      </c>
      <c r="S589" s="4">
        <v>1232.78</v>
      </c>
      <c r="T589">
        <v>1731.75</v>
      </c>
      <c r="U589">
        <v>1731.75</v>
      </c>
      <c r="V589" s="7">
        <v>9.2999999999999999E-2</v>
      </c>
      <c r="W589" s="7">
        <v>9.2999999999999999E-2</v>
      </c>
      <c r="X589" s="7" t="str">
        <f t="shared" si="38"/>
        <v>okay</v>
      </c>
      <c r="Y589" s="9">
        <v>16</v>
      </c>
      <c r="Z589">
        <v>25131.155999999999</v>
      </c>
      <c r="AA589">
        <v>19724.48</v>
      </c>
      <c r="AB589">
        <v>5406.6759999999995</v>
      </c>
      <c r="AC589">
        <v>0.21513837246484005</v>
      </c>
    </row>
    <row r="590" spans="1:29" x14ac:dyDescent="0.3">
      <c r="A590" t="s">
        <v>602</v>
      </c>
      <c r="B590" s="3">
        <v>45459</v>
      </c>
      <c r="C590" s="3" t="str">
        <v>Jun-2024</v>
      </c>
      <c r="D590" s="11" t="str">
        <f t="shared" si="36"/>
        <v>Q2-2024</v>
      </c>
      <c r="E590" s="3">
        <v>45464</v>
      </c>
      <c r="F590" s="3">
        <v>45459</v>
      </c>
      <c r="G590" s="4">
        <f t="shared" si="37"/>
        <v>5</v>
      </c>
      <c r="H590" s="4" t="str">
        <v>ontime</v>
      </c>
      <c r="I590" s="4">
        <f t="shared" si="39"/>
        <v>1</v>
      </c>
      <c r="J590" t="s">
        <v>647</v>
      </c>
      <c r="K590" t="s">
        <v>652</v>
      </c>
      <c r="L590" t="s">
        <v>689</v>
      </c>
      <c r="M590" t="s">
        <v>705</v>
      </c>
      <c r="N590" t="s">
        <v>710</v>
      </c>
      <c r="O590" t="s">
        <v>721</v>
      </c>
      <c r="P590" t="s">
        <v>730</v>
      </c>
      <c r="Q590" t="str" cm="1">
        <f t="array" ref="Q590">_xlfn.IFS(U590&lt;=_xlfn.QUARTILE.INC($U$2:$U1221,1),"Low",B590&lt;=_xlfn.QUARTILE.INC($U$2:$U$633,2),"Medium",TRUE,"High")</f>
        <v>High</v>
      </c>
      <c r="R590" t="s">
        <v>1320</v>
      </c>
      <c r="S590" s="4">
        <v>1367.13</v>
      </c>
      <c r="T590">
        <v>3062.01</v>
      </c>
      <c r="U590">
        <v>3062.01</v>
      </c>
      <c r="V590" s="7">
        <v>0.10299999999999999</v>
      </c>
      <c r="W590" s="7">
        <v>0.10299999999999999</v>
      </c>
      <c r="X590" s="7" t="str">
        <f t="shared" si="38"/>
        <v>okay</v>
      </c>
      <c r="Y590" s="9">
        <v>25</v>
      </c>
      <c r="Z590">
        <v>68665.574250000005</v>
      </c>
      <c r="AA590">
        <v>34178.25</v>
      </c>
      <c r="AB590">
        <v>34487.324250000005</v>
      </c>
      <c r="AC590">
        <v>0.50225057645971705</v>
      </c>
    </row>
    <row r="591" spans="1:29" x14ac:dyDescent="0.3">
      <c r="A591" t="s">
        <v>603</v>
      </c>
      <c r="B591" s="3">
        <v>45703</v>
      </c>
      <c r="C591" s="3" t="str">
        <v>Feb-2025</v>
      </c>
      <c r="D591" s="11" t="str">
        <f t="shared" si="36"/>
        <v>Q1-2025</v>
      </c>
      <c r="E591" s="3">
        <v>45715</v>
      </c>
      <c r="F591" s="3">
        <v>45703</v>
      </c>
      <c r="G591" s="4">
        <f t="shared" si="37"/>
        <v>12</v>
      </c>
      <c r="H591" s="4" t="str">
        <v>delayed</v>
      </c>
      <c r="I591" s="4">
        <f t="shared" si="39"/>
        <v>0</v>
      </c>
      <c r="J591" t="s">
        <v>649</v>
      </c>
      <c r="K591" t="s">
        <v>657</v>
      </c>
      <c r="L591" t="s">
        <v>679</v>
      </c>
      <c r="M591" t="s">
        <v>703</v>
      </c>
      <c r="N591" t="s">
        <v>711</v>
      </c>
      <c r="O591" t="s">
        <v>723</v>
      </c>
      <c r="P591" t="s">
        <v>733</v>
      </c>
      <c r="Q591" t="str" cm="1">
        <f t="array" ref="Q591">_xlfn.IFS(U591&lt;=_xlfn.QUARTILE.INC($U$2:$U1222,1),"Low",B591&lt;=_xlfn.QUARTILE.INC($U$2:$U$633,2),"Medium",TRUE,"High")</f>
        <v>High</v>
      </c>
      <c r="R591" t="s">
        <v>1321</v>
      </c>
      <c r="S591" s="4">
        <v>1027.26</v>
      </c>
      <c r="T591">
        <v>2200.41</v>
      </c>
      <c r="U591">
        <v>2200.41</v>
      </c>
      <c r="V591" s="7">
        <v>8.7999999999999995E-2</v>
      </c>
      <c r="W591" s="7">
        <v>8.7999999999999995E-2</v>
      </c>
      <c r="X591" s="7" t="str">
        <f t="shared" si="38"/>
        <v>okay</v>
      </c>
      <c r="Y591" s="9">
        <v>6</v>
      </c>
      <c r="Z591">
        <v>12040.64352</v>
      </c>
      <c r="AA591">
        <v>6163.5599999999995</v>
      </c>
      <c r="AB591">
        <v>5877.0835200000001</v>
      </c>
      <c r="AC591">
        <v>0.48810377204822358</v>
      </c>
    </row>
    <row r="592" spans="1:29" x14ac:dyDescent="0.3">
      <c r="A592" t="s">
        <v>604</v>
      </c>
      <c r="B592" s="3">
        <v>45019</v>
      </c>
      <c r="C592" s="3" t="str">
        <v>Apr-2023</v>
      </c>
      <c r="D592" s="11" t="str">
        <f t="shared" si="36"/>
        <v>Q2-2023</v>
      </c>
      <c r="E592" s="3">
        <v>45032</v>
      </c>
      <c r="F592" s="3">
        <v>45019</v>
      </c>
      <c r="G592" s="4">
        <f t="shared" si="37"/>
        <v>13</v>
      </c>
      <c r="H592" s="4" t="str">
        <v>delayed</v>
      </c>
      <c r="I592" s="4">
        <f t="shared" si="39"/>
        <v>0</v>
      </c>
      <c r="J592" t="s">
        <v>649</v>
      </c>
      <c r="K592" t="s">
        <v>657</v>
      </c>
      <c r="L592" t="s">
        <v>673</v>
      </c>
      <c r="M592" t="s">
        <v>703</v>
      </c>
      <c r="N592" t="s">
        <v>709</v>
      </c>
      <c r="O592" t="s">
        <v>724</v>
      </c>
      <c r="P592" t="s">
        <v>733</v>
      </c>
      <c r="Q592" t="str" cm="1">
        <f t="array" ref="Q592">_xlfn.IFS(U592&lt;=_xlfn.QUARTILE.INC($U$2:$U1223,1),"Low",B592&lt;=_xlfn.QUARTILE.INC($U$2:$U$633,2),"Medium",TRUE,"High")</f>
        <v>Low</v>
      </c>
      <c r="R592" t="s">
        <v>1322</v>
      </c>
      <c r="S592" s="4">
        <v>790.54</v>
      </c>
      <c r="T592">
        <v>601.49</v>
      </c>
      <c r="U592">
        <v>601.49</v>
      </c>
      <c r="V592" s="7">
        <v>0</v>
      </c>
      <c r="W592" s="7">
        <v>0</v>
      </c>
      <c r="X592" s="7" t="str">
        <f t="shared" si="38"/>
        <v>okay</v>
      </c>
      <c r="Y592" s="9">
        <v>15</v>
      </c>
      <c r="Z592">
        <v>9022.35</v>
      </c>
      <c r="AA592">
        <v>11858.099999999999</v>
      </c>
      <c r="AB592">
        <v>-2835.7499999999982</v>
      </c>
      <c r="AC592">
        <v>-0.31430281467688553</v>
      </c>
    </row>
    <row r="593" spans="1:29" x14ac:dyDescent="0.3">
      <c r="A593" t="s">
        <v>605</v>
      </c>
      <c r="B593" s="3">
        <v>45899</v>
      </c>
      <c r="C593" s="3" t="str">
        <v>Aug-2025</v>
      </c>
      <c r="D593" s="11" t="str">
        <f t="shared" si="36"/>
        <v>Q3-2025</v>
      </c>
      <c r="E593" s="3">
        <v>45922</v>
      </c>
      <c r="F593" s="3">
        <v>45899</v>
      </c>
      <c r="G593" s="4">
        <f t="shared" si="37"/>
        <v>23</v>
      </c>
      <c r="H593" s="4" t="str">
        <v>delayed</v>
      </c>
      <c r="I593" s="4">
        <f t="shared" si="39"/>
        <v>0</v>
      </c>
      <c r="J593" t="s">
        <v>649</v>
      </c>
      <c r="K593" t="s">
        <v>657</v>
      </c>
      <c r="L593" t="s">
        <v>673</v>
      </c>
      <c r="M593" t="s">
        <v>701</v>
      </c>
      <c r="N593" t="s">
        <v>711</v>
      </c>
      <c r="O593" t="s">
        <v>718</v>
      </c>
      <c r="P593" t="s">
        <v>727</v>
      </c>
      <c r="Q593" t="str" cm="1">
        <f t="array" ref="Q593">_xlfn.IFS(U593&lt;=_xlfn.QUARTILE.INC($U$2:$U1224,1),"Low",B593&lt;=_xlfn.QUARTILE.INC($U$2:$U$633,2),"Medium",TRUE,"High")</f>
        <v>High</v>
      </c>
      <c r="R593" t="s">
        <v>1323</v>
      </c>
      <c r="S593" s="4">
        <v>663.9</v>
      </c>
      <c r="T593">
        <v>947.77</v>
      </c>
      <c r="U593">
        <v>947.77</v>
      </c>
      <c r="V593" s="7">
        <v>0.17399999999999999</v>
      </c>
      <c r="W593" s="7">
        <v>0.17399999999999999</v>
      </c>
      <c r="X593" s="7" t="str">
        <f t="shared" si="38"/>
        <v>okay</v>
      </c>
      <c r="Y593" s="9">
        <v>15</v>
      </c>
      <c r="Z593">
        <v>11742.8703</v>
      </c>
      <c r="AA593">
        <v>9958.5</v>
      </c>
      <c r="AB593">
        <v>1784.3703000000005</v>
      </c>
      <c r="AC593">
        <v>0.1519535049280073</v>
      </c>
    </row>
    <row r="594" spans="1:29" x14ac:dyDescent="0.3">
      <c r="A594" t="s">
        <v>606</v>
      </c>
      <c r="B594" s="3">
        <v>44984</v>
      </c>
      <c r="C594" s="3" t="str">
        <v>Feb-2023</v>
      </c>
      <c r="D594" s="11" t="str">
        <f t="shared" si="36"/>
        <v>Q1-2023</v>
      </c>
      <c r="E594" s="3">
        <v>44983</v>
      </c>
      <c r="F594" s="3">
        <v>44991</v>
      </c>
      <c r="G594" s="4">
        <f t="shared" si="37"/>
        <v>-8</v>
      </c>
      <c r="H594" s="4" t="str">
        <v>ontime</v>
      </c>
      <c r="I594" s="4">
        <f t="shared" si="39"/>
        <v>1</v>
      </c>
      <c r="J594" t="s">
        <v>648</v>
      </c>
      <c r="K594" t="s">
        <v>660</v>
      </c>
      <c r="L594" t="s">
        <v>686</v>
      </c>
      <c r="M594" t="s">
        <v>703</v>
      </c>
      <c r="N594" t="s">
        <v>708</v>
      </c>
      <c r="O594" t="s">
        <v>716</v>
      </c>
      <c r="P594" t="s">
        <v>729</v>
      </c>
      <c r="Q594" t="str" cm="1">
        <f t="array" ref="Q594">_xlfn.IFS(U594&lt;=_xlfn.QUARTILE.INC($U$2:$U1225,1),"Low",B594&lt;=_xlfn.QUARTILE.INC($U$2:$U$633,2),"Medium",TRUE,"High")</f>
        <v>High</v>
      </c>
      <c r="R594" t="s">
        <v>1324</v>
      </c>
      <c r="S594" s="4">
        <v>1015.91</v>
      </c>
      <c r="T594">
        <v>2331.48</v>
      </c>
      <c r="U594">
        <v>2331.48</v>
      </c>
      <c r="V594" s="7">
        <v>0.14599999999999999</v>
      </c>
      <c r="W594" s="7">
        <v>0.14599999999999999</v>
      </c>
      <c r="X594" s="7" t="str">
        <f t="shared" si="38"/>
        <v>okay</v>
      </c>
      <c r="Y594" s="9">
        <v>26</v>
      </c>
      <c r="Z594">
        <v>51768.181920000003</v>
      </c>
      <c r="AA594">
        <v>26413.66</v>
      </c>
      <c r="AB594">
        <v>25354.521920000003</v>
      </c>
      <c r="AC594">
        <v>0.48977037592669626</v>
      </c>
    </row>
    <row r="595" spans="1:29" x14ac:dyDescent="0.3">
      <c r="A595" t="s">
        <v>607</v>
      </c>
      <c r="B595" s="3">
        <v>45504</v>
      </c>
      <c r="C595" s="3" t="str">
        <v>Jul-2024</v>
      </c>
      <c r="D595" s="11" t="str">
        <f t="shared" si="36"/>
        <v>Q3-2024</v>
      </c>
      <c r="E595" s="3">
        <v>45519</v>
      </c>
      <c r="F595" s="3">
        <v>45504</v>
      </c>
      <c r="G595" s="4">
        <f t="shared" si="37"/>
        <v>15</v>
      </c>
      <c r="H595" s="4" t="str">
        <v>delayed</v>
      </c>
      <c r="I595" s="4">
        <f t="shared" si="39"/>
        <v>0</v>
      </c>
      <c r="J595" t="s">
        <v>647</v>
      </c>
      <c r="K595" t="s">
        <v>652</v>
      </c>
      <c r="L595" t="s">
        <v>689</v>
      </c>
      <c r="M595" t="s">
        <v>701</v>
      </c>
      <c r="N595" t="s">
        <v>709</v>
      </c>
      <c r="O595" t="s">
        <v>721</v>
      </c>
      <c r="P595" t="s">
        <v>732</v>
      </c>
      <c r="Q595" t="str" cm="1">
        <f t="array" ref="Q595">_xlfn.IFS(U595&lt;=_xlfn.QUARTILE.INC($U$2:$U1226,1),"Low",B595&lt;=_xlfn.QUARTILE.INC($U$2:$U$633,2),"Medium",TRUE,"High")</f>
        <v>High</v>
      </c>
      <c r="R595" t="s">
        <v>1325</v>
      </c>
      <c r="S595" s="4">
        <v>1252.52</v>
      </c>
      <c r="T595">
        <v>1417.24</v>
      </c>
      <c r="U595">
        <v>1417.24</v>
      </c>
      <c r="V595" s="7">
        <v>0.192</v>
      </c>
      <c r="W595" s="7">
        <v>0.192</v>
      </c>
      <c r="X595" s="7" t="str">
        <f t="shared" si="38"/>
        <v>okay</v>
      </c>
      <c r="Y595" s="9">
        <v>5</v>
      </c>
      <c r="Z595">
        <v>5725.6496000000006</v>
      </c>
      <c r="AA595">
        <v>6262.6</v>
      </c>
      <c r="AB595">
        <v>-536.95039999999972</v>
      </c>
      <c r="AC595">
        <v>-9.3779821943696953E-2</v>
      </c>
    </row>
    <row r="596" spans="1:29" x14ac:dyDescent="0.3">
      <c r="A596" t="s">
        <v>608</v>
      </c>
      <c r="B596" s="3">
        <v>45823</v>
      </c>
      <c r="C596" s="3" t="str">
        <v>Jun-2025</v>
      </c>
      <c r="D596" s="11" t="str">
        <f t="shared" si="36"/>
        <v>Q2-2025</v>
      </c>
      <c r="E596" s="3">
        <v>45850</v>
      </c>
      <c r="F596" s="3">
        <v>45823</v>
      </c>
      <c r="G596" s="4">
        <f t="shared" si="37"/>
        <v>27</v>
      </c>
      <c r="H596" s="4" t="str">
        <v>delayed</v>
      </c>
      <c r="I596" s="4">
        <f t="shared" si="39"/>
        <v>0</v>
      </c>
      <c r="J596" t="s">
        <v>649</v>
      </c>
      <c r="K596" t="s">
        <v>657</v>
      </c>
      <c r="L596" t="s">
        <v>673</v>
      </c>
      <c r="M596" t="s">
        <v>704</v>
      </c>
      <c r="N596" t="s">
        <v>711</v>
      </c>
      <c r="O596" t="s">
        <v>712</v>
      </c>
      <c r="P596" t="s">
        <v>733</v>
      </c>
      <c r="Q596" t="str" cm="1">
        <f t="array" ref="Q596">_xlfn.IFS(U596&lt;=_xlfn.QUARTILE.INC($U$2:$U1227,1),"Low",B596&lt;=_xlfn.QUARTILE.INC($U$2:$U$633,2),"Medium",TRUE,"High")</f>
        <v>High</v>
      </c>
      <c r="R596" t="s">
        <v>1326</v>
      </c>
      <c r="S596" s="4">
        <v>318.83</v>
      </c>
      <c r="T596">
        <v>699.5</v>
      </c>
      <c r="U596">
        <v>699.5</v>
      </c>
      <c r="V596" s="7">
        <v>0.08</v>
      </c>
      <c r="W596" s="7">
        <v>0.08</v>
      </c>
      <c r="X596" s="7" t="str">
        <f t="shared" si="38"/>
        <v>okay</v>
      </c>
      <c r="Y596" s="9">
        <v>13</v>
      </c>
      <c r="Z596">
        <v>8366.02</v>
      </c>
      <c r="AA596">
        <v>4144.79</v>
      </c>
      <c r="AB596">
        <v>4221.2300000000005</v>
      </c>
      <c r="AC596">
        <v>0.50456848059172699</v>
      </c>
    </row>
    <row r="597" spans="1:29" x14ac:dyDescent="0.3">
      <c r="A597" t="s">
        <v>609</v>
      </c>
      <c r="B597" s="3">
        <v>45473</v>
      </c>
      <c r="C597" s="3" t="str">
        <v>Jun-2024</v>
      </c>
      <c r="D597" s="11" t="str">
        <f t="shared" si="36"/>
        <v>Q2-2024</v>
      </c>
      <c r="E597" s="3">
        <v>45494</v>
      </c>
      <c r="F597" s="3">
        <v>45473</v>
      </c>
      <c r="G597" s="4">
        <f t="shared" si="37"/>
        <v>21</v>
      </c>
      <c r="H597" s="4" t="str">
        <v>delayed</v>
      </c>
      <c r="I597" s="4">
        <f t="shared" si="39"/>
        <v>0</v>
      </c>
      <c r="J597" t="s">
        <v>646</v>
      </c>
      <c r="K597" t="s">
        <v>650</v>
      </c>
      <c r="L597" t="s">
        <v>662</v>
      </c>
      <c r="M597" t="s">
        <v>705</v>
      </c>
      <c r="N597" t="s">
        <v>707</v>
      </c>
      <c r="O597" t="s">
        <v>723</v>
      </c>
      <c r="P597" t="s">
        <v>731</v>
      </c>
      <c r="Q597" t="str" cm="1">
        <f t="array" ref="Q597">_xlfn.IFS(U597&lt;=_xlfn.QUARTILE.INC($U$2:$U1228,1),"Low",B597&lt;=_xlfn.QUARTILE.INC($U$2:$U$633,2),"Medium",TRUE,"High")</f>
        <v>High</v>
      </c>
      <c r="R597" t="s">
        <v>1327</v>
      </c>
      <c r="S597" s="4">
        <v>753.43</v>
      </c>
      <c r="T597">
        <v>1787.2</v>
      </c>
      <c r="U597">
        <v>1787.2</v>
      </c>
      <c r="V597" s="7">
        <v>7.2999999999999995E-2</v>
      </c>
      <c r="W597" s="7">
        <v>7.2999999999999995E-2</v>
      </c>
      <c r="X597" s="7" t="str">
        <f t="shared" si="38"/>
        <v>okay</v>
      </c>
      <c r="Y597" s="9">
        <v>9</v>
      </c>
      <c r="Z597">
        <v>14910.609600000002</v>
      </c>
      <c r="AA597">
        <v>6780.87</v>
      </c>
      <c r="AB597">
        <v>8129.7396000000017</v>
      </c>
      <c r="AC597">
        <v>0.54523187301476939</v>
      </c>
    </row>
    <row r="598" spans="1:29" x14ac:dyDescent="0.3">
      <c r="A598" t="s">
        <v>610</v>
      </c>
      <c r="B598" s="3">
        <v>45705</v>
      </c>
      <c r="C598" s="3" t="str">
        <v>Feb-2025</v>
      </c>
      <c r="D598" s="11" t="str">
        <f t="shared" si="36"/>
        <v>Q1-2025</v>
      </c>
      <c r="E598" s="3">
        <v>45703</v>
      </c>
      <c r="F598" s="3">
        <v>45712</v>
      </c>
      <c r="G598" s="4">
        <f t="shared" si="37"/>
        <v>-9</v>
      </c>
      <c r="H598" s="4" t="str">
        <v>ontime</v>
      </c>
      <c r="I598" s="4">
        <f t="shared" si="39"/>
        <v>1</v>
      </c>
      <c r="J598" t="s">
        <v>648</v>
      </c>
      <c r="K598" t="s">
        <v>653</v>
      </c>
      <c r="L598" t="s">
        <v>667</v>
      </c>
      <c r="M598" t="s">
        <v>705</v>
      </c>
      <c r="N598" t="s">
        <v>707</v>
      </c>
      <c r="O598" t="s">
        <v>726</v>
      </c>
      <c r="P598" t="s">
        <v>727</v>
      </c>
      <c r="Q598" t="str" cm="1">
        <f t="array" ref="Q598">_xlfn.IFS(U598&lt;=_xlfn.QUARTILE.INC($U$2:$U1229,1),"Low",B598&lt;=_xlfn.QUARTILE.INC($U$2:$U$633,2),"Medium",TRUE,"High")</f>
        <v>High</v>
      </c>
      <c r="R598" t="s">
        <v>1328</v>
      </c>
      <c r="S598" s="4">
        <v>1133.47</v>
      </c>
      <c r="T598">
        <v>1698.75</v>
      </c>
      <c r="U598">
        <v>1698.75</v>
      </c>
      <c r="V598" s="7">
        <v>4.2999999999999997E-2</v>
      </c>
      <c r="W598" s="7">
        <v>4.2999999999999997E-2</v>
      </c>
      <c r="X598" s="7" t="str">
        <f t="shared" si="38"/>
        <v>okay</v>
      </c>
      <c r="Y598" s="9">
        <v>5</v>
      </c>
      <c r="Z598">
        <v>8128.5187499999993</v>
      </c>
      <c r="AA598">
        <v>5667.35</v>
      </c>
      <c r="AB598">
        <v>2461.1687499999989</v>
      </c>
      <c r="AC598">
        <v>0.30278194904821976</v>
      </c>
    </row>
    <row r="599" spans="1:29" x14ac:dyDescent="0.3">
      <c r="A599" t="s">
        <v>611</v>
      </c>
      <c r="B599" s="3">
        <v>44933</v>
      </c>
      <c r="C599" s="3" t="str">
        <v>Jan-2023</v>
      </c>
      <c r="D599" s="11" t="str">
        <f t="shared" si="36"/>
        <v>Q1-2023</v>
      </c>
      <c r="E599" s="3">
        <v>44956</v>
      </c>
      <c r="F599" s="3">
        <v>44933</v>
      </c>
      <c r="G599" s="4">
        <f t="shared" si="37"/>
        <v>23</v>
      </c>
      <c r="H599" s="4" t="str">
        <v>delayed</v>
      </c>
      <c r="I599" s="4">
        <f t="shared" si="39"/>
        <v>0</v>
      </c>
      <c r="J599" t="s">
        <v>646</v>
      </c>
      <c r="K599" t="s">
        <v>661</v>
      </c>
      <c r="L599" t="s">
        <v>695</v>
      </c>
      <c r="M599" t="s">
        <v>704</v>
      </c>
      <c r="N599" t="s">
        <v>708</v>
      </c>
      <c r="O599" t="s">
        <v>720</v>
      </c>
      <c r="P599" t="s">
        <v>728</v>
      </c>
      <c r="Q599" t="str" cm="1">
        <f t="array" ref="Q599">_xlfn.IFS(U599&lt;=_xlfn.QUARTILE.INC($U$2:$U1230,1),"Low",B599&lt;=_xlfn.QUARTILE.INC($U$2:$U$633,2),"Medium",TRUE,"High")</f>
        <v>High</v>
      </c>
      <c r="R599" t="s">
        <v>1329</v>
      </c>
      <c r="S599" s="4">
        <v>299.02</v>
      </c>
      <c r="T599">
        <v>724.7</v>
      </c>
      <c r="U599">
        <v>724.7</v>
      </c>
      <c r="V599" s="7">
        <v>0.14000000000000001</v>
      </c>
      <c r="W599" s="7">
        <v>0.14000000000000001</v>
      </c>
      <c r="X599" s="7" t="str">
        <f t="shared" si="38"/>
        <v>okay</v>
      </c>
      <c r="Y599" s="9">
        <v>5</v>
      </c>
      <c r="Z599">
        <v>3116.21</v>
      </c>
      <c r="AA599">
        <v>1495.1</v>
      </c>
      <c r="AB599">
        <v>1621.1100000000001</v>
      </c>
      <c r="AC599">
        <v>0.52021847051386139</v>
      </c>
    </row>
    <row r="600" spans="1:29" x14ac:dyDescent="0.3">
      <c r="A600" t="s">
        <v>612</v>
      </c>
      <c r="B600" s="3">
        <v>45726</v>
      </c>
      <c r="C600" s="3" t="str">
        <v>Mar-2025</v>
      </c>
      <c r="D600" s="11" t="str">
        <f t="shared" si="36"/>
        <v>Q1-2025</v>
      </c>
      <c r="E600" s="3">
        <v>45751</v>
      </c>
      <c r="F600" s="3">
        <v>45726</v>
      </c>
      <c r="G600" s="4">
        <f t="shared" si="37"/>
        <v>25</v>
      </c>
      <c r="H600" s="4" t="str">
        <v>delayed</v>
      </c>
      <c r="I600" s="4">
        <f t="shared" si="39"/>
        <v>0</v>
      </c>
      <c r="J600" t="s">
        <v>647</v>
      </c>
      <c r="K600" t="s">
        <v>652</v>
      </c>
      <c r="L600" t="s">
        <v>666</v>
      </c>
      <c r="M600" t="s">
        <v>701</v>
      </c>
      <c r="N600" t="s">
        <v>711</v>
      </c>
      <c r="O600" t="s">
        <v>722</v>
      </c>
      <c r="P600" t="s">
        <v>728</v>
      </c>
      <c r="Q600" t="str" cm="1">
        <f t="array" ref="Q600">_xlfn.IFS(U600&lt;=_xlfn.QUARTILE.INC($U$2:$U1231,1),"Low",B600&lt;=_xlfn.QUARTILE.INC($U$2:$U$633,2),"Medium",TRUE,"High")</f>
        <v>High</v>
      </c>
      <c r="R600" t="s">
        <v>1330</v>
      </c>
      <c r="S600" s="4">
        <v>783.72</v>
      </c>
      <c r="T600">
        <v>1355.94</v>
      </c>
      <c r="U600">
        <v>1355.94</v>
      </c>
      <c r="V600" s="7">
        <v>0.187</v>
      </c>
      <c r="W600" s="7">
        <v>0.187</v>
      </c>
      <c r="X600" s="7" t="str">
        <f t="shared" si="38"/>
        <v>okay</v>
      </c>
      <c r="Y600" s="9">
        <v>4</v>
      </c>
      <c r="Z600">
        <v>4409.5168800000001</v>
      </c>
      <c r="AA600">
        <v>3134.88</v>
      </c>
      <c r="AB600">
        <v>1274.63688</v>
      </c>
      <c r="AC600">
        <v>0.28906497348525856</v>
      </c>
    </row>
    <row r="601" spans="1:29" x14ac:dyDescent="0.3">
      <c r="A601" t="s">
        <v>613</v>
      </c>
      <c r="B601" s="3">
        <v>45521</v>
      </c>
      <c r="C601" s="3" t="str">
        <v>Aug-2024</v>
      </c>
      <c r="D601" s="11" t="str">
        <f t="shared" si="36"/>
        <v>Q3-2024</v>
      </c>
      <c r="E601" s="3">
        <v>45519</v>
      </c>
      <c r="F601" s="3">
        <v>45528</v>
      </c>
      <c r="G601" s="4">
        <f t="shared" si="37"/>
        <v>-9</v>
      </c>
      <c r="H601" s="4" t="str">
        <v>ontime</v>
      </c>
      <c r="I601" s="4">
        <f t="shared" si="39"/>
        <v>1</v>
      </c>
      <c r="J601" t="s">
        <v>648</v>
      </c>
      <c r="K601" t="s">
        <v>655</v>
      </c>
      <c r="L601" t="s">
        <v>692</v>
      </c>
      <c r="M601" t="s">
        <v>704</v>
      </c>
      <c r="N601" t="s">
        <v>711</v>
      </c>
      <c r="O601" t="s">
        <v>724</v>
      </c>
      <c r="P601" t="s">
        <v>732</v>
      </c>
      <c r="Q601" t="str" cm="1">
        <f t="array" ref="Q601">_xlfn.IFS(U601&lt;=_xlfn.QUARTILE.INC($U$2:$U1232,1),"Low",B601&lt;=_xlfn.QUARTILE.INC($U$2:$U$633,2),"Medium",TRUE,"High")</f>
        <v>Low</v>
      </c>
      <c r="R601" t="s">
        <v>1331</v>
      </c>
      <c r="S601" s="4">
        <v>165.3</v>
      </c>
      <c r="T601">
        <v>275.07</v>
      </c>
      <c r="U601">
        <v>275.07</v>
      </c>
      <c r="V601" s="7">
        <v>0.13300000000000001</v>
      </c>
      <c r="W601" s="7">
        <v>0.13300000000000001</v>
      </c>
      <c r="X601" s="7" t="str">
        <f t="shared" si="38"/>
        <v>okay</v>
      </c>
      <c r="Y601" s="9">
        <v>25</v>
      </c>
      <c r="Z601">
        <v>5962.1422499999999</v>
      </c>
      <c r="AA601">
        <v>4132.5</v>
      </c>
      <c r="AB601">
        <v>1829.6422499999999</v>
      </c>
      <c r="AC601">
        <v>0.30687665159280625</v>
      </c>
    </row>
    <row r="602" spans="1:29" x14ac:dyDescent="0.3">
      <c r="A602" t="s">
        <v>614</v>
      </c>
      <c r="B602" s="3">
        <v>45360</v>
      </c>
      <c r="C602" s="3" t="str">
        <v>Mar-2024</v>
      </c>
      <c r="D602" s="11" t="str">
        <f t="shared" si="36"/>
        <v>Q1-2024</v>
      </c>
      <c r="E602" s="3">
        <v>45373</v>
      </c>
      <c r="F602" s="3">
        <v>45360</v>
      </c>
      <c r="G602" s="4">
        <f t="shared" si="37"/>
        <v>13</v>
      </c>
      <c r="H602" s="4" t="str">
        <v>delayed</v>
      </c>
      <c r="I602" s="4">
        <f t="shared" si="39"/>
        <v>0</v>
      </c>
      <c r="J602" t="s">
        <v>649</v>
      </c>
      <c r="K602" t="s">
        <v>658</v>
      </c>
      <c r="L602" t="s">
        <v>693</v>
      </c>
      <c r="M602" t="s">
        <v>704</v>
      </c>
      <c r="N602" t="s">
        <v>708</v>
      </c>
      <c r="O602" t="s">
        <v>718</v>
      </c>
      <c r="P602" t="s">
        <v>731</v>
      </c>
      <c r="Q602" t="str" cm="1">
        <f t="array" ref="Q602">_xlfn.IFS(U602&lt;=_xlfn.QUARTILE.INC($U$2:$U1233,1),"Low",B602&lt;=_xlfn.QUARTILE.INC($U$2:$U$633,2),"Medium",TRUE,"High")</f>
        <v>High</v>
      </c>
      <c r="R602" t="s">
        <v>1332</v>
      </c>
      <c r="S602" s="4">
        <v>985.45</v>
      </c>
      <c r="T602">
        <v>1802.44</v>
      </c>
      <c r="U602">
        <v>1802.44</v>
      </c>
      <c r="V602" s="7">
        <v>8.9999999999999993E-3</v>
      </c>
      <c r="W602" s="7">
        <v>8.9999999999999993E-3</v>
      </c>
      <c r="X602" s="7" t="str">
        <f t="shared" si="38"/>
        <v>okay</v>
      </c>
      <c r="Y602" s="9">
        <v>19</v>
      </c>
      <c r="Z602">
        <v>33938.142760000002</v>
      </c>
      <c r="AA602">
        <v>18723.55</v>
      </c>
      <c r="AB602">
        <v>15214.592760000003</v>
      </c>
      <c r="AC602">
        <v>0.44830363486867486</v>
      </c>
    </row>
    <row r="603" spans="1:29" x14ac:dyDescent="0.3">
      <c r="A603" t="s">
        <v>615</v>
      </c>
      <c r="B603" s="3">
        <v>45523</v>
      </c>
      <c r="C603" s="3" t="str">
        <v>Aug-2024</v>
      </c>
      <c r="D603" s="11" t="str">
        <f t="shared" si="36"/>
        <v>Q3-2024</v>
      </c>
      <c r="E603" s="3">
        <v>45537</v>
      </c>
      <c r="F603" s="3">
        <v>45523</v>
      </c>
      <c r="G603" s="4">
        <f t="shared" si="37"/>
        <v>14</v>
      </c>
      <c r="H603" s="4" t="str">
        <v>delayed</v>
      </c>
      <c r="I603" s="4">
        <f t="shared" si="39"/>
        <v>0</v>
      </c>
      <c r="J603" t="s">
        <v>648</v>
      </c>
      <c r="K603" t="s">
        <v>653</v>
      </c>
      <c r="L603" t="s">
        <v>667</v>
      </c>
      <c r="M603" t="s">
        <v>704</v>
      </c>
      <c r="N603" t="s">
        <v>710</v>
      </c>
      <c r="O603" t="s">
        <v>712</v>
      </c>
      <c r="P603" t="s">
        <v>728</v>
      </c>
      <c r="Q603" t="str" cm="1">
        <f t="array" ref="Q603">_xlfn.IFS(U603&lt;=_xlfn.QUARTILE.INC($U$2:$U1234,1),"Low",B603&lt;=_xlfn.QUARTILE.INC($U$2:$U$633,2),"Medium",TRUE,"High")</f>
        <v>High</v>
      </c>
      <c r="R603" t="s">
        <v>1333</v>
      </c>
      <c r="S603" s="4">
        <v>1337.01</v>
      </c>
      <c r="T603">
        <v>1269.78</v>
      </c>
      <c r="U603">
        <v>1269.78</v>
      </c>
      <c r="V603" s="7">
        <v>0.16</v>
      </c>
      <c r="W603" s="7">
        <v>0.16</v>
      </c>
      <c r="X603" s="7" t="str">
        <f t="shared" si="38"/>
        <v>okay</v>
      </c>
      <c r="Y603" s="9">
        <v>7</v>
      </c>
      <c r="Z603">
        <v>7466.3063999999986</v>
      </c>
      <c r="AA603">
        <v>9359.07</v>
      </c>
      <c r="AB603">
        <v>-1892.7636000000011</v>
      </c>
      <c r="AC603">
        <v>-0.25350735672996244</v>
      </c>
    </row>
    <row r="604" spans="1:29" x14ac:dyDescent="0.3">
      <c r="A604" t="s">
        <v>616</v>
      </c>
      <c r="B604" s="3">
        <v>45880</v>
      </c>
      <c r="C604" s="3" t="str">
        <v>Aug-2025</v>
      </c>
      <c r="D604" s="11" t="str">
        <f t="shared" si="36"/>
        <v>Q3-2025</v>
      </c>
      <c r="E604" s="3">
        <v>45897</v>
      </c>
      <c r="F604" s="3">
        <v>45880</v>
      </c>
      <c r="G604" s="4">
        <f t="shared" si="37"/>
        <v>17</v>
      </c>
      <c r="H604" s="4" t="str">
        <v>delayed</v>
      </c>
      <c r="I604" s="4">
        <f t="shared" si="39"/>
        <v>0</v>
      </c>
      <c r="J604" t="s">
        <v>649</v>
      </c>
      <c r="K604" t="s">
        <v>657</v>
      </c>
      <c r="L604" t="s">
        <v>690</v>
      </c>
      <c r="M604" t="s">
        <v>702</v>
      </c>
      <c r="N604" t="s">
        <v>708</v>
      </c>
      <c r="O604" t="s">
        <v>721</v>
      </c>
      <c r="P604" t="s">
        <v>729</v>
      </c>
      <c r="Q604" t="str" cm="1">
        <f t="array" ref="Q604">_xlfn.IFS(U604&lt;=_xlfn.QUARTILE.INC($U$2:$U1235,1),"Low",B604&lt;=_xlfn.QUARTILE.INC($U$2:$U$633,2),"Medium",TRUE,"High")</f>
        <v>Low</v>
      </c>
      <c r="R604" t="s">
        <v>1334</v>
      </c>
      <c r="S604" s="4">
        <v>416.16</v>
      </c>
      <c r="T604">
        <v>571.9</v>
      </c>
      <c r="U604">
        <v>571.9</v>
      </c>
      <c r="V604" s="7">
        <v>7.0999999999999994E-2</v>
      </c>
      <c r="W604" s="7">
        <v>7.0999999999999994E-2</v>
      </c>
      <c r="X604" s="7" t="str">
        <f t="shared" si="38"/>
        <v>okay</v>
      </c>
      <c r="Y604" s="9">
        <v>2</v>
      </c>
      <c r="Z604">
        <v>1062.5902000000001</v>
      </c>
      <c r="AA604">
        <v>832.32</v>
      </c>
      <c r="AB604">
        <v>230.27020000000005</v>
      </c>
      <c r="AC604">
        <v>0.21670649701079497</v>
      </c>
    </row>
    <row r="605" spans="1:29" x14ac:dyDescent="0.3">
      <c r="A605" t="s">
        <v>617</v>
      </c>
      <c r="B605" s="3">
        <v>45793</v>
      </c>
      <c r="C605" s="3" t="str">
        <v>May-2025</v>
      </c>
      <c r="D605" s="11" t="str">
        <f t="shared" si="36"/>
        <v>Q2-2025</v>
      </c>
      <c r="E605" s="3">
        <v>45795</v>
      </c>
      <c r="F605" s="3">
        <v>45793</v>
      </c>
      <c r="G605" s="4">
        <f t="shared" si="37"/>
        <v>2</v>
      </c>
      <c r="H605" s="4" t="str">
        <v>ontime</v>
      </c>
      <c r="I605" s="4">
        <f t="shared" si="39"/>
        <v>1</v>
      </c>
      <c r="J605" t="s">
        <v>647</v>
      </c>
      <c r="K605" t="s">
        <v>652</v>
      </c>
      <c r="L605" t="s">
        <v>689</v>
      </c>
      <c r="M605" t="s">
        <v>706</v>
      </c>
      <c r="N605" t="s">
        <v>707</v>
      </c>
      <c r="O605" t="s">
        <v>713</v>
      </c>
      <c r="P605" t="s">
        <v>728</v>
      </c>
      <c r="Q605" t="str" cm="1">
        <f t="array" ref="Q605">_xlfn.IFS(U605&lt;=_xlfn.QUARTILE.INC($U$2:$U1236,1),"Low",B605&lt;=_xlfn.QUARTILE.INC($U$2:$U$633,2),"Medium",TRUE,"High")</f>
        <v>High</v>
      </c>
      <c r="R605" t="s">
        <v>1335</v>
      </c>
      <c r="S605" s="4">
        <v>1144.3800000000001</v>
      </c>
      <c r="T605">
        <v>2755.04</v>
      </c>
      <c r="U605">
        <v>2755.04</v>
      </c>
      <c r="V605" s="7">
        <v>0.15</v>
      </c>
      <c r="W605" s="7">
        <v>0.15</v>
      </c>
      <c r="X605" s="7" t="str">
        <f t="shared" si="38"/>
        <v>okay</v>
      </c>
      <c r="Y605" s="9">
        <v>17</v>
      </c>
      <c r="Z605">
        <v>39810.328000000001</v>
      </c>
      <c r="AA605">
        <v>19454.460000000003</v>
      </c>
      <c r="AB605">
        <v>20355.867999999999</v>
      </c>
      <c r="AC605">
        <v>0.51132128326096682</v>
      </c>
    </row>
    <row r="606" spans="1:29" x14ac:dyDescent="0.3">
      <c r="A606" t="s">
        <v>618</v>
      </c>
      <c r="B606" s="3">
        <v>45026</v>
      </c>
      <c r="C606" s="3" t="str">
        <v>Apr-2023</v>
      </c>
      <c r="D606" s="11" t="str">
        <f t="shared" si="36"/>
        <v>Q2-2023</v>
      </c>
      <c r="E606" s="3">
        <v>45041</v>
      </c>
      <c r="F606" s="3">
        <v>45026</v>
      </c>
      <c r="G606" s="4">
        <f t="shared" si="37"/>
        <v>15</v>
      </c>
      <c r="H606" s="4" t="str">
        <v>delayed</v>
      </c>
      <c r="I606" s="4">
        <f t="shared" si="39"/>
        <v>0</v>
      </c>
      <c r="J606" t="s">
        <v>649</v>
      </c>
      <c r="K606" t="s">
        <v>658</v>
      </c>
      <c r="L606" t="s">
        <v>683</v>
      </c>
      <c r="M606" t="s">
        <v>705</v>
      </c>
      <c r="N606" t="s">
        <v>707</v>
      </c>
      <c r="O606" t="s">
        <v>726</v>
      </c>
      <c r="P606" t="s">
        <v>728</v>
      </c>
      <c r="Q606" t="str" cm="1">
        <f t="array" ref="Q606">_xlfn.IFS(U606&lt;=_xlfn.QUARTILE.INC($U$2:$U1237,1),"Low",B606&lt;=_xlfn.QUARTILE.INC($U$2:$U$633,2),"Medium",TRUE,"High")</f>
        <v>High</v>
      </c>
      <c r="R606" t="s">
        <v>1336</v>
      </c>
      <c r="S606" s="4">
        <v>405.66</v>
      </c>
      <c r="T606">
        <v>962.51</v>
      </c>
      <c r="U606">
        <v>962.51</v>
      </c>
      <c r="V606" s="7">
        <v>0.19</v>
      </c>
      <c r="W606" s="7">
        <v>0.19</v>
      </c>
      <c r="X606" s="7" t="str">
        <f t="shared" si="38"/>
        <v>okay</v>
      </c>
      <c r="Y606" s="9">
        <v>7</v>
      </c>
      <c r="Z606">
        <v>5457.4317000000001</v>
      </c>
      <c r="AA606">
        <v>2839.6200000000003</v>
      </c>
      <c r="AB606">
        <v>2617.8116999999997</v>
      </c>
      <c r="AC606">
        <v>0.47967832561239376</v>
      </c>
    </row>
    <row r="607" spans="1:29" x14ac:dyDescent="0.3">
      <c r="A607" t="s">
        <v>619</v>
      </c>
      <c r="B607" s="3">
        <v>45186</v>
      </c>
      <c r="C607" s="3" t="str">
        <v>Sep-2023</v>
      </c>
      <c r="D607" s="11" t="str">
        <f t="shared" si="36"/>
        <v>Q3-2023</v>
      </c>
      <c r="E607" s="3">
        <v>45201</v>
      </c>
      <c r="F607" s="3">
        <v>45186</v>
      </c>
      <c r="G607" s="4">
        <f t="shared" si="37"/>
        <v>15</v>
      </c>
      <c r="H607" s="4" t="str">
        <v>delayed</v>
      </c>
      <c r="I607" s="4">
        <f t="shared" si="39"/>
        <v>0</v>
      </c>
      <c r="J607" t="s">
        <v>648</v>
      </c>
      <c r="K607" t="s">
        <v>655</v>
      </c>
      <c r="L607" t="s">
        <v>692</v>
      </c>
      <c r="M607" t="s">
        <v>705</v>
      </c>
      <c r="N607" t="s">
        <v>707</v>
      </c>
      <c r="O607" t="s">
        <v>717</v>
      </c>
      <c r="P607" t="s">
        <v>731</v>
      </c>
      <c r="Q607" t="str" cm="1">
        <f t="array" ref="Q607">_xlfn.IFS(U607&lt;=_xlfn.QUARTILE.INC($U$2:$U1238,1),"Low",B607&lt;=_xlfn.QUARTILE.INC($U$2:$U$633,2),"Medium",TRUE,"High")</f>
        <v>High</v>
      </c>
      <c r="R607" t="s">
        <v>1337</v>
      </c>
      <c r="S607" s="4">
        <v>689.33</v>
      </c>
      <c r="T607">
        <v>668.27</v>
      </c>
      <c r="U607">
        <v>668.27</v>
      </c>
      <c r="V607" s="7">
        <v>0.186</v>
      </c>
      <c r="W607" s="7">
        <v>0.186</v>
      </c>
      <c r="X607" s="7" t="str">
        <f t="shared" si="38"/>
        <v>okay</v>
      </c>
      <c r="Y607" s="9">
        <v>13</v>
      </c>
      <c r="Z607">
        <v>7071.6331400000008</v>
      </c>
      <c r="AA607">
        <v>8961.2900000000009</v>
      </c>
      <c r="AB607">
        <v>-1889.6568600000001</v>
      </c>
      <c r="AC607">
        <v>-0.26721647214861033</v>
      </c>
    </row>
    <row r="608" spans="1:29" x14ac:dyDescent="0.3">
      <c r="A608" t="s">
        <v>620</v>
      </c>
      <c r="B608" s="3">
        <v>45038</v>
      </c>
      <c r="C608" s="3" t="str">
        <v>Apr-2023</v>
      </c>
      <c r="D608" s="11" t="str">
        <f t="shared" si="36"/>
        <v>Q2-2023</v>
      </c>
      <c r="E608" s="3">
        <v>45060</v>
      </c>
      <c r="F608" s="3">
        <v>45038</v>
      </c>
      <c r="G608" s="4">
        <f t="shared" si="37"/>
        <v>22</v>
      </c>
      <c r="H608" s="4" t="str">
        <v>delayed</v>
      </c>
      <c r="I608" s="4">
        <f t="shared" si="39"/>
        <v>0</v>
      </c>
      <c r="J608" t="s">
        <v>647</v>
      </c>
      <c r="K608" t="s">
        <v>652</v>
      </c>
      <c r="L608" t="s">
        <v>694</v>
      </c>
      <c r="M608" t="s">
        <v>706</v>
      </c>
      <c r="N608" t="s">
        <v>707</v>
      </c>
      <c r="O608" t="s">
        <v>720</v>
      </c>
      <c r="P608" t="s">
        <v>733</v>
      </c>
      <c r="Q608" t="str" cm="1">
        <f t="array" ref="Q608">_xlfn.IFS(U608&lt;=_xlfn.QUARTILE.INC($U$2:$U1239,1),"Low",B608&lt;=_xlfn.QUARTILE.INC($U$2:$U$633,2),"Medium",TRUE,"High")</f>
        <v>High</v>
      </c>
      <c r="R608" t="s">
        <v>1338</v>
      </c>
      <c r="S608" s="4">
        <v>1209.22</v>
      </c>
      <c r="T608">
        <v>1404.33</v>
      </c>
      <c r="U608">
        <v>1404.33</v>
      </c>
      <c r="V608" s="7">
        <v>0.10299999999999999</v>
      </c>
      <c r="W608" s="7">
        <v>0.10299999999999999</v>
      </c>
      <c r="X608" s="7" t="str">
        <f t="shared" si="38"/>
        <v>okay</v>
      </c>
      <c r="Y608" s="9">
        <v>11</v>
      </c>
      <c r="Z608">
        <v>13856.52411</v>
      </c>
      <c r="AA608">
        <v>13301.42</v>
      </c>
      <c r="AB608">
        <v>555.10411000000022</v>
      </c>
      <c r="AC608">
        <v>4.0060848275751328E-2</v>
      </c>
    </row>
    <row r="609" spans="1:29" x14ac:dyDescent="0.3">
      <c r="A609" t="s">
        <v>621</v>
      </c>
      <c r="B609" s="3">
        <v>45827</v>
      </c>
      <c r="C609" s="3" t="str">
        <v>Jun-2025</v>
      </c>
      <c r="D609" s="11" t="str">
        <f t="shared" si="36"/>
        <v>Q2-2025</v>
      </c>
      <c r="E609" s="3">
        <v>45829</v>
      </c>
      <c r="F609" s="3">
        <v>45827</v>
      </c>
      <c r="G609" s="4">
        <f t="shared" si="37"/>
        <v>2</v>
      </c>
      <c r="H609" s="4" t="str">
        <v>ontime</v>
      </c>
      <c r="I609" s="4">
        <f t="shared" si="39"/>
        <v>1</v>
      </c>
      <c r="J609" t="s">
        <v>646</v>
      </c>
      <c r="K609" t="s">
        <v>661</v>
      </c>
      <c r="L609" t="s">
        <v>682</v>
      </c>
      <c r="M609" t="s">
        <v>705</v>
      </c>
      <c r="N609" t="s">
        <v>1421</v>
      </c>
      <c r="O609" t="s">
        <v>722</v>
      </c>
      <c r="P609" t="s">
        <v>730</v>
      </c>
      <c r="Q609" t="str" cm="1">
        <f t="array" ref="Q609">_xlfn.IFS(U609&lt;=_xlfn.QUARTILE.INC($U$2:$U1240,1),"Low",B609&lt;=_xlfn.QUARTILE.INC($U$2:$U$633,2),"Medium",TRUE,"High")</f>
        <v>High</v>
      </c>
      <c r="R609" t="s">
        <v>1339</v>
      </c>
      <c r="S609" s="4">
        <v>1466.27</v>
      </c>
      <c r="T609">
        <v>3589.89</v>
      </c>
      <c r="U609">
        <v>3589.89</v>
      </c>
      <c r="V609" s="7">
        <v>9.7000000000000003E-2</v>
      </c>
      <c r="W609" s="7">
        <v>9.7000000000000003E-2</v>
      </c>
      <c r="X609" s="7" t="str">
        <f t="shared" si="38"/>
        <v>okay</v>
      </c>
      <c r="Y609" s="9">
        <v>9</v>
      </c>
      <c r="Z609">
        <v>29175.036029999999</v>
      </c>
      <c r="AA609">
        <v>13196.43</v>
      </c>
      <c r="AB609">
        <v>15978.606029999999</v>
      </c>
      <c r="AC609">
        <v>0.54768076425234147</v>
      </c>
    </row>
    <row r="610" spans="1:29" x14ac:dyDescent="0.3">
      <c r="A610" t="s">
        <v>622</v>
      </c>
      <c r="B610" s="3">
        <v>45623</v>
      </c>
      <c r="C610" s="3" t="str">
        <v>Nov-2024</v>
      </c>
      <c r="D610" s="11" t="str">
        <f t="shared" si="36"/>
        <v>Q4-2024</v>
      </c>
      <c r="E610" s="3">
        <v>45650</v>
      </c>
      <c r="F610" s="3">
        <v>45623</v>
      </c>
      <c r="G610" s="4">
        <f t="shared" si="37"/>
        <v>27</v>
      </c>
      <c r="H610" s="4" t="str">
        <v>delayed</v>
      </c>
      <c r="I610" s="4">
        <f t="shared" si="39"/>
        <v>0</v>
      </c>
      <c r="J610" t="s">
        <v>646</v>
      </c>
      <c r="K610" t="s">
        <v>650</v>
      </c>
      <c r="L610" t="s">
        <v>675</v>
      </c>
      <c r="M610" t="s">
        <v>701</v>
      </c>
      <c r="N610" t="s">
        <v>710</v>
      </c>
      <c r="O610" t="s">
        <v>717</v>
      </c>
      <c r="P610" t="s">
        <v>728</v>
      </c>
      <c r="Q610" t="str" cm="1">
        <f t="array" ref="Q610">_xlfn.IFS(U610&lt;=_xlfn.QUARTILE.INC($U$2:$U1241,1),"Low",B610&lt;=_xlfn.QUARTILE.INC($U$2:$U$633,2),"Medium",TRUE,"High")</f>
        <v>Low</v>
      </c>
      <c r="R610" t="s">
        <v>1340</v>
      </c>
      <c r="S610" s="4">
        <v>143.33000000000001</v>
      </c>
      <c r="T610">
        <v>233.51</v>
      </c>
      <c r="U610">
        <v>233.51</v>
      </c>
      <c r="V610" s="7">
        <v>0.16300000000000001</v>
      </c>
      <c r="W610" s="7">
        <v>0.16300000000000001</v>
      </c>
      <c r="X610" s="7" t="str">
        <f t="shared" si="38"/>
        <v>okay</v>
      </c>
      <c r="Y610" s="9">
        <v>14</v>
      </c>
      <c r="Z610">
        <v>2736.27018</v>
      </c>
      <c r="AA610">
        <v>2006.6200000000001</v>
      </c>
      <c r="AB610">
        <v>729.65017999999986</v>
      </c>
      <c r="AC610">
        <v>0.26665867476580835</v>
      </c>
    </row>
    <row r="611" spans="1:29" x14ac:dyDescent="0.3">
      <c r="A611" t="s">
        <v>623</v>
      </c>
      <c r="B611" s="3">
        <v>45319</v>
      </c>
      <c r="C611" s="3" t="str">
        <v>Jan-2024</v>
      </c>
      <c r="D611" s="11" t="str">
        <f t="shared" si="36"/>
        <v>Q1-2024</v>
      </c>
      <c r="E611" s="3">
        <v>45318</v>
      </c>
      <c r="F611" s="3">
        <v>45326</v>
      </c>
      <c r="G611" s="4">
        <f t="shared" si="37"/>
        <v>-8</v>
      </c>
      <c r="H611" s="4" t="str">
        <v>ontime</v>
      </c>
      <c r="I611" s="4">
        <f t="shared" si="39"/>
        <v>1</v>
      </c>
      <c r="J611" t="s">
        <v>646</v>
      </c>
      <c r="K611" t="s">
        <v>661</v>
      </c>
      <c r="L611" t="s">
        <v>695</v>
      </c>
      <c r="M611" t="s">
        <v>706</v>
      </c>
      <c r="N611" t="s">
        <v>711</v>
      </c>
      <c r="O611" t="s">
        <v>719</v>
      </c>
      <c r="P611" t="s">
        <v>727</v>
      </c>
      <c r="Q611" t="str" cm="1">
        <f t="array" ref="Q611">_xlfn.IFS(U611&lt;=_xlfn.QUARTILE.INC($U$2:$U1242,1),"Low",B611&lt;=_xlfn.QUARTILE.INC($U$2:$U$633,2),"Medium",TRUE,"High")</f>
        <v>Low</v>
      </c>
      <c r="R611" t="s">
        <v>1341</v>
      </c>
      <c r="S611" s="4">
        <v>109.75</v>
      </c>
      <c r="T611">
        <v>124.25</v>
      </c>
      <c r="U611">
        <v>124.25</v>
      </c>
      <c r="V611" s="7">
        <v>0.12</v>
      </c>
      <c r="W611" s="7">
        <v>0.12</v>
      </c>
      <c r="X611" s="7" t="str">
        <f t="shared" si="38"/>
        <v>okay</v>
      </c>
      <c r="Y611" s="9">
        <v>19</v>
      </c>
      <c r="Z611">
        <v>2077.46</v>
      </c>
      <c r="AA611">
        <v>2085.25</v>
      </c>
      <c r="AB611">
        <v>-7.7899999999999636</v>
      </c>
      <c r="AC611">
        <v>-3.7497713554051405E-3</v>
      </c>
    </row>
    <row r="612" spans="1:29" x14ac:dyDescent="0.3">
      <c r="A612" t="s">
        <v>624</v>
      </c>
      <c r="B612" s="3">
        <v>45032</v>
      </c>
      <c r="C612" s="3" t="str">
        <v>Apr-2023</v>
      </c>
      <c r="D612" s="11" t="str">
        <f t="shared" si="36"/>
        <v>Q2-2023</v>
      </c>
      <c r="E612" s="3">
        <v>45039</v>
      </c>
      <c r="F612" s="3">
        <v>45032</v>
      </c>
      <c r="G612" s="4">
        <f t="shared" si="37"/>
        <v>7</v>
      </c>
      <c r="H612" s="4" t="str">
        <v>ontime</v>
      </c>
      <c r="I612" s="4">
        <f t="shared" si="39"/>
        <v>1</v>
      </c>
      <c r="J612" t="s">
        <v>648</v>
      </c>
      <c r="K612" t="s">
        <v>660</v>
      </c>
      <c r="L612" t="s">
        <v>697</v>
      </c>
      <c r="M612" t="s">
        <v>701</v>
      </c>
      <c r="N612" t="s">
        <v>710</v>
      </c>
      <c r="O612" t="s">
        <v>719</v>
      </c>
      <c r="P612" t="s">
        <v>728</v>
      </c>
      <c r="Q612" t="str" cm="1">
        <f t="array" ref="Q612">_xlfn.IFS(U612&lt;=_xlfn.QUARTILE.INC($U$2:$U1243,1),"Low",B612&lt;=_xlfn.QUARTILE.INC($U$2:$U$633,2),"Medium",TRUE,"High")</f>
        <v>High</v>
      </c>
      <c r="R612" t="s">
        <v>1342</v>
      </c>
      <c r="S612" s="4">
        <v>1099.1500000000001</v>
      </c>
      <c r="T612">
        <v>1431.37</v>
      </c>
      <c r="U612">
        <v>1431.37</v>
      </c>
      <c r="V612" s="7">
        <v>0.104</v>
      </c>
      <c r="W612" s="7">
        <v>0.104</v>
      </c>
      <c r="X612" s="7" t="str">
        <f t="shared" si="38"/>
        <v>okay</v>
      </c>
      <c r="Y612" s="9">
        <v>8</v>
      </c>
      <c r="Z612">
        <v>10260.060159999999</v>
      </c>
      <c r="AA612">
        <v>8793.2000000000007</v>
      </c>
      <c r="AB612">
        <v>1466.8601599999984</v>
      </c>
      <c r="AC612">
        <v>0.14296798821109433</v>
      </c>
    </row>
    <row r="613" spans="1:29" x14ac:dyDescent="0.3">
      <c r="A613" t="s">
        <v>625</v>
      </c>
      <c r="B613" s="3">
        <v>45323</v>
      </c>
      <c r="C613" s="3" t="str">
        <v>Feb-2024</v>
      </c>
      <c r="D613" s="11" t="str">
        <f t="shared" si="36"/>
        <v>Q1-2024</v>
      </c>
      <c r="E613" s="3">
        <v>45323</v>
      </c>
      <c r="F613" s="3">
        <v>45323</v>
      </c>
      <c r="G613" s="4">
        <f t="shared" si="37"/>
        <v>0</v>
      </c>
      <c r="H613" s="4" t="str">
        <v>ontime</v>
      </c>
      <c r="I613" s="4">
        <f t="shared" si="39"/>
        <v>1</v>
      </c>
      <c r="J613" t="s">
        <v>648</v>
      </c>
      <c r="K613" t="s">
        <v>660</v>
      </c>
      <c r="L613" t="s">
        <v>697</v>
      </c>
      <c r="M613" t="s">
        <v>704</v>
      </c>
      <c r="N613" t="s">
        <v>710</v>
      </c>
      <c r="O613" t="s">
        <v>722</v>
      </c>
      <c r="P613" t="s">
        <v>728</v>
      </c>
      <c r="Q613" t="str" cm="1">
        <f t="array" ref="Q613">_xlfn.IFS(U613&lt;=_xlfn.QUARTILE.INC($U$2:$U1244,1),"Low",B613&lt;=_xlfn.QUARTILE.INC($U$2:$U$633,2),"Medium",TRUE,"High")</f>
        <v>High</v>
      </c>
      <c r="R613" t="s">
        <v>1343</v>
      </c>
      <c r="S613" s="4">
        <v>714.43</v>
      </c>
      <c r="T613">
        <v>1595.52</v>
      </c>
      <c r="U613">
        <v>1595.52</v>
      </c>
      <c r="V613" s="7">
        <v>0.19400000000000001</v>
      </c>
      <c r="W613" s="7">
        <v>0.19400000000000001</v>
      </c>
      <c r="X613" s="7" t="str">
        <f t="shared" si="38"/>
        <v>okay</v>
      </c>
      <c r="Y613" s="9">
        <v>14</v>
      </c>
      <c r="Z613">
        <v>18003.847679999999</v>
      </c>
      <c r="AA613">
        <v>10002.019999999999</v>
      </c>
      <c r="AB613">
        <v>8001.8276800000003</v>
      </c>
      <c r="AC613">
        <v>0.44445097638151093</v>
      </c>
    </row>
    <row r="614" spans="1:29" x14ac:dyDescent="0.3">
      <c r="A614" t="s">
        <v>626</v>
      </c>
      <c r="B614" s="3">
        <v>45584</v>
      </c>
      <c r="C614" s="3" t="str">
        <v>Oct-2024</v>
      </c>
      <c r="D614" s="11" t="str">
        <f t="shared" si="36"/>
        <v>Q4-2024</v>
      </c>
      <c r="E614" s="3">
        <v>45602</v>
      </c>
      <c r="F614" s="3">
        <v>45584</v>
      </c>
      <c r="G614" s="4">
        <f t="shared" si="37"/>
        <v>18</v>
      </c>
      <c r="H614" s="4" t="str">
        <v>delayed</v>
      </c>
      <c r="I614" s="4">
        <f t="shared" si="39"/>
        <v>0</v>
      </c>
      <c r="J614" t="s">
        <v>648</v>
      </c>
      <c r="K614" t="s">
        <v>660</v>
      </c>
      <c r="L614" t="s">
        <v>677</v>
      </c>
      <c r="M614" t="s">
        <v>702</v>
      </c>
      <c r="N614" t="s">
        <v>1421</v>
      </c>
      <c r="O614" t="s">
        <v>712</v>
      </c>
      <c r="P614" t="s">
        <v>732</v>
      </c>
      <c r="Q614" t="str" cm="1">
        <f t="array" ref="Q614">_xlfn.IFS(U614&lt;=_xlfn.QUARTILE.INC($U$2:$U1245,1),"Low",B614&lt;=_xlfn.QUARTILE.INC($U$2:$U$633,2),"Medium",TRUE,"High")</f>
        <v>High</v>
      </c>
      <c r="R614" t="s">
        <v>1344</v>
      </c>
      <c r="S614" s="4">
        <v>942.02</v>
      </c>
      <c r="T614">
        <v>1028.46</v>
      </c>
      <c r="U614">
        <v>1028.46</v>
      </c>
      <c r="V614" s="7">
        <v>0</v>
      </c>
      <c r="W614" s="7">
        <v>0</v>
      </c>
      <c r="X614" s="7" t="str">
        <f t="shared" si="38"/>
        <v>okay</v>
      </c>
      <c r="Y614" s="9">
        <v>9</v>
      </c>
      <c r="Z614">
        <v>9256.14</v>
      </c>
      <c r="AA614">
        <v>8478.18</v>
      </c>
      <c r="AB614">
        <v>777.95999999999913</v>
      </c>
      <c r="AC614">
        <v>8.4047994088248354E-2</v>
      </c>
    </row>
    <row r="615" spans="1:29" x14ac:dyDescent="0.3">
      <c r="A615" t="s">
        <v>627</v>
      </c>
      <c r="B615" s="3">
        <v>45468</v>
      </c>
      <c r="C615" s="3" t="str">
        <v>Jun-2024</v>
      </c>
      <c r="D615" s="11" t="str">
        <f t="shared" si="36"/>
        <v>Q2-2024</v>
      </c>
      <c r="E615" s="3">
        <v>45473</v>
      </c>
      <c r="F615" s="3">
        <v>45468</v>
      </c>
      <c r="G615" s="4">
        <f t="shared" si="37"/>
        <v>5</v>
      </c>
      <c r="H615" s="4" t="str">
        <v>ontime</v>
      </c>
      <c r="I615" s="4">
        <f t="shared" si="39"/>
        <v>1</v>
      </c>
      <c r="J615" t="s">
        <v>646</v>
      </c>
      <c r="K615" t="s">
        <v>650</v>
      </c>
      <c r="L615" t="s">
        <v>662</v>
      </c>
      <c r="M615" t="s">
        <v>702</v>
      </c>
      <c r="N615" t="s">
        <v>711</v>
      </c>
      <c r="O615" t="s">
        <v>724</v>
      </c>
      <c r="P615" t="s">
        <v>729</v>
      </c>
      <c r="Q615" t="str" cm="1">
        <f t="array" ref="Q615">_xlfn.IFS(U615&lt;=_xlfn.QUARTILE.INC($U$2:$U1246,1),"Low",B615&lt;=_xlfn.QUARTILE.INC($U$2:$U$633,2),"Medium",TRUE,"High")</f>
        <v>High</v>
      </c>
      <c r="R615" t="s">
        <v>1345</v>
      </c>
      <c r="S615" s="4">
        <v>1323.55</v>
      </c>
      <c r="T615">
        <v>3230.35</v>
      </c>
      <c r="U615">
        <v>3230.35</v>
      </c>
      <c r="V615" s="7">
        <v>2.1999999999999999E-2</v>
      </c>
      <c r="W615" s="7">
        <v>2.1999999999999999E-2</v>
      </c>
      <c r="X615" s="7" t="str">
        <f t="shared" si="38"/>
        <v>okay</v>
      </c>
      <c r="Y615" s="9">
        <v>26</v>
      </c>
      <c r="Z615">
        <v>82141.339799999987</v>
      </c>
      <c r="AA615">
        <v>34412.299999999996</v>
      </c>
      <c r="AB615">
        <v>47729.039799999991</v>
      </c>
      <c r="AC615">
        <v>0.58105991351263542</v>
      </c>
    </row>
    <row r="616" spans="1:29" x14ac:dyDescent="0.3">
      <c r="A616" t="s">
        <v>628</v>
      </c>
      <c r="B616" s="3">
        <v>45137</v>
      </c>
      <c r="C616" s="3" t="str">
        <v>Jul-2023</v>
      </c>
      <c r="D616" s="11" t="str">
        <f t="shared" si="36"/>
        <v>Q3-2023</v>
      </c>
      <c r="E616" s="3">
        <v>45157</v>
      </c>
      <c r="F616" s="3">
        <v>45137</v>
      </c>
      <c r="G616" s="4">
        <f t="shared" si="37"/>
        <v>20</v>
      </c>
      <c r="H616" s="4" t="str">
        <v>delayed</v>
      </c>
      <c r="I616" s="4">
        <f t="shared" si="39"/>
        <v>0</v>
      </c>
      <c r="J616" t="s">
        <v>649</v>
      </c>
      <c r="K616" t="s">
        <v>657</v>
      </c>
      <c r="L616" t="s">
        <v>690</v>
      </c>
      <c r="M616" t="s">
        <v>706</v>
      </c>
      <c r="N616" t="s">
        <v>709</v>
      </c>
      <c r="O616" t="s">
        <v>715</v>
      </c>
      <c r="P616" t="s">
        <v>729</v>
      </c>
      <c r="Q616" t="str" cm="1">
        <f t="array" ref="Q616">_xlfn.IFS(U616&lt;=_xlfn.QUARTILE.INC($U$2:$U1247,1),"Low",B616&lt;=_xlfn.QUARTILE.INC($U$2:$U$633,2),"Medium",TRUE,"High")</f>
        <v>High</v>
      </c>
      <c r="R616" t="s">
        <v>1346</v>
      </c>
      <c r="S616" s="4">
        <v>1418.51</v>
      </c>
      <c r="T616">
        <v>2789.61</v>
      </c>
      <c r="U616">
        <v>2789.61</v>
      </c>
      <c r="V616" s="7">
        <v>0.17100000000000001</v>
      </c>
      <c r="W616" s="7">
        <v>0.17100000000000001</v>
      </c>
      <c r="X616" s="7" t="str">
        <f t="shared" si="38"/>
        <v>okay</v>
      </c>
      <c r="Y616" s="9">
        <v>8</v>
      </c>
      <c r="Z616">
        <v>18500.693520000001</v>
      </c>
      <c r="AA616">
        <v>11348.08</v>
      </c>
      <c r="AB616">
        <v>7152.6135200000008</v>
      </c>
      <c r="AC616">
        <v>0.38661326464695689</v>
      </c>
    </row>
    <row r="617" spans="1:29" x14ac:dyDescent="0.3">
      <c r="A617" t="s">
        <v>629</v>
      </c>
      <c r="B617" s="3">
        <v>45727</v>
      </c>
      <c r="C617" s="3" t="str">
        <v>Mar-2025</v>
      </c>
      <c r="D617" s="11" t="str">
        <f t="shared" si="36"/>
        <v>Q1-2025</v>
      </c>
      <c r="E617" s="3">
        <v>45743</v>
      </c>
      <c r="F617" s="3">
        <v>45727</v>
      </c>
      <c r="G617" s="4">
        <f t="shared" si="37"/>
        <v>16</v>
      </c>
      <c r="H617" s="4" t="str">
        <v>delayed</v>
      </c>
      <c r="I617" s="4">
        <f t="shared" si="39"/>
        <v>0</v>
      </c>
      <c r="J617" t="s">
        <v>647</v>
      </c>
      <c r="K617" t="s">
        <v>652</v>
      </c>
      <c r="L617" t="s">
        <v>689</v>
      </c>
      <c r="M617" t="s">
        <v>706</v>
      </c>
      <c r="N617" t="s">
        <v>710</v>
      </c>
      <c r="O617" t="s">
        <v>717</v>
      </c>
      <c r="P617" t="s">
        <v>728</v>
      </c>
      <c r="Q617" t="str" cm="1">
        <f t="array" ref="Q617">_xlfn.IFS(U617&lt;=_xlfn.QUARTILE.INC($U$2:$U1248,1),"Low",B617&lt;=_xlfn.QUARTILE.INC($U$2:$U$633,2),"Medium",TRUE,"High")</f>
        <v>High</v>
      </c>
      <c r="R617" t="s">
        <v>1347</v>
      </c>
      <c r="S617" s="4">
        <v>1317.58</v>
      </c>
      <c r="T617">
        <v>1897.74</v>
      </c>
      <c r="U617">
        <v>1897.74</v>
      </c>
      <c r="V617" s="7">
        <v>8.1000000000000003E-2</v>
      </c>
      <c r="W617" s="7">
        <v>8.1000000000000003E-2</v>
      </c>
      <c r="X617" s="7" t="str">
        <f t="shared" si="38"/>
        <v>okay</v>
      </c>
      <c r="Y617" s="9">
        <v>6</v>
      </c>
      <c r="Z617">
        <v>10464.138360000001</v>
      </c>
      <c r="AA617">
        <v>7905.48</v>
      </c>
      <c r="AB617">
        <v>2558.6583600000013</v>
      </c>
      <c r="AC617">
        <v>0.24451687009230266</v>
      </c>
    </row>
    <row r="618" spans="1:29" x14ac:dyDescent="0.3">
      <c r="A618" t="s">
        <v>630</v>
      </c>
      <c r="B618" s="3">
        <v>45208</v>
      </c>
      <c r="C618" s="3" t="str">
        <v>Oct-2023</v>
      </c>
      <c r="D618" s="11" t="str">
        <f t="shared" si="36"/>
        <v>Q4-2023</v>
      </c>
      <c r="E618" s="3">
        <v>45210</v>
      </c>
      <c r="F618" s="3">
        <v>45208</v>
      </c>
      <c r="G618" s="4">
        <f t="shared" si="37"/>
        <v>2</v>
      </c>
      <c r="H618" s="4" t="str">
        <v>ontime</v>
      </c>
      <c r="I618" s="4">
        <f t="shared" si="39"/>
        <v>1</v>
      </c>
      <c r="J618" t="s">
        <v>646</v>
      </c>
      <c r="K618" t="s">
        <v>651</v>
      </c>
      <c r="L618" t="s">
        <v>663</v>
      </c>
      <c r="M618" t="s">
        <v>702</v>
      </c>
      <c r="N618" t="s">
        <v>709</v>
      </c>
      <c r="O618" t="s">
        <v>723</v>
      </c>
      <c r="P618" t="s">
        <v>729</v>
      </c>
      <c r="Q618" t="str" cm="1">
        <f t="array" ref="Q618">_xlfn.IFS(U618&lt;=_xlfn.QUARTILE.INC($U$2:$U1249,1),"Low",B618&lt;=_xlfn.QUARTILE.INC($U$2:$U$633,2),"Medium",TRUE,"High")</f>
        <v>High</v>
      </c>
      <c r="R618" t="s">
        <v>1348</v>
      </c>
      <c r="S618" s="4">
        <v>391.16</v>
      </c>
      <c r="T618">
        <v>902.47</v>
      </c>
      <c r="U618">
        <v>902.47</v>
      </c>
      <c r="V618" s="7">
        <v>4.0000000000000001E-3</v>
      </c>
      <c r="W618" s="7">
        <v>4.0000000000000001E-3</v>
      </c>
      <c r="X618" s="7" t="str">
        <f t="shared" si="38"/>
        <v>okay</v>
      </c>
      <c r="Y618" s="9">
        <v>12</v>
      </c>
      <c r="Z618">
        <v>10786.32144</v>
      </c>
      <c r="AA618">
        <v>4693.92</v>
      </c>
      <c r="AB618">
        <v>6092.4014399999996</v>
      </c>
      <c r="AC618">
        <v>0.56482661618139207</v>
      </c>
    </row>
    <row r="619" spans="1:29" x14ac:dyDescent="0.3">
      <c r="A619" t="s">
        <v>631</v>
      </c>
      <c r="B619" s="3">
        <v>45643</v>
      </c>
      <c r="C619" s="3" t="str">
        <v>Dec-2024</v>
      </c>
      <c r="D619" s="11" t="str">
        <f t="shared" si="36"/>
        <v>Q4-2024</v>
      </c>
      <c r="E619" s="3">
        <v>45673</v>
      </c>
      <c r="F619" s="3">
        <v>45643</v>
      </c>
      <c r="G619" s="4">
        <f t="shared" si="37"/>
        <v>30</v>
      </c>
      <c r="H619" s="4" t="str">
        <v>delayed</v>
      </c>
      <c r="I619" s="4">
        <f t="shared" si="39"/>
        <v>0</v>
      </c>
      <c r="J619" t="s">
        <v>649</v>
      </c>
      <c r="K619" t="s">
        <v>658</v>
      </c>
      <c r="L619" t="s">
        <v>693</v>
      </c>
      <c r="M619" t="s">
        <v>701</v>
      </c>
      <c r="N619" t="s">
        <v>707</v>
      </c>
      <c r="O619" t="s">
        <v>726</v>
      </c>
      <c r="P619" t="s">
        <v>732</v>
      </c>
      <c r="Q619" t="str" cm="1">
        <f t="array" ref="Q619">_xlfn.IFS(U619&lt;=_xlfn.QUARTILE.INC($U$2:$U1250,1),"Low",B619&lt;=_xlfn.QUARTILE.INC($U$2:$U$633,2),"Medium",TRUE,"High")</f>
        <v>High</v>
      </c>
      <c r="R619" t="s">
        <v>1349</v>
      </c>
      <c r="S619" s="4">
        <v>722.87</v>
      </c>
      <c r="T619">
        <v>-33.659999999999997</v>
      </c>
      <c r="U619" t="str">
        <v>1193.87</v>
      </c>
      <c r="V619" s="7">
        <v>0.10199999999999999</v>
      </c>
      <c r="W619" s="7">
        <v>0.10199999999999999</v>
      </c>
      <c r="X619" s="7" t="str">
        <f t="shared" si="38"/>
        <v>okay</v>
      </c>
      <c r="Y619" s="9">
        <v>28</v>
      </c>
      <c r="Z619">
        <v>30018.667280000001</v>
      </c>
      <c r="AA619">
        <v>20240.36</v>
      </c>
      <c r="AB619">
        <v>9778.3072800000009</v>
      </c>
      <c r="AC619">
        <v>0.32574088612237684</v>
      </c>
    </row>
    <row r="620" spans="1:29" x14ac:dyDescent="0.3">
      <c r="A620" t="s">
        <v>632</v>
      </c>
      <c r="B620" s="3">
        <v>45849</v>
      </c>
      <c r="C620" s="3" t="str">
        <v>Jul-2025</v>
      </c>
      <c r="D620" s="11" t="str">
        <f t="shared" si="36"/>
        <v>Q3-2025</v>
      </c>
      <c r="E620" s="3">
        <v>45854</v>
      </c>
      <c r="F620" s="3">
        <v>45849</v>
      </c>
      <c r="G620" s="4">
        <f t="shared" si="37"/>
        <v>5</v>
      </c>
      <c r="H620" s="4" t="str">
        <v>ontime</v>
      </c>
      <c r="I620" s="4">
        <f t="shared" si="39"/>
        <v>1</v>
      </c>
      <c r="J620" t="s">
        <v>649</v>
      </c>
      <c r="K620" t="s">
        <v>658</v>
      </c>
      <c r="L620" t="s">
        <v>683</v>
      </c>
      <c r="M620" t="s">
        <v>706</v>
      </c>
      <c r="N620" t="s">
        <v>708</v>
      </c>
      <c r="O620" t="s">
        <v>723</v>
      </c>
      <c r="P620" t="s">
        <v>728</v>
      </c>
      <c r="Q620" t="str" cm="1">
        <f t="array" ref="Q620">_xlfn.IFS(U620&lt;=_xlfn.QUARTILE.INC($U$2:$U1251,1),"Low",B620&lt;=_xlfn.QUARTILE.INC($U$2:$U$633,2),"Medium",TRUE,"High")</f>
        <v>High</v>
      </c>
      <c r="R620" t="s">
        <v>1350</v>
      </c>
      <c r="S620" s="4">
        <v>930.03</v>
      </c>
      <c r="T620">
        <v>1086.68</v>
      </c>
      <c r="U620">
        <v>1086.68</v>
      </c>
      <c r="V620" s="7">
        <v>0.109</v>
      </c>
      <c r="W620" s="7">
        <v>0.109</v>
      </c>
      <c r="X620" s="7" t="str">
        <f t="shared" si="38"/>
        <v>okay</v>
      </c>
      <c r="Y620" s="9">
        <v>26</v>
      </c>
      <c r="Z620">
        <v>25174.028880000002</v>
      </c>
      <c r="AA620">
        <v>24180.78</v>
      </c>
      <c r="AB620">
        <v>993.24888000000283</v>
      </c>
      <c r="AC620">
        <v>3.9455300728168656E-2</v>
      </c>
    </row>
    <row r="621" spans="1:29" x14ac:dyDescent="0.3">
      <c r="A621" t="s">
        <v>633</v>
      </c>
      <c r="B621" s="3">
        <v>45578</v>
      </c>
      <c r="C621" s="3" t="str">
        <v>Oct-2024</v>
      </c>
      <c r="D621" s="11" t="str">
        <f t="shared" si="36"/>
        <v>Q4-2024</v>
      </c>
      <c r="E621" s="3">
        <v>45589</v>
      </c>
      <c r="F621" s="3">
        <v>45578</v>
      </c>
      <c r="G621" s="4">
        <f t="shared" si="37"/>
        <v>11</v>
      </c>
      <c r="H621" s="4" t="str">
        <v>delayed</v>
      </c>
      <c r="I621" s="4">
        <f t="shared" si="39"/>
        <v>0</v>
      </c>
      <c r="J621" t="s">
        <v>649</v>
      </c>
      <c r="K621" t="s">
        <v>657</v>
      </c>
      <c r="L621" t="s">
        <v>690</v>
      </c>
      <c r="M621" t="s">
        <v>702</v>
      </c>
      <c r="N621" t="s">
        <v>710</v>
      </c>
      <c r="O621" t="s">
        <v>721</v>
      </c>
      <c r="P621" t="s">
        <v>727</v>
      </c>
      <c r="Q621" t="str" cm="1">
        <f t="array" ref="Q621">_xlfn.IFS(U621&lt;=_xlfn.QUARTILE.INC($U$2:$U1252,1),"Low",B621&lt;=_xlfn.QUARTILE.INC($U$2:$U$633,2),"Medium",TRUE,"High")</f>
        <v>High</v>
      </c>
      <c r="R621" t="s">
        <v>1351</v>
      </c>
      <c r="S621" s="4">
        <v>816.7</v>
      </c>
      <c r="T621">
        <v>1010.75</v>
      </c>
      <c r="U621">
        <v>1010.75</v>
      </c>
      <c r="V621" s="7">
        <v>4.7E-2</v>
      </c>
      <c r="W621" s="7">
        <v>4.7E-2</v>
      </c>
      <c r="X621" s="7" t="str">
        <f t="shared" si="38"/>
        <v>okay</v>
      </c>
      <c r="Y621" s="9">
        <v>43</v>
      </c>
      <c r="Z621">
        <v>41419.524249999995</v>
      </c>
      <c r="AA621">
        <v>35118.1</v>
      </c>
      <c r="AB621">
        <v>6301.4242499999964</v>
      </c>
      <c r="AC621">
        <v>0.15213656757537472</v>
      </c>
    </row>
    <row r="622" spans="1:29" x14ac:dyDescent="0.3">
      <c r="A622" t="s">
        <v>634</v>
      </c>
      <c r="B622" s="3">
        <v>45177</v>
      </c>
      <c r="C622" s="3" t="str">
        <v>Sep-2023</v>
      </c>
      <c r="D622" s="11" t="str">
        <f t="shared" si="36"/>
        <v>Q3-2023</v>
      </c>
      <c r="E622" s="3">
        <v>45183</v>
      </c>
      <c r="F622" s="3">
        <v>45177</v>
      </c>
      <c r="G622" s="4">
        <f t="shared" si="37"/>
        <v>6</v>
      </c>
      <c r="H622" s="4" t="str">
        <v>ontime</v>
      </c>
      <c r="I622" s="4">
        <f t="shared" si="39"/>
        <v>1</v>
      </c>
      <c r="J622" t="s">
        <v>646</v>
      </c>
      <c r="K622" t="s">
        <v>650</v>
      </c>
      <c r="L622" t="s">
        <v>678</v>
      </c>
      <c r="M622" t="s">
        <v>702</v>
      </c>
      <c r="N622" t="s">
        <v>711</v>
      </c>
      <c r="O622" t="s">
        <v>714</v>
      </c>
      <c r="P622" t="s">
        <v>733</v>
      </c>
      <c r="Q622" t="str" cm="1">
        <f t="array" ref="Q622">_xlfn.IFS(U622&lt;=_xlfn.QUARTILE.INC($U$2:$U1253,1),"Low",B622&lt;=_xlfn.QUARTILE.INC($U$2:$U$633,2),"Medium",TRUE,"High")</f>
        <v>Low</v>
      </c>
      <c r="R622" t="s">
        <v>1352</v>
      </c>
      <c r="S622" s="4">
        <v>251.03</v>
      </c>
      <c r="T622">
        <v>411.48</v>
      </c>
      <c r="U622">
        <v>411.48</v>
      </c>
      <c r="V622" s="7">
        <v>0.16500000000000001</v>
      </c>
      <c r="W622" s="7">
        <v>0.16500000000000001</v>
      </c>
      <c r="X622" s="7" t="str">
        <f t="shared" si="38"/>
        <v>okay</v>
      </c>
      <c r="Y622" s="9">
        <v>3</v>
      </c>
      <c r="Z622">
        <v>1030.7574</v>
      </c>
      <c r="AA622">
        <v>753.09</v>
      </c>
      <c r="AB622">
        <v>277.66739999999993</v>
      </c>
      <c r="AC622">
        <v>0.26938191275658069</v>
      </c>
    </row>
    <row r="623" spans="1:29" x14ac:dyDescent="0.3">
      <c r="A623" t="s">
        <v>635</v>
      </c>
      <c r="B623" s="3">
        <v>45764</v>
      </c>
      <c r="C623" s="3" t="str">
        <v>Apr-2025</v>
      </c>
      <c r="D623" s="11" t="str">
        <f t="shared" si="36"/>
        <v>Q2-2025</v>
      </c>
      <c r="E623" s="3">
        <v>45780</v>
      </c>
      <c r="F623" s="3">
        <v>45764</v>
      </c>
      <c r="G623" s="4">
        <f t="shared" si="37"/>
        <v>16</v>
      </c>
      <c r="H623" s="4" t="str">
        <v>delayed</v>
      </c>
      <c r="I623" s="4">
        <f t="shared" si="39"/>
        <v>0</v>
      </c>
      <c r="J623" t="s">
        <v>648</v>
      </c>
      <c r="K623" t="s">
        <v>655</v>
      </c>
      <c r="L623" t="s">
        <v>692</v>
      </c>
      <c r="M623" t="s">
        <v>704</v>
      </c>
      <c r="N623" t="s">
        <v>709</v>
      </c>
      <c r="O623" t="s">
        <v>713</v>
      </c>
      <c r="P623" t="s">
        <v>729</v>
      </c>
      <c r="Q623" t="str" cm="1">
        <f t="array" ref="Q623">_xlfn.IFS(U623&lt;=_xlfn.QUARTILE.INC($U$2:$U1254,1),"Low",B623&lt;=_xlfn.QUARTILE.INC($U$2:$U$633,2),"Medium",TRUE,"High")</f>
        <v>Low</v>
      </c>
      <c r="R623" t="s">
        <v>1353</v>
      </c>
      <c r="S623" s="4">
        <v>168.68</v>
      </c>
      <c r="T623">
        <v>413.34</v>
      </c>
      <c r="U623">
        <v>413.34</v>
      </c>
      <c r="V623" s="7">
        <v>0.186</v>
      </c>
      <c r="W623" s="7">
        <v>0.186</v>
      </c>
      <c r="X623" s="7" t="str">
        <f t="shared" si="38"/>
        <v>okay</v>
      </c>
      <c r="Y623" s="9">
        <v>7</v>
      </c>
      <c r="Z623">
        <v>2355.2113199999999</v>
      </c>
      <c r="AA623">
        <v>1180.76</v>
      </c>
      <c r="AB623">
        <v>1174.4513199999999</v>
      </c>
      <c r="AC623">
        <v>0.49866069767361682</v>
      </c>
    </row>
    <row r="624" spans="1:29" x14ac:dyDescent="0.3">
      <c r="A624" t="s">
        <v>636</v>
      </c>
      <c r="B624" s="3">
        <v>45501</v>
      </c>
      <c r="C624" s="3" t="str">
        <v>Jul-2024</v>
      </c>
      <c r="D624" s="11" t="str">
        <f t="shared" si="36"/>
        <v>Q3-2024</v>
      </c>
      <c r="E624" s="3">
        <v>45527</v>
      </c>
      <c r="F624" s="3">
        <v>45501</v>
      </c>
      <c r="G624" s="4">
        <f t="shared" si="37"/>
        <v>26</v>
      </c>
      <c r="H624" s="4" t="str">
        <v>delayed</v>
      </c>
      <c r="I624" s="4">
        <f t="shared" si="39"/>
        <v>0</v>
      </c>
      <c r="J624" t="s">
        <v>647</v>
      </c>
      <c r="K624" t="s">
        <v>654</v>
      </c>
      <c r="L624" t="s">
        <v>696</v>
      </c>
      <c r="M624" t="s">
        <v>701</v>
      </c>
      <c r="N624" t="s">
        <v>707</v>
      </c>
      <c r="O624" t="s">
        <v>713</v>
      </c>
      <c r="P624" t="s">
        <v>729</v>
      </c>
      <c r="Q624" t="str" cm="1">
        <f t="array" ref="Q624">_xlfn.IFS(U624&lt;=_xlfn.QUARTILE.INC($U$2:$U1255,1),"Low",B624&lt;=_xlfn.QUARTILE.INC($U$2:$U$633,2),"Medium",TRUE,"High")</f>
        <v>High</v>
      </c>
      <c r="R624" t="s">
        <v>1354</v>
      </c>
      <c r="S624" s="4">
        <v>1339.24</v>
      </c>
      <c r="T624">
        <v>1558.89</v>
      </c>
      <c r="U624">
        <v>1558.89</v>
      </c>
      <c r="V624" s="7">
        <v>0.192</v>
      </c>
      <c r="W624" s="7">
        <v>0.192</v>
      </c>
      <c r="X624" s="7" t="str">
        <f t="shared" si="38"/>
        <v>okay</v>
      </c>
      <c r="Y624" s="9">
        <v>24</v>
      </c>
      <c r="Z624">
        <v>30229.994880000002</v>
      </c>
      <c r="AA624">
        <v>32141.760000000002</v>
      </c>
      <c r="AB624">
        <v>-1911.76512</v>
      </c>
      <c r="AC624">
        <v>-6.3240669659021781E-2</v>
      </c>
    </row>
    <row r="625" spans="1:29" x14ac:dyDescent="0.3">
      <c r="A625" t="s">
        <v>637</v>
      </c>
      <c r="B625" s="3">
        <v>45857</v>
      </c>
      <c r="C625" s="3" t="str">
        <v>Jul-2025</v>
      </c>
      <c r="D625" s="11" t="str">
        <f t="shared" si="36"/>
        <v>Q3-2025</v>
      </c>
      <c r="E625" s="3">
        <v>45869</v>
      </c>
      <c r="F625" s="3">
        <v>45857</v>
      </c>
      <c r="G625" s="4">
        <f t="shared" si="37"/>
        <v>12</v>
      </c>
      <c r="H625" s="4" t="str">
        <v>delayed</v>
      </c>
      <c r="I625" s="4">
        <f t="shared" si="39"/>
        <v>0</v>
      </c>
      <c r="J625" t="s">
        <v>646</v>
      </c>
      <c r="K625" t="s">
        <v>650</v>
      </c>
      <c r="L625" t="s">
        <v>664</v>
      </c>
      <c r="M625" t="s">
        <v>705</v>
      </c>
      <c r="N625" t="s">
        <v>709</v>
      </c>
      <c r="O625" t="s">
        <v>719</v>
      </c>
      <c r="P625" t="s">
        <v>733</v>
      </c>
      <c r="Q625" t="str" cm="1">
        <f t="array" ref="Q625">_xlfn.IFS(U625&lt;=_xlfn.QUARTILE.INC($U$2:$U1256,1),"Low",B625&lt;=_xlfn.QUARTILE.INC($U$2:$U$633,2),"Medium",TRUE,"High")</f>
        <v>High</v>
      </c>
      <c r="R625" t="s">
        <v>1355</v>
      </c>
      <c r="S625" s="4">
        <v>619.64</v>
      </c>
      <c r="T625">
        <v>861.16</v>
      </c>
      <c r="U625">
        <v>861.16</v>
      </c>
      <c r="V625" s="7">
        <v>0.113</v>
      </c>
      <c r="W625" s="7">
        <v>0.113</v>
      </c>
      <c r="X625" s="7" t="str">
        <f t="shared" si="38"/>
        <v>okay</v>
      </c>
      <c r="Y625" s="9">
        <v>14</v>
      </c>
      <c r="Z625">
        <v>10693.88488</v>
      </c>
      <c r="AA625">
        <v>8674.9599999999991</v>
      </c>
      <c r="AB625">
        <v>2018.9248800000005</v>
      </c>
      <c r="AC625">
        <v>0.18879246435276761</v>
      </c>
    </row>
    <row r="626" spans="1:29" x14ac:dyDescent="0.3">
      <c r="A626" t="s">
        <v>638</v>
      </c>
      <c r="B626" s="3">
        <v>45141</v>
      </c>
      <c r="C626" s="3" t="str">
        <v>Aug-2023</v>
      </c>
      <c r="D626" s="11" t="str">
        <f t="shared" si="36"/>
        <v>Q3-2023</v>
      </c>
      <c r="E626" s="3">
        <v>45140</v>
      </c>
      <c r="F626" s="3">
        <v>45148</v>
      </c>
      <c r="G626" s="4">
        <f t="shared" si="37"/>
        <v>-8</v>
      </c>
      <c r="H626" s="4" t="str">
        <v>ontime</v>
      </c>
      <c r="I626" s="4">
        <f t="shared" si="39"/>
        <v>1</v>
      </c>
      <c r="J626" t="s">
        <v>647</v>
      </c>
      <c r="K626" t="s">
        <v>659</v>
      </c>
      <c r="L626" t="s">
        <v>685</v>
      </c>
      <c r="M626" t="s">
        <v>703</v>
      </c>
      <c r="N626" t="s">
        <v>711</v>
      </c>
      <c r="O626" t="s">
        <v>713</v>
      </c>
      <c r="P626" t="s">
        <v>729</v>
      </c>
      <c r="Q626" t="str" cm="1">
        <f t="array" ref="Q626">_xlfn.IFS(U626&lt;=_xlfn.QUARTILE.INC($U$2:$U1257,1),"Low",B626&lt;=_xlfn.QUARTILE.INC($U$2:$U$633,2),"Medium",TRUE,"High")</f>
        <v>High</v>
      </c>
      <c r="R626" t="s">
        <v>1356</v>
      </c>
      <c r="S626" s="4">
        <v>1021.97</v>
      </c>
      <c r="T626">
        <v>2296.25</v>
      </c>
      <c r="U626">
        <v>2296.25</v>
      </c>
      <c r="V626" s="7">
        <v>0.161</v>
      </c>
      <c r="W626" s="7">
        <v>0.161</v>
      </c>
      <c r="X626" s="7" t="str">
        <f t="shared" si="38"/>
        <v>okay</v>
      </c>
      <c r="Y626" s="9">
        <v>26</v>
      </c>
      <c r="Z626">
        <v>50090.397499999999</v>
      </c>
      <c r="AA626">
        <v>26571.22</v>
      </c>
      <c r="AB626">
        <v>23519.177499999998</v>
      </c>
      <c r="AC626">
        <v>0.46953465482081669</v>
      </c>
    </row>
    <row r="627" spans="1:29" x14ac:dyDescent="0.3">
      <c r="A627" t="s">
        <v>639</v>
      </c>
      <c r="B627" s="3">
        <v>45249</v>
      </c>
      <c r="C627" s="3" t="str">
        <v>Nov-2023</v>
      </c>
      <c r="D627" s="11" t="str">
        <f t="shared" si="36"/>
        <v>Q4-2023</v>
      </c>
      <c r="E627" s="3">
        <v>45272</v>
      </c>
      <c r="F627" s="3">
        <v>45249</v>
      </c>
      <c r="G627" s="4">
        <f t="shared" si="37"/>
        <v>23</v>
      </c>
      <c r="H627" s="4" t="str">
        <v>delayed</v>
      </c>
      <c r="I627" s="4">
        <f t="shared" si="39"/>
        <v>0</v>
      </c>
      <c r="J627" t="s">
        <v>647</v>
      </c>
      <c r="K627" t="s">
        <v>654</v>
      </c>
      <c r="L627" t="s">
        <v>680</v>
      </c>
      <c r="M627" t="s">
        <v>705</v>
      </c>
      <c r="N627" t="s">
        <v>711</v>
      </c>
      <c r="O627" t="s">
        <v>712</v>
      </c>
      <c r="P627" t="s">
        <v>729</v>
      </c>
      <c r="Q627" t="str" cm="1">
        <f t="array" ref="Q627">_xlfn.IFS(U627&lt;=_xlfn.QUARTILE.INC($U$2:$U1258,1),"Low",B627&lt;=_xlfn.QUARTILE.INC($U$2:$U$633,2),"Medium",TRUE,"High")</f>
        <v>High</v>
      </c>
      <c r="R627" t="s">
        <v>1357</v>
      </c>
      <c r="S627" s="4">
        <v>1349.04</v>
      </c>
      <c r="T627">
        <v>2636.6</v>
      </c>
      <c r="U627">
        <v>2636.6</v>
      </c>
      <c r="V627" s="7">
        <v>0.114</v>
      </c>
      <c r="W627" s="7">
        <v>0.114</v>
      </c>
      <c r="X627" s="7" t="str">
        <f t="shared" si="38"/>
        <v>okay</v>
      </c>
      <c r="Y627" s="9">
        <v>14</v>
      </c>
      <c r="Z627">
        <v>32704.386400000003</v>
      </c>
      <c r="AA627">
        <v>18886.559999999998</v>
      </c>
      <c r="AB627">
        <v>13817.826400000005</v>
      </c>
      <c r="AC627">
        <v>0.42250682312143928</v>
      </c>
    </row>
    <row r="628" spans="1:29" x14ac:dyDescent="0.3">
      <c r="A628" t="s">
        <v>640</v>
      </c>
      <c r="B628" s="3">
        <v>45282</v>
      </c>
      <c r="C628" s="3" t="str">
        <v>Dec-2023</v>
      </c>
      <c r="D628" s="11" t="str">
        <f t="shared" si="36"/>
        <v>Q4-2023</v>
      </c>
      <c r="E628" s="3">
        <v>45307</v>
      </c>
      <c r="F628" s="3">
        <v>45282</v>
      </c>
      <c r="G628" s="4">
        <f t="shared" si="37"/>
        <v>25</v>
      </c>
      <c r="H628" s="4" t="str">
        <v>delayed</v>
      </c>
      <c r="I628" s="4">
        <f t="shared" si="39"/>
        <v>0</v>
      </c>
      <c r="J628" t="s">
        <v>647</v>
      </c>
      <c r="K628" t="s">
        <v>654</v>
      </c>
      <c r="L628" t="s">
        <v>696</v>
      </c>
      <c r="M628" t="s">
        <v>705</v>
      </c>
      <c r="N628" t="s">
        <v>707</v>
      </c>
      <c r="O628" t="s">
        <v>720</v>
      </c>
      <c r="P628" t="s">
        <v>727</v>
      </c>
      <c r="Q628" t="str" cm="1">
        <f t="array" ref="Q628">_xlfn.IFS(U628&lt;=_xlfn.QUARTILE.INC($U$2:$U1259,1),"Low",B628&lt;=_xlfn.QUARTILE.INC($U$2:$U$633,2),"Medium",TRUE,"High")</f>
        <v>High</v>
      </c>
      <c r="R628" t="s">
        <v>1358</v>
      </c>
      <c r="S628" s="4">
        <v>1346.81</v>
      </c>
      <c r="T628">
        <v>978.09</v>
      </c>
      <c r="U628">
        <v>978.09</v>
      </c>
      <c r="V628" s="7">
        <v>0.159</v>
      </c>
      <c r="W628" s="7">
        <v>0.159</v>
      </c>
      <c r="X628" s="7" t="str">
        <f t="shared" si="38"/>
        <v>okay</v>
      </c>
      <c r="Y628" s="9">
        <v>17</v>
      </c>
      <c r="Z628">
        <v>13983.752729999998</v>
      </c>
      <c r="AA628">
        <v>22895.77</v>
      </c>
      <c r="AB628">
        <v>-8912.0172700000021</v>
      </c>
      <c r="AC628">
        <v>-0.6373122753293996</v>
      </c>
    </row>
    <row r="629" spans="1:29" x14ac:dyDescent="0.3">
      <c r="A629" t="s">
        <v>641</v>
      </c>
      <c r="B629" s="3">
        <v>45141</v>
      </c>
      <c r="C629" s="3" t="str">
        <v>Aug-2023</v>
      </c>
      <c r="D629" s="11" t="str">
        <f t="shared" si="36"/>
        <v>Q3-2023</v>
      </c>
      <c r="E629" s="3">
        <v>45168</v>
      </c>
      <c r="F629" s="3">
        <v>45141</v>
      </c>
      <c r="G629" s="4">
        <f t="shared" si="37"/>
        <v>27</v>
      </c>
      <c r="H629" s="4" t="str">
        <v>delayed</v>
      </c>
      <c r="I629" s="4">
        <f t="shared" si="39"/>
        <v>0</v>
      </c>
      <c r="J629" t="s">
        <v>647</v>
      </c>
      <c r="K629" t="s">
        <v>659</v>
      </c>
      <c r="L629" t="s">
        <v>685</v>
      </c>
      <c r="M629" t="s">
        <v>704</v>
      </c>
      <c r="N629" t="s">
        <v>710</v>
      </c>
      <c r="O629" t="s">
        <v>725</v>
      </c>
      <c r="P629" t="s">
        <v>732</v>
      </c>
      <c r="Q629" t="str" cm="1">
        <f t="array" ref="Q629">_xlfn.IFS(U629&lt;=_xlfn.QUARTILE.INC($U$2:$U1260,1),"Low",B629&lt;=_xlfn.QUARTILE.INC($U$2:$U$633,2),"Medium",TRUE,"High")</f>
        <v>Low</v>
      </c>
      <c r="R629" t="s">
        <v>1359</v>
      </c>
      <c r="S629" s="4">
        <v>226.04</v>
      </c>
      <c r="T629">
        <v>545.72</v>
      </c>
      <c r="U629">
        <v>545.72</v>
      </c>
      <c r="V629" s="7">
        <v>0.151</v>
      </c>
      <c r="W629" s="7">
        <v>0.151</v>
      </c>
      <c r="X629" s="7" t="str">
        <f t="shared" si="38"/>
        <v>okay</v>
      </c>
      <c r="Y629" s="9">
        <v>11</v>
      </c>
      <c r="Z629">
        <v>5096.4790800000001</v>
      </c>
      <c r="AA629">
        <v>2486.44</v>
      </c>
      <c r="AB629">
        <v>2610.03908</v>
      </c>
      <c r="AC629">
        <v>0.51212592831834014</v>
      </c>
    </row>
    <row r="630" spans="1:29" x14ac:dyDescent="0.3">
      <c r="A630" t="s">
        <v>642</v>
      </c>
      <c r="B630" s="3">
        <v>45100</v>
      </c>
      <c r="C630" s="3" t="str">
        <v>Jun-2023</v>
      </c>
      <c r="D630" s="11" t="str">
        <f t="shared" si="36"/>
        <v>Q2-2023</v>
      </c>
      <c r="E630" s="3">
        <v>45125</v>
      </c>
      <c r="F630" s="3">
        <v>45100</v>
      </c>
      <c r="G630" s="4">
        <f t="shared" si="37"/>
        <v>25</v>
      </c>
      <c r="H630" s="4" t="str">
        <v>delayed</v>
      </c>
      <c r="I630" s="4">
        <f t="shared" si="39"/>
        <v>0</v>
      </c>
      <c r="J630" t="s">
        <v>648</v>
      </c>
      <c r="K630" t="s">
        <v>653</v>
      </c>
      <c r="L630" t="s">
        <v>688</v>
      </c>
      <c r="M630" t="s">
        <v>706</v>
      </c>
      <c r="N630" t="s">
        <v>708</v>
      </c>
      <c r="O630" t="s">
        <v>725</v>
      </c>
      <c r="P630" t="s">
        <v>730</v>
      </c>
      <c r="Q630" t="str" cm="1">
        <f t="array" ref="Q630">_xlfn.IFS(U630&lt;=_xlfn.QUARTILE.INC($U$2:$U1261,1),"Low",B630&lt;=_xlfn.QUARTILE.INC($U$2:$U$633,2),"Medium",TRUE,"High")</f>
        <v>High</v>
      </c>
      <c r="R630" t="s">
        <v>1360</v>
      </c>
      <c r="S630" s="4">
        <v>807.02</v>
      </c>
      <c r="T630">
        <v>1435.54</v>
      </c>
      <c r="U630">
        <v>1435.54</v>
      </c>
      <c r="V630" s="7">
        <v>0</v>
      </c>
      <c r="W630" s="7">
        <v>0</v>
      </c>
      <c r="X630" s="7" t="str">
        <f t="shared" si="38"/>
        <v>okay</v>
      </c>
      <c r="Y630" s="9">
        <v>23</v>
      </c>
      <c r="Z630">
        <v>33017.42</v>
      </c>
      <c r="AA630">
        <v>18561.46</v>
      </c>
      <c r="AB630">
        <v>14455.96</v>
      </c>
      <c r="AC630">
        <v>0.43782827368098415</v>
      </c>
    </row>
    <row r="631" spans="1:29" x14ac:dyDescent="0.3">
      <c r="A631" t="s">
        <v>643</v>
      </c>
      <c r="B631" s="3">
        <v>45267</v>
      </c>
      <c r="C631" s="3" t="str">
        <v>Dec-2023</v>
      </c>
      <c r="D631" s="11" t="str">
        <f t="shared" si="36"/>
        <v>Q4-2023</v>
      </c>
      <c r="E631" s="3">
        <v>45293</v>
      </c>
      <c r="F631" s="3">
        <v>45267</v>
      </c>
      <c r="G631" s="4">
        <f t="shared" si="37"/>
        <v>26</v>
      </c>
      <c r="H631" s="4" t="str">
        <v>delayed</v>
      </c>
      <c r="I631" s="4">
        <f t="shared" si="39"/>
        <v>0</v>
      </c>
      <c r="J631" t="s">
        <v>649</v>
      </c>
      <c r="K631" t="s">
        <v>656</v>
      </c>
      <c r="L631" t="s">
        <v>698</v>
      </c>
      <c r="M631" t="s">
        <v>706</v>
      </c>
      <c r="N631" t="s">
        <v>710</v>
      </c>
      <c r="O631" t="s">
        <v>718</v>
      </c>
      <c r="P631" t="s">
        <v>727</v>
      </c>
      <c r="Q631" t="str" cm="1">
        <f t="array" ref="Q631">_xlfn.IFS(U631&lt;=_xlfn.QUARTILE.INC($U$2:$U1262,1),"Low",B631&lt;=_xlfn.QUARTILE.INC($U$2:$U$633,2),"Medium",TRUE,"High")</f>
        <v>High</v>
      </c>
      <c r="R631" t="s">
        <v>1361</v>
      </c>
      <c r="S631" s="4">
        <v>1071.99</v>
      </c>
      <c r="T631">
        <v>2397.3000000000002</v>
      </c>
      <c r="U631">
        <v>2397.3000000000002</v>
      </c>
      <c r="V631" s="7">
        <v>6.2E-2</v>
      </c>
      <c r="W631" s="7">
        <v>6.2E-2</v>
      </c>
      <c r="X631" s="7" t="str">
        <f t="shared" si="38"/>
        <v>okay</v>
      </c>
      <c r="Y631" s="9">
        <v>18</v>
      </c>
      <c r="Z631">
        <v>40476.013200000001</v>
      </c>
      <c r="AA631">
        <v>19295.82</v>
      </c>
      <c r="AB631">
        <v>21180.193200000002</v>
      </c>
      <c r="AC631">
        <v>0.52327765324476183</v>
      </c>
    </row>
    <row r="632" spans="1:29" x14ac:dyDescent="0.3">
      <c r="A632" t="s">
        <v>644</v>
      </c>
      <c r="B632" s="3">
        <v>45249</v>
      </c>
      <c r="C632" s="3" t="str">
        <v>Nov-2023</v>
      </c>
      <c r="D632" s="11" t="str">
        <f t="shared" si="36"/>
        <v>Q4-2023</v>
      </c>
      <c r="E632" s="3">
        <v>45279</v>
      </c>
      <c r="F632" s="3">
        <v>45249</v>
      </c>
      <c r="G632" s="4">
        <f t="shared" si="37"/>
        <v>30</v>
      </c>
      <c r="H632" s="4" t="str">
        <v>delayed</v>
      </c>
      <c r="I632" s="4">
        <f t="shared" si="39"/>
        <v>0</v>
      </c>
      <c r="J632" t="s">
        <v>647</v>
      </c>
      <c r="K632" t="s">
        <v>652</v>
      </c>
      <c r="L632" t="s">
        <v>694</v>
      </c>
      <c r="M632" t="s">
        <v>704</v>
      </c>
      <c r="N632" t="s">
        <v>707</v>
      </c>
      <c r="O632" t="s">
        <v>1421</v>
      </c>
      <c r="P632" t="s">
        <v>730</v>
      </c>
      <c r="Q632" t="str" cm="1">
        <f t="array" ref="Q632">_xlfn.IFS(U632&lt;=_xlfn.QUARTILE.INC($U$2:$U1263,1),"Low",B632&lt;=_xlfn.QUARTILE.INC($U$2:$U$633,2),"Medium",TRUE,"High")</f>
        <v>High</v>
      </c>
      <c r="R632" t="s">
        <v>1362</v>
      </c>
      <c r="S632" s="4">
        <v>807.11</v>
      </c>
      <c r="T632">
        <v>1853.86</v>
      </c>
      <c r="U632">
        <v>1853.86</v>
      </c>
      <c r="V632" s="7">
        <v>0.13900000000000001</v>
      </c>
      <c r="W632" s="7">
        <v>0.13900000000000001</v>
      </c>
      <c r="X632" s="7" t="str">
        <f t="shared" si="38"/>
        <v>okay</v>
      </c>
      <c r="Y632" s="9">
        <v>8</v>
      </c>
      <c r="Z632">
        <v>12769.38768</v>
      </c>
      <c r="AA632">
        <v>6456.88</v>
      </c>
      <c r="AB632">
        <v>6312.5076799999997</v>
      </c>
      <c r="AC632">
        <v>0.49434693645388639</v>
      </c>
    </row>
    <row r="633" spans="1:29" x14ac:dyDescent="0.3">
      <c r="A633" t="s">
        <v>645</v>
      </c>
      <c r="B633" s="3">
        <v>45716</v>
      </c>
      <c r="C633" s="3" t="str">
        <v>Feb-2025</v>
      </c>
      <c r="D633" s="11" t="str">
        <f t="shared" si="36"/>
        <v>Q1-2025</v>
      </c>
      <c r="E633" s="3">
        <v>45726</v>
      </c>
      <c r="F633" s="3">
        <v>45716</v>
      </c>
      <c r="G633" s="4">
        <f t="shared" si="37"/>
        <v>10</v>
      </c>
      <c r="H633" s="4" t="str">
        <v>delayed</v>
      </c>
      <c r="I633" s="4">
        <f t="shared" si="39"/>
        <v>0</v>
      </c>
      <c r="J633" t="s">
        <v>647</v>
      </c>
      <c r="K633" t="s">
        <v>652</v>
      </c>
      <c r="L633" t="s">
        <v>666</v>
      </c>
      <c r="M633" t="s">
        <v>702</v>
      </c>
      <c r="N633" t="s">
        <v>710</v>
      </c>
      <c r="O633" t="s">
        <v>725</v>
      </c>
      <c r="P633" t="s">
        <v>731</v>
      </c>
      <c r="Q633" t="str" cm="1">
        <f t="array" ref="Q633">_xlfn.IFS(U633&lt;=_xlfn.QUARTILE.INC($U$2:$U1264,1),"Low",B633&lt;=_xlfn.QUARTILE.INC($U$2:$U$633,2),"Medium",TRUE,"High")</f>
        <v>Low</v>
      </c>
      <c r="R633" t="s">
        <v>1363</v>
      </c>
      <c r="S633" s="4">
        <v>51.86</v>
      </c>
      <c r="T633">
        <v>45.98</v>
      </c>
      <c r="U633">
        <v>45.98</v>
      </c>
      <c r="V633" s="7">
        <v>0.17299999999999999</v>
      </c>
      <c r="W633" s="7">
        <v>0.17299999999999999</v>
      </c>
      <c r="X633" s="7" t="str">
        <f t="shared" si="38"/>
        <v>okay</v>
      </c>
      <c r="Y633" s="9">
        <v>7</v>
      </c>
      <c r="Z633">
        <v>266.17821999999995</v>
      </c>
      <c r="AA633">
        <v>363.02</v>
      </c>
      <c r="AB633">
        <v>-96.841780000000028</v>
      </c>
      <c r="AC633">
        <v>-0.3638230806412337</v>
      </c>
    </row>
    <row r="634" spans="1:29" x14ac:dyDescent="0.3">
      <c r="D634" s="11"/>
    </row>
    <row r="635" spans="1:29" x14ac:dyDescent="0.3">
      <c r="B635" s="3">
        <f>F6</f>
        <v>45266</v>
      </c>
      <c r="D635" s="11"/>
      <c r="T635">
        <f>MEDIAN(T2:T633)</f>
        <v>1193.865</v>
      </c>
      <c r="V635" s="7" t="b" cm="1">
        <f t="array" ref="V635:V1266">IF(V2:V633&lt;0,"0",IF(V2:V633&gt;30,"30"))</f>
        <v>0</v>
      </c>
    </row>
    <row r="636" spans="1:29" x14ac:dyDescent="0.3">
      <c r="D636" s="11"/>
      <c r="V636" s="7" t="b">
        <v>0</v>
      </c>
    </row>
    <row r="637" spans="1:29" x14ac:dyDescent="0.3">
      <c r="D637" s="11"/>
      <c r="V637" s="7" t="b">
        <v>0</v>
      </c>
    </row>
    <row r="638" spans="1:29" x14ac:dyDescent="0.3">
      <c r="D638" s="11"/>
      <c r="V638" s="7" t="b">
        <v>0</v>
      </c>
    </row>
    <row r="639" spans="1:29" x14ac:dyDescent="0.3">
      <c r="D639" s="11"/>
      <c r="V639" s="7" t="b">
        <v>0</v>
      </c>
    </row>
    <row r="640" spans="1:29" x14ac:dyDescent="0.3">
      <c r="D640" s="11"/>
      <c r="V640" s="7" t="b">
        <v>0</v>
      </c>
    </row>
    <row r="641" spans="22:22" x14ac:dyDescent="0.3">
      <c r="V641" s="7" t="b">
        <v>0</v>
      </c>
    </row>
    <row r="642" spans="22:22" x14ac:dyDescent="0.3">
      <c r="V642" s="7" t="b">
        <v>0</v>
      </c>
    </row>
    <row r="643" spans="22:22" x14ac:dyDescent="0.3">
      <c r="V643" s="7" t="b">
        <v>0</v>
      </c>
    </row>
    <row r="644" spans="22:22" x14ac:dyDescent="0.3">
      <c r="V644" s="7" t="b">
        <v>0</v>
      </c>
    </row>
    <row r="645" spans="22:22" x14ac:dyDescent="0.3">
      <c r="V645" s="7" t="b">
        <v>0</v>
      </c>
    </row>
    <row r="646" spans="22:22" x14ac:dyDescent="0.3">
      <c r="V646" s="7" t="b">
        <v>0</v>
      </c>
    </row>
    <row r="647" spans="22:22" x14ac:dyDescent="0.3">
      <c r="V647" s="7" t="b">
        <v>0</v>
      </c>
    </row>
    <row r="648" spans="22:22" x14ac:dyDescent="0.3">
      <c r="V648" s="7" t="b">
        <v>0</v>
      </c>
    </row>
    <row r="649" spans="22:22" x14ac:dyDescent="0.3">
      <c r="V649" s="7" t="b">
        <v>0</v>
      </c>
    </row>
    <row r="650" spans="22:22" x14ac:dyDescent="0.3">
      <c r="V650" s="7" t="b">
        <v>0</v>
      </c>
    </row>
    <row r="651" spans="22:22" x14ac:dyDescent="0.3">
      <c r="V651" s="7" t="b">
        <v>0</v>
      </c>
    </row>
    <row r="652" spans="22:22" x14ac:dyDescent="0.3">
      <c r="V652" s="7" t="b">
        <v>0</v>
      </c>
    </row>
    <row r="653" spans="22:22" x14ac:dyDescent="0.3">
      <c r="V653" s="7" t="b">
        <v>0</v>
      </c>
    </row>
    <row r="654" spans="22:22" x14ac:dyDescent="0.3">
      <c r="V654" s="7" t="b">
        <v>0</v>
      </c>
    </row>
    <row r="655" spans="22:22" x14ac:dyDescent="0.3">
      <c r="V655" s="7" t="b">
        <v>0</v>
      </c>
    </row>
    <row r="656" spans="22:22" x14ac:dyDescent="0.3">
      <c r="V656" s="7" t="b">
        <v>0</v>
      </c>
    </row>
    <row r="657" spans="22:22" x14ac:dyDescent="0.3">
      <c r="V657" s="7" t="b">
        <v>0</v>
      </c>
    </row>
    <row r="658" spans="22:22" x14ac:dyDescent="0.3">
      <c r="V658" s="7" t="b">
        <v>0</v>
      </c>
    </row>
    <row r="659" spans="22:22" x14ac:dyDescent="0.3">
      <c r="V659" s="7" t="b">
        <v>0</v>
      </c>
    </row>
    <row r="660" spans="22:22" x14ac:dyDescent="0.3">
      <c r="V660" s="7" t="b">
        <v>0</v>
      </c>
    </row>
    <row r="661" spans="22:22" x14ac:dyDescent="0.3">
      <c r="V661" s="7" t="b">
        <v>0</v>
      </c>
    </row>
    <row r="662" spans="22:22" x14ac:dyDescent="0.3">
      <c r="V662" s="7" t="b">
        <v>0</v>
      </c>
    </row>
    <row r="663" spans="22:22" x14ac:dyDescent="0.3">
      <c r="V663" s="7" t="b">
        <v>0</v>
      </c>
    </row>
    <row r="664" spans="22:22" x14ac:dyDescent="0.3">
      <c r="V664" s="7" t="b">
        <v>0</v>
      </c>
    </row>
    <row r="665" spans="22:22" x14ac:dyDescent="0.3">
      <c r="V665" s="7" t="b">
        <v>0</v>
      </c>
    </row>
    <row r="666" spans="22:22" x14ac:dyDescent="0.3">
      <c r="V666" s="7" t="b">
        <v>0</v>
      </c>
    </row>
    <row r="667" spans="22:22" x14ac:dyDescent="0.3">
      <c r="V667" s="7" t="b">
        <v>0</v>
      </c>
    </row>
    <row r="668" spans="22:22" x14ac:dyDescent="0.3">
      <c r="V668" s="7" t="b">
        <v>0</v>
      </c>
    </row>
    <row r="669" spans="22:22" x14ac:dyDescent="0.3">
      <c r="V669" s="7" t="b">
        <v>0</v>
      </c>
    </row>
    <row r="670" spans="22:22" x14ac:dyDescent="0.3">
      <c r="V670" s="7" t="b">
        <v>0</v>
      </c>
    </row>
    <row r="671" spans="22:22" x14ac:dyDescent="0.3">
      <c r="V671" s="7" t="b">
        <v>0</v>
      </c>
    </row>
    <row r="672" spans="22:22" x14ac:dyDescent="0.3">
      <c r="V672" s="7" t="b">
        <v>0</v>
      </c>
    </row>
    <row r="673" spans="22:22" x14ac:dyDescent="0.3">
      <c r="V673" s="7" t="b">
        <v>0</v>
      </c>
    </row>
    <row r="674" spans="22:22" x14ac:dyDescent="0.3">
      <c r="V674" s="7" t="b">
        <v>0</v>
      </c>
    </row>
    <row r="675" spans="22:22" x14ac:dyDescent="0.3">
      <c r="V675" s="7" t="b">
        <v>0</v>
      </c>
    </row>
    <row r="676" spans="22:22" x14ac:dyDescent="0.3">
      <c r="V676" s="7" t="b">
        <v>0</v>
      </c>
    </row>
    <row r="677" spans="22:22" x14ac:dyDescent="0.3">
      <c r="V677" s="7" t="b">
        <v>0</v>
      </c>
    </row>
    <row r="678" spans="22:22" x14ac:dyDescent="0.3">
      <c r="V678" s="7" t="b">
        <v>0</v>
      </c>
    </row>
    <row r="679" spans="22:22" x14ac:dyDescent="0.3">
      <c r="V679" s="7" t="b">
        <v>0</v>
      </c>
    </row>
    <row r="680" spans="22:22" x14ac:dyDescent="0.3">
      <c r="V680" s="7" t="b">
        <v>0</v>
      </c>
    </row>
    <row r="681" spans="22:22" x14ac:dyDescent="0.3">
      <c r="V681" s="7" t="b">
        <v>0</v>
      </c>
    </row>
    <row r="682" spans="22:22" x14ac:dyDescent="0.3">
      <c r="V682" s="7" t="b">
        <v>0</v>
      </c>
    </row>
    <row r="683" spans="22:22" x14ac:dyDescent="0.3">
      <c r="V683" s="7" t="b">
        <v>0</v>
      </c>
    </row>
    <row r="684" spans="22:22" x14ac:dyDescent="0.3">
      <c r="V684" s="7" t="b">
        <v>0</v>
      </c>
    </row>
    <row r="685" spans="22:22" x14ac:dyDescent="0.3">
      <c r="V685" s="7" t="b">
        <v>0</v>
      </c>
    </row>
    <row r="686" spans="22:22" x14ac:dyDescent="0.3">
      <c r="V686" s="7" t="b">
        <v>0</v>
      </c>
    </row>
    <row r="687" spans="22:22" x14ac:dyDescent="0.3">
      <c r="V687" s="7" t="b">
        <v>0</v>
      </c>
    </row>
    <row r="688" spans="22:22" x14ac:dyDescent="0.3">
      <c r="V688" s="7" t="b">
        <v>0</v>
      </c>
    </row>
    <row r="689" spans="22:22" x14ac:dyDescent="0.3">
      <c r="V689" s="7" t="b">
        <v>0</v>
      </c>
    </row>
    <row r="690" spans="22:22" x14ac:dyDescent="0.3">
      <c r="V690" s="7" t="b">
        <v>0</v>
      </c>
    </row>
    <row r="691" spans="22:22" x14ac:dyDescent="0.3">
      <c r="V691" s="7" t="b">
        <v>0</v>
      </c>
    </row>
    <row r="692" spans="22:22" x14ac:dyDescent="0.3">
      <c r="V692" s="7" t="b">
        <v>0</v>
      </c>
    </row>
    <row r="693" spans="22:22" x14ac:dyDescent="0.3">
      <c r="V693" s="7" t="b">
        <v>0</v>
      </c>
    </row>
    <row r="694" spans="22:22" x14ac:dyDescent="0.3">
      <c r="V694" s="7" t="b">
        <v>0</v>
      </c>
    </row>
    <row r="695" spans="22:22" x14ac:dyDescent="0.3">
      <c r="V695" s="7" t="b">
        <v>0</v>
      </c>
    </row>
    <row r="696" spans="22:22" x14ac:dyDescent="0.3">
      <c r="V696" s="7" t="b">
        <v>0</v>
      </c>
    </row>
    <row r="697" spans="22:22" x14ac:dyDescent="0.3">
      <c r="V697" s="7" t="b">
        <v>0</v>
      </c>
    </row>
    <row r="698" spans="22:22" x14ac:dyDescent="0.3">
      <c r="V698" s="7" t="b">
        <v>0</v>
      </c>
    </row>
    <row r="699" spans="22:22" x14ac:dyDescent="0.3">
      <c r="V699" s="7" t="b">
        <v>0</v>
      </c>
    </row>
    <row r="700" spans="22:22" x14ac:dyDescent="0.3">
      <c r="V700" s="7" t="b">
        <v>0</v>
      </c>
    </row>
    <row r="701" spans="22:22" x14ac:dyDescent="0.3">
      <c r="V701" s="7" t="b">
        <v>0</v>
      </c>
    </row>
    <row r="702" spans="22:22" x14ac:dyDescent="0.3">
      <c r="V702" s="7" t="b">
        <v>0</v>
      </c>
    </row>
    <row r="703" spans="22:22" x14ac:dyDescent="0.3">
      <c r="V703" s="7" t="b">
        <v>0</v>
      </c>
    </row>
    <row r="704" spans="22:22" x14ac:dyDescent="0.3">
      <c r="V704" s="7" t="b">
        <v>0</v>
      </c>
    </row>
    <row r="705" spans="22:22" x14ac:dyDescent="0.3">
      <c r="V705" s="7" t="b">
        <v>0</v>
      </c>
    </row>
    <row r="706" spans="22:22" x14ac:dyDescent="0.3">
      <c r="V706" s="7" t="b">
        <v>0</v>
      </c>
    </row>
    <row r="707" spans="22:22" x14ac:dyDescent="0.3">
      <c r="V707" s="7" t="b">
        <v>0</v>
      </c>
    </row>
    <row r="708" spans="22:22" x14ac:dyDescent="0.3">
      <c r="V708" s="7" t="b">
        <v>0</v>
      </c>
    </row>
    <row r="709" spans="22:22" x14ac:dyDescent="0.3">
      <c r="V709" s="7" t="b">
        <v>0</v>
      </c>
    </row>
    <row r="710" spans="22:22" x14ac:dyDescent="0.3">
      <c r="V710" s="7" t="b">
        <v>0</v>
      </c>
    </row>
    <row r="711" spans="22:22" x14ac:dyDescent="0.3">
      <c r="V711" s="7" t="b">
        <v>0</v>
      </c>
    </row>
    <row r="712" spans="22:22" x14ac:dyDescent="0.3">
      <c r="V712" s="7" t="b">
        <v>0</v>
      </c>
    </row>
    <row r="713" spans="22:22" x14ac:dyDescent="0.3">
      <c r="V713" s="7" t="b">
        <v>0</v>
      </c>
    </row>
    <row r="714" spans="22:22" x14ac:dyDescent="0.3">
      <c r="V714" s="7" t="b">
        <v>0</v>
      </c>
    </row>
    <row r="715" spans="22:22" x14ac:dyDescent="0.3">
      <c r="V715" s="7" t="b">
        <v>0</v>
      </c>
    </row>
    <row r="716" spans="22:22" x14ac:dyDescent="0.3">
      <c r="V716" s="7" t="b">
        <v>0</v>
      </c>
    </row>
    <row r="717" spans="22:22" x14ac:dyDescent="0.3">
      <c r="V717" s="7" t="b">
        <v>0</v>
      </c>
    </row>
    <row r="718" spans="22:22" x14ac:dyDescent="0.3">
      <c r="V718" s="7" t="b">
        <v>0</v>
      </c>
    </row>
    <row r="719" spans="22:22" x14ac:dyDescent="0.3">
      <c r="V719" s="7" t="b">
        <v>0</v>
      </c>
    </row>
    <row r="720" spans="22:22" x14ac:dyDescent="0.3">
      <c r="V720" s="7" t="b">
        <v>0</v>
      </c>
    </row>
    <row r="721" spans="22:22" x14ac:dyDescent="0.3">
      <c r="V721" s="7" t="b">
        <v>0</v>
      </c>
    </row>
    <row r="722" spans="22:22" x14ac:dyDescent="0.3">
      <c r="V722" s="7" t="b">
        <v>0</v>
      </c>
    </row>
    <row r="723" spans="22:22" x14ac:dyDescent="0.3">
      <c r="V723" s="7" t="b">
        <v>0</v>
      </c>
    </row>
    <row r="724" spans="22:22" x14ac:dyDescent="0.3">
      <c r="V724" s="7" t="b">
        <v>0</v>
      </c>
    </row>
    <row r="725" spans="22:22" x14ac:dyDescent="0.3">
      <c r="V725" s="7" t="b">
        <v>0</v>
      </c>
    </row>
    <row r="726" spans="22:22" x14ac:dyDescent="0.3">
      <c r="V726" s="7" t="b">
        <v>0</v>
      </c>
    </row>
    <row r="727" spans="22:22" x14ac:dyDescent="0.3">
      <c r="V727" s="7" t="b">
        <v>0</v>
      </c>
    </row>
    <row r="728" spans="22:22" x14ac:dyDescent="0.3">
      <c r="V728" s="7" t="b">
        <v>0</v>
      </c>
    </row>
    <row r="729" spans="22:22" x14ac:dyDescent="0.3">
      <c r="V729" s="7" t="b">
        <v>0</v>
      </c>
    </row>
    <row r="730" spans="22:22" x14ac:dyDescent="0.3">
      <c r="V730" s="7" t="b">
        <v>0</v>
      </c>
    </row>
    <row r="731" spans="22:22" x14ac:dyDescent="0.3">
      <c r="V731" s="7" t="b">
        <v>0</v>
      </c>
    </row>
    <row r="732" spans="22:22" x14ac:dyDescent="0.3">
      <c r="V732" s="7" t="b">
        <v>0</v>
      </c>
    </row>
    <row r="733" spans="22:22" x14ac:dyDescent="0.3">
      <c r="V733" s="7" t="b">
        <v>0</v>
      </c>
    </row>
    <row r="734" spans="22:22" x14ac:dyDescent="0.3">
      <c r="V734" s="7" t="b">
        <v>0</v>
      </c>
    </row>
    <row r="735" spans="22:22" x14ac:dyDescent="0.3">
      <c r="V735" s="7" t="b">
        <v>0</v>
      </c>
    </row>
    <row r="736" spans="22:22" x14ac:dyDescent="0.3">
      <c r="V736" s="7" t="b">
        <v>0</v>
      </c>
    </row>
    <row r="737" spans="22:22" x14ac:dyDescent="0.3">
      <c r="V737" s="7" t="b">
        <v>0</v>
      </c>
    </row>
    <row r="738" spans="22:22" x14ac:dyDescent="0.3">
      <c r="V738" s="7" t="b">
        <v>0</v>
      </c>
    </row>
    <row r="739" spans="22:22" x14ac:dyDescent="0.3">
      <c r="V739" s="7" t="b">
        <v>0</v>
      </c>
    </row>
    <row r="740" spans="22:22" x14ac:dyDescent="0.3">
      <c r="V740" s="7" t="b">
        <v>0</v>
      </c>
    </row>
    <row r="741" spans="22:22" x14ac:dyDescent="0.3">
      <c r="V741" s="7" t="b">
        <v>0</v>
      </c>
    </row>
    <row r="742" spans="22:22" x14ac:dyDescent="0.3">
      <c r="V742" s="7" t="b">
        <v>0</v>
      </c>
    </row>
    <row r="743" spans="22:22" x14ac:dyDescent="0.3">
      <c r="V743" s="7" t="b">
        <v>0</v>
      </c>
    </row>
    <row r="744" spans="22:22" x14ac:dyDescent="0.3">
      <c r="V744" s="7" t="b">
        <v>0</v>
      </c>
    </row>
    <row r="745" spans="22:22" x14ac:dyDescent="0.3">
      <c r="V745" s="7" t="b">
        <v>0</v>
      </c>
    </row>
    <row r="746" spans="22:22" x14ac:dyDescent="0.3">
      <c r="V746" s="7" t="b">
        <v>0</v>
      </c>
    </row>
    <row r="747" spans="22:22" x14ac:dyDescent="0.3">
      <c r="V747" s="7" t="b">
        <v>0</v>
      </c>
    </row>
    <row r="748" spans="22:22" x14ac:dyDescent="0.3">
      <c r="V748" s="7" t="b">
        <v>0</v>
      </c>
    </row>
    <row r="749" spans="22:22" x14ac:dyDescent="0.3">
      <c r="V749" s="7" t="b">
        <v>0</v>
      </c>
    </row>
    <row r="750" spans="22:22" x14ac:dyDescent="0.3">
      <c r="V750" s="7" t="b">
        <v>0</v>
      </c>
    </row>
    <row r="751" spans="22:22" x14ac:dyDescent="0.3">
      <c r="V751" s="7" t="b">
        <v>0</v>
      </c>
    </row>
    <row r="752" spans="22:22" x14ac:dyDescent="0.3">
      <c r="V752" s="7" t="b">
        <v>0</v>
      </c>
    </row>
    <row r="753" spans="22:22" x14ac:dyDescent="0.3">
      <c r="V753" s="7" t="b">
        <v>0</v>
      </c>
    </row>
    <row r="754" spans="22:22" x14ac:dyDescent="0.3">
      <c r="V754" s="7" t="b">
        <v>0</v>
      </c>
    </row>
    <row r="755" spans="22:22" x14ac:dyDescent="0.3">
      <c r="V755" s="7" t="b">
        <v>0</v>
      </c>
    </row>
    <row r="756" spans="22:22" x14ac:dyDescent="0.3">
      <c r="V756" s="7" t="b">
        <v>0</v>
      </c>
    </row>
    <row r="757" spans="22:22" x14ac:dyDescent="0.3">
      <c r="V757" s="7" t="b">
        <v>0</v>
      </c>
    </row>
    <row r="758" spans="22:22" x14ac:dyDescent="0.3">
      <c r="V758" s="7" t="b">
        <v>0</v>
      </c>
    </row>
    <row r="759" spans="22:22" x14ac:dyDescent="0.3">
      <c r="V759" s="7" t="b">
        <v>0</v>
      </c>
    </row>
    <row r="760" spans="22:22" x14ac:dyDescent="0.3">
      <c r="V760" s="7" t="b">
        <v>0</v>
      </c>
    </row>
    <row r="761" spans="22:22" x14ac:dyDescent="0.3">
      <c r="V761" s="7" t="b">
        <v>0</v>
      </c>
    </row>
    <row r="762" spans="22:22" x14ac:dyDescent="0.3">
      <c r="V762" s="7" t="b">
        <v>0</v>
      </c>
    </row>
    <row r="763" spans="22:22" x14ac:dyDescent="0.3">
      <c r="V763" s="7" t="b">
        <v>0</v>
      </c>
    </row>
    <row r="764" spans="22:22" x14ac:dyDescent="0.3">
      <c r="V764" s="7" t="b">
        <v>0</v>
      </c>
    </row>
    <row r="765" spans="22:22" x14ac:dyDescent="0.3">
      <c r="V765" s="7" t="b">
        <v>0</v>
      </c>
    </row>
    <row r="766" spans="22:22" x14ac:dyDescent="0.3">
      <c r="V766" s="7" t="b">
        <v>0</v>
      </c>
    </row>
    <row r="767" spans="22:22" x14ac:dyDescent="0.3">
      <c r="V767" s="7" t="b">
        <v>0</v>
      </c>
    </row>
    <row r="768" spans="22:22" x14ac:dyDescent="0.3">
      <c r="V768" s="7" t="b">
        <v>0</v>
      </c>
    </row>
    <row r="769" spans="22:22" x14ac:dyDescent="0.3">
      <c r="V769" s="7" t="b">
        <v>0</v>
      </c>
    </row>
    <row r="770" spans="22:22" x14ac:dyDescent="0.3">
      <c r="V770" s="7" t="b">
        <v>0</v>
      </c>
    </row>
    <row r="771" spans="22:22" x14ac:dyDescent="0.3">
      <c r="V771" s="7" t="b">
        <v>0</v>
      </c>
    </row>
    <row r="772" spans="22:22" x14ac:dyDescent="0.3">
      <c r="V772" s="7" t="b">
        <v>0</v>
      </c>
    </row>
    <row r="773" spans="22:22" x14ac:dyDescent="0.3">
      <c r="V773" s="7" t="b">
        <v>0</v>
      </c>
    </row>
    <row r="774" spans="22:22" x14ac:dyDescent="0.3">
      <c r="V774" s="7" t="b">
        <v>0</v>
      </c>
    </row>
    <row r="775" spans="22:22" x14ac:dyDescent="0.3">
      <c r="V775" s="7" t="b">
        <v>0</v>
      </c>
    </row>
    <row r="776" spans="22:22" x14ac:dyDescent="0.3">
      <c r="V776" s="7" t="b">
        <v>0</v>
      </c>
    </row>
    <row r="777" spans="22:22" x14ac:dyDescent="0.3">
      <c r="V777" s="7" t="b">
        <v>0</v>
      </c>
    </row>
    <row r="778" spans="22:22" x14ac:dyDescent="0.3">
      <c r="V778" s="7" t="b">
        <v>0</v>
      </c>
    </row>
    <row r="779" spans="22:22" x14ac:dyDescent="0.3">
      <c r="V779" s="7" t="b">
        <v>0</v>
      </c>
    </row>
    <row r="780" spans="22:22" x14ac:dyDescent="0.3">
      <c r="V780" s="7" t="b">
        <v>0</v>
      </c>
    </row>
    <row r="781" spans="22:22" x14ac:dyDescent="0.3">
      <c r="V781" s="7" t="b">
        <v>0</v>
      </c>
    </row>
    <row r="782" spans="22:22" x14ac:dyDescent="0.3">
      <c r="V782" s="7" t="b">
        <v>0</v>
      </c>
    </row>
    <row r="783" spans="22:22" x14ac:dyDescent="0.3">
      <c r="V783" s="7" t="b">
        <v>0</v>
      </c>
    </row>
    <row r="784" spans="22:22" x14ac:dyDescent="0.3">
      <c r="V784" s="7" t="b">
        <v>0</v>
      </c>
    </row>
    <row r="785" spans="22:22" x14ac:dyDescent="0.3">
      <c r="V785" s="7" t="b">
        <v>0</v>
      </c>
    </row>
    <row r="786" spans="22:22" x14ac:dyDescent="0.3">
      <c r="V786" s="7" t="b">
        <v>0</v>
      </c>
    </row>
    <row r="787" spans="22:22" x14ac:dyDescent="0.3">
      <c r="V787" s="7" t="b">
        <v>0</v>
      </c>
    </row>
    <row r="788" spans="22:22" x14ac:dyDescent="0.3">
      <c r="V788" s="7" t="b">
        <v>0</v>
      </c>
    </row>
    <row r="789" spans="22:22" x14ac:dyDescent="0.3">
      <c r="V789" s="7" t="b">
        <v>0</v>
      </c>
    </row>
    <row r="790" spans="22:22" x14ac:dyDescent="0.3">
      <c r="V790" s="7" t="b">
        <v>0</v>
      </c>
    </row>
    <row r="791" spans="22:22" x14ac:dyDescent="0.3">
      <c r="V791" s="7" t="b">
        <v>0</v>
      </c>
    </row>
    <row r="792" spans="22:22" x14ac:dyDescent="0.3">
      <c r="V792" s="7" t="b">
        <v>0</v>
      </c>
    </row>
    <row r="793" spans="22:22" x14ac:dyDescent="0.3">
      <c r="V793" s="7" t="b">
        <v>0</v>
      </c>
    </row>
    <row r="794" spans="22:22" x14ac:dyDescent="0.3">
      <c r="V794" s="7" t="b">
        <v>0</v>
      </c>
    </row>
    <row r="795" spans="22:22" x14ac:dyDescent="0.3">
      <c r="V795" s="7" t="b">
        <v>0</v>
      </c>
    </row>
    <row r="796" spans="22:22" x14ac:dyDescent="0.3">
      <c r="V796" s="7" t="b">
        <v>0</v>
      </c>
    </row>
    <row r="797" spans="22:22" x14ac:dyDescent="0.3">
      <c r="V797" s="7" t="b">
        <v>0</v>
      </c>
    </row>
    <row r="798" spans="22:22" x14ac:dyDescent="0.3">
      <c r="V798" s="7" t="b">
        <v>0</v>
      </c>
    </row>
    <row r="799" spans="22:22" x14ac:dyDescent="0.3">
      <c r="V799" s="7" t="b">
        <v>0</v>
      </c>
    </row>
    <row r="800" spans="22:22" x14ac:dyDescent="0.3">
      <c r="V800" s="7" t="b">
        <v>0</v>
      </c>
    </row>
    <row r="801" spans="22:22" x14ac:dyDescent="0.3">
      <c r="V801" s="7" t="b">
        <v>0</v>
      </c>
    </row>
    <row r="802" spans="22:22" x14ac:dyDescent="0.3">
      <c r="V802" s="7" t="b">
        <v>0</v>
      </c>
    </row>
    <row r="803" spans="22:22" x14ac:dyDescent="0.3">
      <c r="V803" s="7" t="b">
        <v>0</v>
      </c>
    </row>
    <row r="804" spans="22:22" x14ac:dyDescent="0.3">
      <c r="V804" s="7" t="b">
        <v>0</v>
      </c>
    </row>
    <row r="805" spans="22:22" x14ac:dyDescent="0.3">
      <c r="V805" s="7" t="b">
        <v>0</v>
      </c>
    </row>
    <row r="806" spans="22:22" x14ac:dyDescent="0.3">
      <c r="V806" s="7" t="b">
        <v>0</v>
      </c>
    </row>
    <row r="807" spans="22:22" x14ac:dyDescent="0.3">
      <c r="V807" s="7" t="b">
        <v>0</v>
      </c>
    </row>
    <row r="808" spans="22:22" x14ac:dyDescent="0.3">
      <c r="V808" s="7" t="b">
        <v>0</v>
      </c>
    </row>
    <row r="809" spans="22:22" x14ac:dyDescent="0.3">
      <c r="V809" s="7" t="b">
        <v>0</v>
      </c>
    </row>
    <row r="810" spans="22:22" x14ac:dyDescent="0.3">
      <c r="V810" s="7" t="b">
        <v>0</v>
      </c>
    </row>
    <row r="811" spans="22:22" x14ac:dyDescent="0.3">
      <c r="V811" s="7" t="b">
        <v>0</v>
      </c>
    </row>
    <row r="812" spans="22:22" x14ac:dyDescent="0.3">
      <c r="V812" s="7" t="b">
        <v>0</v>
      </c>
    </row>
    <row r="813" spans="22:22" x14ac:dyDescent="0.3">
      <c r="V813" s="7" t="b">
        <v>0</v>
      </c>
    </row>
    <row r="814" spans="22:22" x14ac:dyDescent="0.3">
      <c r="V814" s="7" t="b">
        <v>0</v>
      </c>
    </row>
    <row r="815" spans="22:22" x14ac:dyDescent="0.3">
      <c r="V815" s="7" t="b">
        <v>0</v>
      </c>
    </row>
    <row r="816" spans="22:22" x14ac:dyDescent="0.3">
      <c r="V816" s="7" t="b">
        <v>0</v>
      </c>
    </row>
    <row r="817" spans="22:22" x14ac:dyDescent="0.3">
      <c r="V817" s="7" t="b">
        <v>0</v>
      </c>
    </row>
    <row r="818" spans="22:22" x14ac:dyDescent="0.3">
      <c r="V818" s="7" t="b">
        <v>0</v>
      </c>
    </row>
    <row r="819" spans="22:22" x14ac:dyDescent="0.3">
      <c r="V819" s="7" t="b">
        <v>0</v>
      </c>
    </row>
    <row r="820" spans="22:22" x14ac:dyDescent="0.3">
      <c r="V820" s="7" t="b">
        <v>0</v>
      </c>
    </row>
    <row r="821" spans="22:22" x14ac:dyDescent="0.3">
      <c r="V821" s="7" t="b">
        <v>0</v>
      </c>
    </row>
    <row r="822" spans="22:22" x14ac:dyDescent="0.3">
      <c r="V822" s="7" t="b">
        <v>0</v>
      </c>
    </row>
    <row r="823" spans="22:22" x14ac:dyDescent="0.3">
      <c r="V823" s="7" t="b">
        <v>0</v>
      </c>
    </row>
    <row r="824" spans="22:22" x14ac:dyDescent="0.3">
      <c r="V824" s="7" t="b">
        <v>0</v>
      </c>
    </row>
    <row r="825" spans="22:22" x14ac:dyDescent="0.3">
      <c r="V825" s="7" t="b">
        <v>0</v>
      </c>
    </row>
    <row r="826" spans="22:22" x14ac:dyDescent="0.3">
      <c r="V826" s="7" t="b">
        <v>0</v>
      </c>
    </row>
    <row r="827" spans="22:22" x14ac:dyDescent="0.3">
      <c r="V827" s="7" t="b">
        <v>0</v>
      </c>
    </row>
    <row r="828" spans="22:22" x14ac:dyDescent="0.3">
      <c r="V828" s="7" t="b">
        <v>0</v>
      </c>
    </row>
    <row r="829" spans="22:22" x14ac:dyDescent="0.3">
      <c r="V829" s="7" t="b">
        <v>0</v>
      </c>
    </row>
    <row r="830" spans="22:22" x14ac:dyDescent="0.3">
      <c r="V830" s="7" t="b">
        <v>0</v>
      </c>
    </row>
    <row r="831" spans="22:22" x14ac:dyDescent="0.3">
      <c r="V831" s="7" t="b">
        <v>0</v>
      </c>
    </row>
    <row r="832" spans="22:22" x14ac:dyDescent="0.3">
      <c r="V832" s="7" t="b">
        <v>0</v>
      </c>
    </row>
    <row r="833" spans="22:22" x14ac:dyDescent="0.3">
      <c r="V833" s="7" t="b">
        <v>0</v>
      </c>
    </row>
    <row r="834" spans="22:22" x14ac:dyDescent="0.3">
      <c r="V834" s="7" t="b">
        <v>0</v>
      </c>
    </row>
    <row r="835" spans="22:22" x14ac:dyDescent="0.3">
      <c r="V835" s="7" t="b">
        <v>0</v>
      </c>
    </row>
    <row r="836" spans="22:22" x14ac:dyDescent="0.3">
      <c r="V836" s="7" t="b">
        <v>0</v>
      </c>
    </row>
    <row r="837" spans="22:22" x14ac:dyDescent="0.3">
      <c r="V837" s="7" t="b">
        <v>0</v>
      </c>
    </row>
    <row r="838" spans="22:22" x14ac:dyDescent="0.3">
      <c r="V838" s="7" t="b">
        <v>0</v>
      </c>
    </row>
    <row r="839" spans="22:22" x14ac:dyDescent="0.3">
      <c r="V839" s="7" t="b">
        <v>0</v>
      </c>
    </row>
    <row r="840" spans="22:22" x14ac:dyDescent="0.3">
      <c r="V840" s="7" t="b">
        <v>0</v>
      </c>
    </row>
    <row r="841" spans="22:22" x14ac:dyDescent="0.3">
      <c r="V841" s="7" t="b">
        <v>0</v>
      </c>
    </row>
    <row r="842" spans="22:22" x14ac:dyDescent="0.3">
      <c r="V842" s="7" t="b">
        <v>0</v>
      </c>
    </row>
    <row r="843" spans="22:22" x14ac:dyDescent="0.3">
      <c r="V843" s="7" t="b">
        <v>0</v>
      </c>
    </row>
    <row r="844" spans="22:22" x14ac:dyDescent="0.3">
      <c r="V844" s="7" t="b">
        <v>0</v>
      </c>
    </row>
    <row r="845" spans="22:22" x14ac:dyDescent="0.3">
      <c r="V845" s="7" t="b">
        <v>0</v>
      </c>
    </row>
    <row r="846" spans="22:22" x14ac:dyDescent="0.3">
      <c r="V846" s="7" t="b">
        <v>0</v>
      </c>
    </row>
    <row r="847" spans="22:22" x14ac:dyDescent="0.3">
      <c r="V847" s="7" t="b">
        <v>0</v>
      </c>
    </row>
    <row r="848" spans="22:22" x14ac:dyDescent="0.3">
      <c r="V848" s="7" t="b">
        <v>0</v>
      </c>
    </row>
    <row r="849" spans="22:22" x14ac:dyDescent="0.3">
      <c r="V849" s="7" t="b">
        <v>0</v>
      </c>
    </row>
    <row r="850" spans="22:22" x14ac:dyDescent="0.3">
      <c r="V850" s="7" t="b">
        <v>0</v>
      </c>
    </row>
    <row r="851" spans="22:22" x14ac:dyDescent="0.3">
      <c r="V851" s="7" t="b">
        <v>0</v>
      </c>
    </row>
    <row r="852" spans="22:22" x14ac:dyDescent="0.3">
      <c r="V852" s="7" t="b">
        <v>0</v>
      </c>
    </row>
    <row r="853" spans="22:22" x14ac:dyDescent="0.3">
      <c r="V853" s="7" t="b">
        <v>0</v>
      </c>
    </row>
    <row r="854" spans="22:22" x14ac:dyDescent="0.3">
      <c r="V854" s="7" t="b">
        <v>0</v>
      </c>
    </row>
    <row r="855" spans="22:22" x14ac:dyDescent="0.3">
      <c r="V855" s="7" t="b">
        <v>0</v>
      </c>
    </row>
    <row r="856" spans="22:22" x14ac:dyDescent="0.3">
      <c r="V856" s="7" t="b">
        <v>0</v>
      </c>
    </row>
    <row r="857" spans="22:22" x14ac:dyDescent="0.3">
      <c r="V857" s="7" t="b">
        <v>0</v>
      </c>
    </row>
    <row r="858" spans="22:22" x14ac:dyDescent="0.3">
      <c r="V858" s="7" t="b">
        <v>0</v>
      </c>
    </row>
    <row r="859" spans="22:22" x14ac:dyDescent="0.3">
      <c r="V859" s="7" t="b">
        <v>0</v>
      </c>
    </row>
    <row r="860" spans="22:22" x14ac:dyDescent="0.3">
      <c r="V860" s="7" t="b">
        <v>0</v>
      </c>
    </row>
    <row r="861" spans="22:22" x14ac:dyDescent="0.3">
      <c r="V861" s="7" t="b">
        <v>0</v>
      </c>
    </row>
    <row r="862" spans="22:22" x14ac:dyDescent="0.3">
      <c r="V862" s="7" t="b">
        <v>0</v>
      </c>
    </row>
    <row r="863" spans="22:22" x14ac:dyDescent="0.3">
      <c r="V863" s="7" t="b">
        <v>0</v>
      </c>
    </row>
    <row r="864" spans="22:22" x14ac:dyDescent="0.3">
      <c r="V864" s="7" t="b">
        <v>0</v>
      </c>
    </row>
    <row r="865" spans="22:22" x14ac:dyDescent="0.3">
      <c r="V865" s="7" t="b">
        <v>0</v>
      </c>
    </row>
    <row r="866" spans="22:22" x14ac:dyDescent="0.3">
      <c r="V866" s="7" t="b">
        <v>0</v>
      </c>
    </row>
    <row r="867" spans="22:22" x14ac:dyDescent="0.3">
      <c r="V867" s="7" t="b">
        <v>0</v>
      </c>
    </row>
    <row r="868" spans="22:22" x14ac:dyDescent="0.3">
      <c r="V868" s="7" t="b">
        <v>0</v>
      </c>
    </row>
    <row r="869" spans="22:22" x14ac:dyDescent="0.3">
      <c r="V869" s="7" t="b">
        <v>0</v>
      </c>
    </row>
    <row r="870" spans="22:22" x14ac:dyDescent="0.3">
      <c r="V870" s="7" t="b">
        <v>0</v>
      </c>
    </row>
    <row r="871" spans="22:22" x14ac:dyDescent="0.3">
      <c r="V871" s="7" t="b">
        <v>0</v>
      </c>
    </row>
    <row r="872" spans="22:22" x14ac:dyDescent="0.3">
      <c r="V872" s="7" t="b">
        <v>0</v>
      </c>
    </row>
    <row r="873" spans="22:22" x14ac:dyDescent="0.3">
      <c r="V873" s="7" t="b">
        <v>0</v>
      </c>
    </row>
    <row r="874" spans="22:22" x14ac:dyDescent="0.3">
      <c r="V874" s="7" t="b">
        <v>0</v>
      </c>
    </row>
    <row r="875" spans="22:22" x14ac:dyDescent="0.3">
      <c r="V875" s="7" t="b">
        <v>0</v>
      </c>
    </row>
    <row r="876" spans="22:22" x14ac:dyDescent="0.3">
      <c r="V876" s="7" t="b">
        <v>0</v>
      </c>
    </row>
    <row r="877" spans="22:22" x14ac:dyDescent="0.3">
      <c r="V877" s="7" t="b">
        <v>0</v>
      </c>
    </row>
    <row r="878" spans="22:22" x14ac:dyDescent="0.3">
      <c r="V878" s="7" t="b">
        <v>0</v>
      </c>
    </row>
    <row r="879" spans="22:22" x14ac:dyDescent="0.3">
      <c r="V879" s="7" t="b">
        <v>0</v>
      </c>
    </row>
    <row r="880" spans="22:22" x14ac:dyDescent="0.3">
      <c r="V880" s="7" t="b">
        <v>0</v>
      </c>
    </row>
    <row r="881" spans="22:22" x14ac:dyDescent="0.3">
      <c r="V881" s="7" t="b">
        <v>0</v>
      </c>
    </row>
    <row r="882" spans="22:22" x14ac:dyDescent="0.3">
      <c r="V882" s="7" t="b">
        <v>0</v>
      </c>
    </row>
    <row r="883" spans="22:22" x14ac:dyDescent="0.3">
      <c r="V883" s="7" t="b">
        <v>0</v>
      </c>
    </row>
    <row r="884" spans="22:22" x14ac:dyDescent="0.3">
      <c r="V884" s="7" t="b">
        <v>0</v>
      </c>
    </row>
    <row r="885" spans="22:22" x14ac:dyDescent="0.3">
      <c r="V885" s="7" t="b">
        <v>0</v>
      </c>
    </row>
    <row r="886" spans="22:22" x14ac:dyDescent="0.3">
      <c r="V886" s="7" t="b">
        <v>0</v>
      </c>
    </row>
    <row r="887" spans="22:22" x14ac:dyDescent="0.3">
      <c r="V887" s="7" t="b">
        <v>0</v>
      </c>
    </row>
    <row r="888" spans="22:22" x14ac:dyDescent="0.3">
      <c r="V888" s="7" t="b">
        <v>0</v>
      </c>
    </row>
    <row r="889" spans="22:22" x14ac:dyDescent="0.3">
      <c r="V889" s="7" t="b">
        <v>0</v>
      </c>
    </row>
    <row r="890" spans="22:22" x14ac:dyDescent="0.3">
      <c r="V890" s="7" t="b">
        <v>0</v>
      </c>
    </row>
    <row r="891" spans="22:22" x14ac:dyDescent="0.3">
      <c r="V891" s="7" t="b">
        <v>0</v>
      </c>
    </row>
    <row r="892" spans="22:22" x14ac:dyDescent="0.3">
      <c r="V892" s="7" t="b">
        <v>0</v>
      </c>
    </row>
    <row r="893" spans="22:22" x14ac:dyDescent="0.3">
      <c r="V893" s="7" t="b">
        <v>0</v>
      </c>
    </row>
    <row r="894" spans="22:22" x14ac:dyDescent="0.3">
      <c r="V894" s="7" t="b">
        <v>0</v>
      </c>
    </row>
    <row r="895" spans="22:22" x14ac:dyDescent="0.3">
      <c r="V895" s="7" t="b">
        <v>0</v>
      </c>
    </row>
    <row r="896" spans="22:22" x14ac:dyDescent="0.3">
      <c r="V896" s="7" t="b">
        <v>0</v>
      </c>
    </row>
    <row r="897" spans="22:22" x14ac:dyDescent="0.3">
      <c r="V897" s="7" t="b">
        <v>0</v>
      </c>
    </row>
    <row r="898" spans="22:22" x14ac:dyDescent="0.3">
      <c r="V898" s="7" t="b">
        <v>0</v>
      </c>
    </row>
    <row r="899" spans="22:22" x14ac:dyDescent="0.3">
      <c r="V899" s="7" t="b">
        <v>0</v>
      </c>
    </row>
    <row r="900" spans="22:22" x14ac:dyDescent="0.3">
      <c r="V900" s="7" t="b">
        <v>0</v>
      </c>
    </row>
    <row r="901" spans="22:22" x14ac:dyDescent="0.3">
      <c r="V901" s="7" t="b">
        <v>0</v>
      </c>
    </row>
    <row r="902" spans="22:22" x14ac:dyDescent="0.3">
      <c r="V902" s="7" t="b">
        <v>0</v>
      </c>
    </row>
    <row r="903" spans="22:22" x14ac:dyDescent="0.3">
      <c r="V903" s="7" t="b">
        <v>0</v>
      </c>
    </row>
    <row r="904" spans="22:22" x14ac:dyDescent="0.3">
      <c r="V904" s="7" t="b">
        <v>0</v>
      </c>
    </row>
    <row r="905" spans="22:22" x14ac:dyDescent="0.3">
      <c r="V905" s="7" t="b">
        <v>0</v>
      </c>
    </row>
    <row r="906" spans="22:22" x14ac:dyDescent="0.3">
      <c r="V906" s="7" t="b">
        <v>0</v>
      </c>
    </row>
    <row r="907" spans="22:22" x14ac:dyDescent="0.3">
      <c r="V907" s="7" t="b">
        <v>0</v>
      </c>
    </row>
    <row r="908" spans="22:22" x14ac:dyDescent="0.3">
      <c r="V908" s="7" t="b">
        <v>0</v>
      </c>
    </row>
    <row r="909" spans="22:22" x14ac:dyDescent="0.3">
      <c r="V909" s="7" t="b">
        <v>0</v>
      </c>
    </row>
    <row r="910" spans="22:22" x14ac:dyDescent="0.3">
      <c r="V910" s="7" t="b">
        <v>0</v>
      </c>
    </row>
    <row r="911" spans="22:22" x14ac:dyDescent="0.3">
      <c r="V911" s="7" t="b">
        <v>0</v>
      </c>
    </row>
    <row r="912" spans="22:22" x14ac:dyDescent="0.3">
      <c r="V912" s="7" t="b">
        <v>0</v>
      </c>
    </row>
    <row r="913" spans="22:22" x14ac:dyDescent="0.3">
      <c r="V913" s="7" t="b">
        <v>0</v>
      </c>
    </row>
    <row r="914" spans="22:22" x14ac:dyDescent="0.3">
      <c r="V914" s="7" t="b">
        <v>0</v>
      </c>
    </row>
    <row r="915" spans="22:22" x14ac:dyDescent="0.3">
      <c r="V915" s="7" t="b">
        <v>0</v>
      </c>
    </row>
    <row r="916" spans="22:22" x14ac:dyDescent="0.3">
      <c r="V916" s="7" t="b">
        <v>0</v>
      </c>
    </row>
    <row r="917" spans="22:22" x14ac:dyDescent="0.3">
      <c r="V917" s="7" t="b">
        <v>0</v>
      </c>
    </row>
    <row r="918" spans="22:22" x14ac:dyDescent="0.3">
      <c r="V918" s="7" t="b">
        <v>0</v>
      </c>
    </row>
    <row r="919" spans="22:22" x14ac:dyDescent="0.3">
      <c r="V919" s="7" t="b">
        <v>0</v>
      </c>
    </row>
    <row r="920" spans="22:22" x14ac:dyDescent="0.3">
      <c r="V920" s="7" t="b">
        <v>0</v>
      </c>
    </row>
    <row r="921" spans="22:22" x14ac:dyDescent="0.3">
      <c r="V921" s="7" t="b">
        <v>0</v>
      </c>
    </row>
    <row r="922" spans="22:22" x14ac:dyDescent="0.3">
      <c r="V922" s="7" t="b">
        <v>0</v>
      </c>
    </row>
    <row r="923" spans="22:22" x14ac:dyDescent="0.3">
      <c r="V923" s="7" t="b">
        <v>0</v>
      </c>
    </row>
    <row r="924" spans="22:22" x14ac:dyDescent="0.3">
      <c r="V924" s="7" t="b">
        <v>0</v>
      </c>
    </row>
    <row r="925" spans="22:22" x14ac:dyDescent="0.3">
      <c r="V925" s="7" t="b">
        <v>0</v>
      </c>
    </row>
    <row r="926" spans="22:22" x14ac:dyDescent="0.3">
      <c r="V926" s="7" t="b">
        <v>0</v>
      </c>
    </row>
    <row r="927" spans="22:22" x14ac:dyDescent="0.3">
      <c r="V927" s="7" t="b">
        <v>0</v>
      </c>
    </row>
    <row r="928" spans="22:22" x14ac:dyDescent="0.3">
      <c r="V928" s="7" t="b">
        <v>0</v>
      </c>
    </row>
    <row r="929" spans="22:22" x14ac:dyDescent="0.3">
      <c r="V929" s="7" t="b">
        <v>0</v>
      </c>
    </row>
    <row r="930" spans="22:22" x14ac:dyDescent="0.3">
      <c r="V930" s="7" t="b">
        <v>0</v>
      </c>
    </row>
    <row r="931" spans="22:22" x14ac:dyDescent="0.3">
      <c r="V931" s="7" t="b">
        <v>0</v>
      </c>
    </row>
    <row r="932" spans="22:22" x14ac:dyDescent="0.3">
      <c r="V932" s="7" t="b">
        <v>0</v>
      </c>
    </row>
    <row r="933" spans="22:22" x14ac:dyDescent="0.3">
      <c r="V933" s="7" t="b">
        <v>0</v>
      </c>
    </row>
    <row r="934" spans="22:22" x14ac:dyDescent="0.3">
      <c r="V934" s="7" t="b">
        <v>0</v>
      </c>
    </row>
    <row r="935" spans="22:22" x14ac:dyDescent="0.3">
      <c r="V935" s="7" t="b">
        <v>0</v>
      </c>
    </row>
    <row r="936" spans="22:22" x14ac:dyDescent="0.3">
      <c r="V936" s="7" t="b">
        <v>0</v>
      </c>
    </row>
    <row r="937" spans="22:22" x14ac:dyDescent="0.3">
      <c r="V937" s="7" t="b">
        <v>0</v>
      </c>
    </row>
    <row r="938" spans="22:22" x14ac:dyDescent="0.3">
      <c r="V938" s="7" t="b">
        <v>0</v>
      </c>
    </row>
    <row r="939" spans="22:22" x14ac:dyDescent="0.3">
      <c r="V939" s="7" t="b">
        <v>0</v>
      </c>
    </row>
    <row r="940" spans="22:22" x14ac:dyDescent="0.3">
      <c r="V940" s="7" t="b">
        <v>0</v>
      </c>
    </row>
    <row r="941" spans="22:22" x14ac:dyDescent="0.3">
      <c r="V941" s="7" t="b">
        <v>0</v>
      </c>
    </row>
    <row r="942" spans="22:22" x14ac:dyDescent="0.3">
      <c r="V942" s="7" t="b">
        <v>0</v>
      </c>
    </row>
    <row r="943" spans="22:22" x14ac:dyDescent="0.3">
      <c r="V943" s="7" t="b">
        <v>0</v>
      </c>
    </row>
    <row r="944" spans="22:22" x14ac:dyDescent="0.3">
      <c r="V944" s="7" t="b">
        <v>0</v>
      </c>
    </row>
    <row r="945" spans="22:22" x14ac:dyDescent="0.3">
      <c r="V945" s="7" t="b">
        <v>0</v>
      </c>
    </row>
    <row r="946" spans="22:22" x14ac:dyDescent="0.3">
      <c r="V946" s="7" t="b">
        <v>0</v>
      </c>
    </row>
    <row r="947" spans="22:22" x14ac:dyDescent="0.3">
      <c r="V947" s="7" t="b">
        <v>0</v>
      </c>
    </row>
    <row r="948" spans="22:22" x14ac:dyDescent="0.3">
      <c r="V948" s="7" t="b">
        <v>0</v>
      </c>
    </row>
    <row r="949" spans="22:22" x14ac:dyDescent="0.3">
      <c r="V949" s="7" t="b">
        <v>0</v>
      </c>
    </row>
    <row r="950" spans="22:22" x14ac:dyDescent="0.3">
      <c r="V950" s="7" t="b">
        <v>0</v>
      </c>
    </row>
    <row r="951" spans="22:22" x14ac:dyDescent="0.3">
      <c r="V951" s="7" t="b">
        <v>0</v>
      </c>
    </row>
    <row r="952" spans="22:22" x14ac:dyDescent="0.3">
      <c r="V952" s="7" t="b">
        <v>0</v>
      </c>
    </row>
    <row r="953" spans="22:22" x14ac:dyDescent="0.3">
      <c r="V953" s="7" t="b">
        <v>0</v>
      </c>
    </row>
    <row r="954" spans="22:22" x14ac:dyDescent="0.3">
      <c r="V954" s="7" t="b">
        <v>0</v>
      </c>
    </row>
    <row r="955" spans="22:22" x14ac:dyDescent="0.3">
      <c r="V955" s="7" t="b">
        <v>0</v>
      </c>
    </row>
    <row r="956" spans="22:22" x14ac:dyDescent="0.3">
      <c r="V956" s="7" t="b">
        <v>0</v>
      </c>
    </row>
    <row r="957" spans="22:22" x14ac:dyDescent="0.3">
      <c r="V957" s="7" t="b">
        <v>0</v>
      </c>
    </row>
    <row r="958" spans="22:22" x14ac:dyDescent="0.3">
      <c r="V958" s="7" t="b">
        <v>0</v>
      </c>
    </row>
    <row r="959" spans="22:22" x14ac:dyDescent="0.3">
      <c r="V959" s="7" t="b">
        <v>0</v>
      </c>
    </row>
    <row r="960" spans="22:22" x14ac:dyDescent="0.3">
      <c r="V960" s="7" t="b">
        <v>0</v>
      </c>
    </row>
    <row r="961" spans="22:22" x14ac:dyDescent="0.3">
      <c r="V961" s="7" t="b">
        <v>0</v>
      </c>
    </row>
    <row r="962" spans="22:22" x14ac:dyDescent="0.3">
      <c r="V962" s="7" t="b">
        <v>0</v>
      </c>
    </row>
    <row r="963" spans="22:22" x14ac:dyDescent="0.3">
      <c r="V963" s="7" t="b">
        <v>0</v>
      </c>
    </row>
    <row r="964" spans="22:22" x14ac:dyDescent="0.3">
      <c r="V964" s="7" t="b">
        <v>0</v>
      </c>
    </row>
    <row r="965" spans="22:22" x14ac:dyDescent="0.3">
      <c r="V965" s="7" t="b">
        <v>0</v>
      </c>
    </row>
    <row r="966" spans="22:22" x14ac:dyDescent="0.3">
      <c r="V966" s="7" t="b">
        <v>0</v>
      </c>
    </row>
    <row r="967" spans="22:22" x14ac:dyDescent="0.3">
      <c r="V967" s="7" t="b">
        <v>0</v>
      </c>
    </row>
    <row r="968" spans="22:22" x14ac:dyDescent="0.3">
      <c r="V968" s="7" t="b">
        <v>0</v>
      </c>
    </row>
    <row r="969" spans="22:22" x14ac:dyDescent="0.3">
      <c r="V969" s="7" t="b">
        <v>0</v>
      </c>
    </row>
    <row r="970" spans="22:22" x14ac:dyDescent="0.3">
      <c r="V970" s="7" t="b">
        <v>0</v>
      </c>
    </row>
    <row r="971" spans="22:22" x14ac:dyDescent="0.3">
      <c r="V971" s="7" t="b">
        <v>0</v>
      </c>
    </row>
    <row r="972" spans="22:22" x14ac:dyDescent="0.3">
      <c r="V972" s="7" t="b">
        <v>0</v>
      </c>
    </row>
    <row r="973" spans="22:22" x14ac:dyDescent="0.3">
      <c r="V973" s="7" t="b">
        <v>0</v>
      </c>
    </row>
    <row r="974" spans="22:22" x14ac:dyDescent="0.3">
      <c r="V974" s="7" t="b">
        <v>0</v>
      </c>
    </row>
    <row r="975" spans="22:22" x14ac:dyDescent="0.3">
      <c r="V975" s="7" t="b">
        <v>0</v>
      </c>
    </row>
    <row r="976" spans="22:22" x14ac:dyDescent="0.3">
      <c r="V976" s="7" t="b">
        <v>0</v>
      </c>
    </row>
    <row r="977" spans="22:22" x14ac:dyDescent="0.3">
      <c r="V977" s="7" t="b">
        <v>0</v>
      </c>
    </row>
    <row r="978" spans="22:22" x14ac:dyDescent="0.3">
      <c r="V978" s="7" t="b">
        <v>0</v>
      </c>
    </row>
    <row r="979" spans="22:22" x14ac:dyDescent="0.3">
      <c r="V979" s="7" t="b">
        <v>0</v>
      </c>
    </row>
    <row r="980" spans="22:22" x14ac:dyDescent="0.3">
      <c r="V980" s="7" t="b">
        <v>0</v>
      </c>
    </row>
    <row r="981" spans="22:22" x14ac:dyDescent="0.3">
      <c r="V981" s="7" t="b">
        <v>0</v>
      </c>
    </row>
    <row r="982" spans="22:22" x14ac:dyDescent="0.3">
      <c r="V982" s="7" t="b">
        <v>0</v>
      </c>
    </row>
    <row r="983" spans="22:22" x14ac:dyDescent="0.3">
      <c r="V983" s="7" t="b">
        <v>0</v>
      </c>
    </row>
    <row r="984" spans="22:22" x14ac:dyDescent="0.3">
      <c r="V984" s="7" t="b">
        <v>0</v>
      </c>
    </row>
    <row r="985" spans="22:22" x14ac:dyDescent="0.3">
      <c r="V985" s="7" t="b">
        <v>0</v>
      </c>
    </row>
    <row r="986" spans="22:22" x14ac:dyDescent="0.3">
      <c r="V986" s="7" t="b">
        <v>0</v>
      </c>
    </row>
    <row r="987" spans="22:22" x14ac:dyDescent="0.3">
      <c r="V987" s="7" t="b">
        <v>0</v>
      </c>
    </row>
    <row r="988" spans="22:22" x14ac:dyDescent="0.3">
      <c r="V988" s="7" t="b">
        <v>0</v>
      </c>
    </row>
    <row r="989" spans="22:22" x14ac:dyDescent="0.3">
      <c r="V989" s="7" t="b">
        <v>0</v>
      </c>
    </row>
    <row r="990" spans="22:22" x14ac:dyDescent="0.3">
      <c r="V990" s="7" t="b">
        <v>0</v>
      </c>
    </row>
    <row r="991" spans="22:22" x14ac:dyDescent="0.3">
      <c r="V991" s="7" t="b">
        <v>0</v>
      </c>
    </row>
    <row r="992" spans="22:22" x14ac:dyDescent="0.3">
      <c r="V992" s="7" t="b">
        <v>0</v>
      </c>
    </row>
    <row r="993" spans="22:22" x14ac:dyDescent="0.3">
      <c r="V993" s="7" t="b">
        <v>0</v>
      </c>
    </row>
    <row r="994" spans="22:22" x14ac:dyDescent="0.3">
      <c r="V994" s="7" t="b">
        <v>0</v>
      </c>
    </row>
    <row r="995" spans="22:22" x14ac:dyDescent="0.3">
      <c r="V995" s="7" t="b">
        <v>0</v>
      </c>
    </row>
    <row r="996" spans="22:22" x14ac:dyDescent="0.3">
      <c r="V996" s="7" t="b">
        <v>0</v>
      </c>
    </row>
    <row r="997" spans="22:22" x14ac:dyDescent="0.3">
      <c r="V997" s="7" t="b">
        <v>0</v>
      </c>
    </row>
    <row r="998" spans="22:22" x14ac:dyDescent="0.3">
      <c r="V998" s="7" t="b">
        <v>0</v>
      </c>
    </row>
    <row r="999" spans="22:22" x14ac:dyDescent="0.3">
      <c r="V999" s="7" t="b">
        <v>0</v>
      </c>
    </row>
    <row r="1000" spans="22:22" x14ac:dyDescent="0.3">
      <c r="V1000" s="7" t="b">
        <v>0</v>
      </c>
    </row>
    <row r="1001" spans="22:22" x14ac:dyDescent="0.3">
      <c r="V1001" s="7" t="b">
        <v>0</v>
      </c>
    </row>
    <row r="1002" spans="22:22" x14ac:dyDescent="0.3">
      <c r="V1002" s="7" t="b">
        <v>0</v>
      </c>
    </row>
    <row r="1003" spans="22:22" x14ac:dyDescent="0.3">
      <c r="V1003" s="7" t="b">
        <v>0</v>
      </c>
    </row>
    <row r="1004" spans="22:22" x14ac:dyDescent="0.3">
      <c r="V1004" s="7" t="b">
        <v>0</v>
      </c>
    </row>
    <row r="1005" spans="22:22" x14ac:dyDescent="0.3">
      <c r="V1005" s="7" t="b">
        <v>0</v>
      </c>
    </row>
    <row r="1006" spans="22:22" x14ac:dyDescent="0.3">
      <c r="V1006" s="7" t="b">
        <v>0</v>
      </c>
    </row>
    <row r="1007" spans="22:22" x14ac:dyDescent="0.3">
      <c r="V1007" s="7" t="b">
        <v>0</v>
      </c>
    </row>
    <row r="1008" spans="22:22" x14ac:dyDescent="0.3">
      <c r="V1008" s="7" t="b">
        <v>0</v>
      </c>
    </row>
    <row r="1009" spans="22:22" x14ac:dyDescent="0.3">
      <c r="V1009" s="7" t="b">
        <v>0</v>
      </c>
    </row>
    <row r="1010" spans="22:22" x14ac:dyDescent="0.3">
      <c r="V1010" s="7" t="b">
        <v>0</v>
      </c>
    </row>
    <row r="1011" spans="22:22" x14ac:dyDescent="0.3">
      <c r="V1011" s="7" t="b">
        <v>0</v>
      </c>
    </row>
    <row r="1012" spans="22:22" x14ac:dyDescent="0.3">
      <c r="V1012" s="7" t="b">
        <v>0</v>
      </c>
    </row>
    <row r="1013" spans="22:22" x14ac:dyDescent="0.3">
      <c r="V1013" s="7" t="b">
        <v>0</v>
      </c>
    </row>
    <row r="1014" spans="22:22" x14ac:dyDescent="0.3">
      <c r="V1014" s="7" t="b">
        <v>0</v>
      </c>
    </row>
    <row r="1015" spans="22:22" x14ac:dyDescent="0.3">
      <c r="V1015" s="7" t="b">
        <v>0</v>
      </c>
    </row>
    <row r="1016" spans="22:22" x14ac:dyDescent="0.3">
      <c r="V1016" s="7" t="b">
        <v>0</v>
      </c>
    </row>
    <row r="1017" spans="22:22" x14ac:dyDescent="0.3">
      <c r="V1017" s="7" t="b">
        <v>0</v>
      </c>
    </row>
    <row r="1018" spans="22:22" x14ac:dyDescent="0.3">
      <c r="V1018" s="7" t="b">
        <v>0</v>
      </c>
    </row>
    <row r="1019" spans="22:22" x14ac:dyDescent="0.3">
      <c r="V1019" s="7" t="b">
        <v>0</v>
      </c>
    </row>
    <row r="1020" spans="22:22" x14ac:dyDescent="0.3">
      <c r="V1020" s="7" t="b">
        <v>0</v>
      </c>
    </row>
    <row r="1021" spans="22:22" x14ac:dyDescent="0.3">
      <c r="V1021" s="7" t="b">
        <v>0</v>
      </c>
    </row>
    <row r="1022" spans="22:22" x14ac:dyDescent="0.3">
      <c r="V1022" s="7" t="b">
        <v>0</v>
      </c>
    </row>
    <row r="1023" spans="22:22" x14ac:dyDescent="0.3">
      <c r="V1023" s="7" t="b">
        <v>0</v>
      </c>
    </row>
    <row r="1024" spans="22:22" x14ac:dyDescent="0.3">
      <c r="V1024" s="7" t="b">
        <v>0</v>
      </c>
    </row>
    <row r="1025" spans="22:22" x14ac:dyDescent="0.3">
      <c r="V1025" s="7" t="b">
        <v>0</v>
      </c>
    </row>
    <row r="1026" spans="22:22" x14ac:dyDescent="0.3">
      <c r="V1026" s="7" t="b">
        <v>0</v>
      </c>
    </row>
    <row r="1027" spans="22:22" x14ac:dyDescent="0.3">
      <c r="V1027" s="7" t="b">
        <v>0</v>
      </c>
    </row>
    <row r="1028" spans="22:22" x14ac:dyDescent="0.3">
      <c r="V1028" s="7" t="b">
        <v>0</v>
      </c>
    </row>
    <row r="1029" spans="22:22" x14ac:dyDescent="0.3">
      <c r="V1029" s="7" t="b">
        <v>0</v>
      </c>
    </row>
    <row r="1030" spans="22:22" x14ac:dyDescent="0.3">
      <c r="V1030" s="7" t="b">
        <v>0</v>
      </c>
    </row>
    <row r="1031" spans="22:22" x14ac:dyDescent="0.3">
      <c r="V1031" s="7" t="b">
        <v>0</v>
      </c>
    </row>
    <row r="1032" spans="22:22" x14ac:dyDescent="0.3">
      <c r="V1032" s="7" t="b">
        <v>0</v>
      </c>
    </row>
    <row r="1033" spans="22:22" x14ac:dyDescent="0.3">
      <c r="V1033" s="7" t="b">
        <v>0</v>
      </c>
    </row>
    <row r="1034" spans="22:22" x14ac:dyDescent="0.3">
      <c r="V1034" s="7" t="b">
        <v>0</v>
      </c>
    </row>
    <row r="1035" spans="22:22" x14ac:dyDescent="0.3">
      <c r="V1035" s="7" t="b">
        <v>0</v>
      </c>
    </row>
    <row r="1036" spans="22:22" x14ac:dyDescent="0.3">
      <c r="V1036" s="7" t="b">
        <v>0</v>
      </c>
    </row>
    <row r="1037" spans="22:22" x14ac:dyDescent="0.3">
      <c r="V1037" s="7" t="b">
        <v>0</v>
      </c>
    </row>
    <row r="1038" spans="22:22" x14ac:dyDescent="0.3">
      <c r="V1038" s="7" t="b">
        <v>0</v>
      </c>
    </row>
    <row r="1039" spans="22:22" x14ac:dyDescent="0.3">
      <c r="V1039" s="7" t="b">
        <v>0</v>
      </c>
    </row>
    <row r="1040" spans="22:22" x14ac:dyDescent="0.3">
      <c r="V1040" s="7" t="b">
        <v>0</v>
      </c>
    </row>
    <row r="1041" spans="22:22" x14ac:dyDescent="0.3">
      <c r="V1041" s="7" t="b">
        <v>0</v>
      </c>
    </row>
    <row r="1042" spans="22:22" x14ac:dyDescent="0.3">
      <c r="V1042" s="7" t="b">
        <v>0</v>
      </c>
    </row>
    <row r="1043" spans="22:22" x14ac:dyDescent="0.3">
      <c r="V1043" s="7" t="b">
        <v>0</v>
      </c>
    </row>
    <row r="1044" spans="22:22" x14ac:dyDescent="0.3">
      <c r="V1044" s="7" t="b">
        <v>0</v>
      </c>
    </row>
    <row r="1045" spans="22:22" x14ac:dyDescent="0.3">
      <c r="V1045" s="7" t="b">
        <v>0</v>
      </c>
    </row>
    <row r="1046" spans="22:22" x14ac:dyDescent="0.3">
      <c r="V1046" s="7" t="b">
        <v>0</v>
      </c>
    </row>
    <row r="1047" spans="22:22" x14ac:dyDescent="0.3">
      <c r="V1047" s="7" t="b">
        <v>0</v>
      </c>
    </row>
    <row r="1048" spans="22:22" x14ac:dyDescent="0.3">
      <c r="V1048" s="7" t="b">
        <v>0</v>
      </c>
    </row>
    <row r="1049" spans="22:22" x14ac:dyDescent="0.3">
      <c r="V1049" s="7" t="b">
        <v>0</v>
      </c>
    </row>
    <row r="1050" spans="22:22" x14ac:dyDescent="0.3">
      <c r="V1050" s="7" t="b">
        <v>0</v>
      </c>
    </row>
    <row r="1051" spans="22:22" x14ac:dyDescent="0.3">
      <c r="V1051" s="7" t="b">
        <v>0</v>
      </c>
    </row>
    <row r="1052" spans="22:22" x14ac:dyDescent="0.3">
      <c r="V1052" s="7" t="b">
        <v>0</v>
      </c>
    </row>
    <row r="1053" spans="22:22" x14ac:dyDescent="0.3">
      <c r="V1053" s="7" t="b">
        <v>0</v>
      </c>
    </row>
    <row r="1054" spans="22:22" x14ac:dyDescent="0.3">
      <c r="V1054" s="7" t="b">
        <v>0</v>
      </c>
    </row>
    <row r="1055" spans="22:22" x14ac:dyDescent="0.3">
      <c r="V1055" s="7" t="b">
        <v>0</v>
      </c>
    </row>
    <row r="1056" spans="22:22" x14ac:dyDescent="0.3">
      <c r="V1056" s="7" t="b">
        <v>0</v>
      </c>
    </row>
    <row r="1057" spans="22:22" x14ac:dyDescent="0.3">
      <c r="V1057" s="7" t="b">
        <v>0</v>
      </c>
    </row>
    <row r="1058" spans="22:22" x14ac:dyDescent="0.3">
      <c r="V1058" s="7" t="b">
        <v>0</v>
      </c>
    </row>
    <row r="1059" spans="22:22" x14ac:dyDescent="0.3">
      <c r="V1059" s="7" t="b">
        <v>0</v>
      </c>
    </row>
    <row r="1060" spans="22:22" x14ac:dyDescent="0.3">
      <c r="V1060" s="7" t="b">
        <v>0</v>
      </c>
    </row>
    <row r="1061" spans="22:22" x14ac:dyDescent="0.3">
      <c r="V1061" s="7" t="b">
        <v>0</v>
      </c>
    </row>
    <row r="1062" spans="22:22" x14ac:dyDescent="0.3">
      <c r="V1062" s="7" t="b">
        <v>0</v>
      </c>
    </row>
    <row r="1063" spans="22:22" x14ac:dyDescent="0.3">
      <c r="V1063" s="7" t="b">
        <v>0</v>
      </c>
    </row>
    <row r="1064" spans="22:22" x14ac:dyDescent="0.3">
      <c r="V1064" s="7" t="b">
        <v>0</v>
      </c>
    </row>
    <row r="1065" spans="22:22" x14ac:dyDescent="0.3">
      <c r="V1065" s="7" t="b">
        <v>0</v>
      </c>
    </row>
    <row r="1066" spans="22:22" x14ac:dyDescent="0.3">
      <c r="V1066" s="7" t="b">
        <v>0</v>
      </c>
    </row>
    <row r="1067" spans="22:22" x14ac:dyDescent="0.3">
      <c r="V1067" s="7" t="b">
        <v>0</v>
      </c>
    </row>
    <row r="1068" spans="22:22" x14ac:dyDescent="0.3">
      <c r="V1068" s="7" t="b">
        <v>0</v>
      </c>
    </row>
    <row r="1069" spans="22:22" x14ac:dyDescent="0.3">
      <c r="V1069" s="7" t="b">
        <v>0</v>
      </c>
    </row>
    <row r="1070" spans="22:22" x14ac:dyDescent="0.3">
      <c r="V1070" s="7" t="b">
        <v>0</v>
      </c>
    </row>
    <row r="1071" spans="22:22" x14ac:dyDescent="0.3">
      <c r="V1071" s="7" t="b">
        <v>0</v>
      </c>
    </row>
    <row r="1072" spans="22:22" x14ac:dyDescent="0.3">
      <c r="V1072" s="7" t="b">
        <v>0</v>
      </c>
    </row>
    <row r="1073" spans="22:22" x14ac:dyDescent="0.3">
      <c r="V1073" s="7" t="b">
        <v>0</v>
      </c>
    </row>
    <row r="1074" spans="22:22" x14ac:dyDescent="0.3">
      <c r="V1074" s="7" t="b">
        <v>0</v>
      </c>
    </row>
    <row r="1075" spans="22:22" x14ac:dyDescent="0.3">
      <c r="V1075" s="7" t="b">
        <v>0</v>
      </c>
    </row>
    <row r="1076" spans="22:22" x14ac:dyDescent="0.3">
      <c r="V1076" s="7" t="b">
        <v>0</v>
      </c>
    </row>
    <row r="1077" spans="22:22" x14ac:dyDescent="0.3">
      <c r="V1077" s="7" t="b">
        <v>0</v>
      </c>
    </row>
    <row r="1078" spans="22:22" x14ac:dyDescent="0.3">
      <c r="V1078" s="7" t="b">
        <v>0</v>
      </c>
    </row>
    <row r="1079" spans="22:22" x14ac:dyDescent="0.3">
      <c r="V1079" s="7" t="b">
        <v>0</v>
      </c>
    </row>
    <row r="1080" spans="22:22" x14ac:dyDescent="0.3">
      <c r="V1080" s="7" t="b">
        <v>0</v>
      </c>
    </row>
    <row r="1081" spans="22:22" x14ac:dyDescent="0.3">
      <c r="V1081" s="7" t="b">
        <v>0</v>
      </c>
    </row>
    <row r="1082" spans="22:22" x14ac:dyDescent="0.3">
      <c r="V1082" s="7" t="b">
        <v>0</v>
      </c>
    </row>
    <row r="1083" spans="22:22" x14ac:dyDescent="0.3">
      <c r="V1083" s="7" t="b">
        <v>0</v>
      </c>
    </row>
    <row r="1084" spans="22:22" x14ac:dyDescent="0.3">
      <c r="V1084" s="7" t="b">
        <v>0</v>
      </c>
    </row>
    <row r="1085" spans="22:22" x14ac:dyDescent="0.3">
      <c r="V1085" s="7" t="b">
        <v>0</v>
      </c>
    </row>
    <row r="1086" spans="22:22" x14ac:dyDescent="0.3">
      <c r="V1086" s="7" t="b">
        <v>0</v>
      </c>
    </row>
    <row r="1087" spans="22:22" x14ac:dyDescent="0.3">
      <c r="V1087" s="7" t="b">
        <v>0</v>
      </c>
    </row>
    <row r="1088" spans="22:22" x14ac:dyDescent="0.3">
      <c r="V1088" s="7" t="b">
        <v>0</v>
      </c>
    </row>
    <row r="1089" spans="22:22" x14ac:dyDescent="0.3">
      <c r="V1089" s="7" t="b">
        <v>0</v>
      </c>
    </row>
    <row r="1090" spans="22:22" x14ac:dyDescent="0.3">
      <c r="V1090" s="7" t="b">
        <v>0</v>
      </c>
    </row>
    <row r="1091" spans="22:22" x14ac:dyDescent="0.3">
      <c r="V1091" s="7" t="b">
        <v>0</v>
      </c>
    </row>
    <row r="1092" spans="22:22" x14ac:dyDescent="0.3">
      <c r="V1092" s="7" t="b">
        <v>0</v>
      </c>
    </row>
    <row r="1093" spans="22:22" x14ac:dyDescent="0.3">
      <c r="V1093" s="7" t="b">
        <v>0</v>
      </c>
    </row>
    <row r="1094" spans="22:22" x14ac:dyDescent="0.3">
      <c r="V1094" s="7" t="b">
        <v>0</v>
      </c>
    </row>
    <row r="1095" spans="22:22" x14ac:dyDescent="0.3">
      <c r="V1095" s="7" t="b">
        <v>0</v>
      </c>
    </row>
    <row r="1096" spans="22:22" x14ac:dyDescent="0.3">
      <c r="V1096" s="7" t="b">
        <v>0</v>
      </c>
    </row>
    <row r="1097" spans="22:22" x14ac:dyDescent="0.3">
      <c r="V1097" s="7" t="b">
        <v>0</v>
      </c>
    </row>
    <row r="1098" spans="22:22" x14ac:dyDescent="0.3">
      <c r="V1098" s="7" t="b">
        <v>0</v>
      </c>
    </row>
    <row r="1099" spans="22:22" x14ac:dyDescent="0.3">
      <c r="V1099" s="7" t="b">
        <v>0</v>
      </c>
    </row>
    <row r="1100" spans="22:22" x14ac:dyDescent="0.3">
      <c r="V1100" s="7" t="b">
        <v>0</v>
      </c>
    </row>
    <row r="1101" spans="22:22" x14ac:dyDescent="0.3">
      <c r="V1101" s="7" t="b">
        <v>0</v>
      </c>
    </row>
    <row r="1102" spans="22:22" x14ac:dyDescent="0.3">
      <c r="V1102" s="7" t="b">
        <v>0</v>
      </c>
    </row>
    <row r="1103" spans="22:22" x14ac:dyDescent="0.3">
      <c r="V1103" s="7" t="b">
        <v>0</v>
      </c>
    </row>
    <row r="1104" spans="22:22" x14ac:dyDescent="0.3">
      <c r="V1104" s="7" t="b">
        <v>0</v>
      </c>
    </row>
    <row r="1105" spans="22:22" x14ac:dyDescent="0.3">
      <c r="V1105" s="7" t="b">
        <v>0</v>
      </c>
    </row>
    <row r="1106" spans="22:22" x14ac:dyDescent="0.3">
      <c r="V1106" s="7" t="b">
        <v>0</v>
      </c>
    </row>
    <row r="1107" spans="22:22" x14ac:dyDescent="0.3">
      <c r="V1107" s="7" t="b">
        <v>0</v>
      </c>
    </row>
    <row r="1108" spans="22:22" x14ac:dyDescent="0.3">
      <c r="V1108" s="7" t="b">
        <v>0</v>
      </c>
    </row>
    <row r="1109" spans="22:22" x14ac:dyDescent="0.3">
      <c r="V1109" s="7" t="b">
        <v>0</v>
      </c>
    </row>
    <row r="1110" spans="22:22" x14ac:dyDescent="0.3">
      <c r="V1110" s="7" t="b">
        <v>0</v>
      </c>
    </row>
    <row r="1111" spans="22:22" x14ac:dyDescent="0.3">
      <c r="V1111" s="7" t="b">
        <v>0</v>
      </c>
    </row>
    <row r="1112" spans="22:22" x14ac:dyDescent="0.3">
      <c r="V1112" s="7" t="b">
        <v>0</v>
      </c>
    </row>
    <row r="1113" spans="22:22" x14ac:dyDescent="0.3">
      <c r="V1113" s="7" t="b">
        <v>0</v>
      </c>
    </row>
    <row r="1114" spans="22:22" x14ac:dyDescent="0.3">
      <c r="V1114" s="7" t="b">
        <v>0</v>
      </c>
    </row>
    <row r="1115" spans="22:22" x14ac:dyDescent="0.3">
      <c r="V1115" s="7" t="b">
        <v>0</v>
      </c>
    </row>
    <row r="1116" spans="22:22" x14ac:dyDescent="0.3">
      <c r="V1116" s="7" t="b">
        <v>0</v>
      </c>
    </row>
    <row r="1117" spans="22:22" x14ac:dyDescent="0.3">
      <c r="V1117" s="7" t="b">
        <v>0</v>
      </c>
    </row>
    <row r="1118" spans="22:22" x14ac:dyDescent="0.3">
      <c r="V1118" s="7" t="b">
        <v>0</v>
      </c>
    </row>
    <row r="1119" spans="22:22" x14ac:dyDescent="0.3">
      <c r="V1119" s="7" t="b">
        <v>0</v>
      </c>
    </row>
    <row r="1120" spans="22:22" x14ac:dyDescent="0.3">
      <c r="V1120" s="7" t="b">
        <v>0</v>
      </c>
    </row>
    <row r="1121" spans="22:22" x14ac:dyDescent="0.3">
      <c r="V1121" s="7" t="b">
        <v>0</v>
      </c>
    </row>
    <row r="1122" spans="22:22" x14ac:dyDescent="0.3">
      <c r="V1122" s="7" t="b">
        <v>0</v>
      </c>
    </row>
    <row r="1123" spans="22:22" x14ac:dyDescent="0.3">
      <c r="V1123" s="7" t="b">
        <v>0</v>
      </c>
    </row>
    <row r="1124" spans="22:22" x14ac:dyDescent="0.3">
      <c r="V1124" s="7" t="b">
        <v>0</v>
      </c>
    </row>
    <row r="1125" spans="22:22" x14ac:dyDescent="0.3">
      <c r="V1125" s="7" t="b">
        <v>0</v>
      </c>
    </row>
    <row r="1126" spans="22:22" x14ac:dyDescent="0.3">
      <c r="V1126" s="7" t="b">
        <v>0</v>
      </c>
    </row>
    <row r="1127" spans="22:22" x14ac:dyDescent="0.3">
      <c r="V1127" s="7" t="b">
        <v>0</v>
      </c>
    </row>
    <row r="1128" spans="22:22" x14ac:dyDescent="0.3">
      <c r="V1128" s="7" t="b">
        <v>0</v>
      </c>
    </row>
    <row r="1129" spans="22:22" x14ac:dyDescent="0.3">
      <c r="V1129" s="7" t="b">
        <v>0</v>
      </c>
    </row>
    <row r="1130" spans="22:22" x14ac:dyDescent="0.3">
      <c r="V1130" s="7" t="b">
        <v>0</v>
      </c>
    </row>
    <row r="1131" spans="22:22" x14ac:dyDescent="0.3">
      <c r="V1131" s="7" t="b">
        <v>0</v>
      </c>
    </row>
    <row r="1132" spans="22:22" x14ac:dyDescent="0.3">
      <c r="V1132" s="7" t="b">
        <v>0</v>
      </c>
    </row>
    <row r="1133" spans="22:22" x14ac:dyDescent="0.3">
      <c r="V1133" s="7" t="b">
        <v>0</v>
      </c>
    </row>
    <row r="1134" spans="22:22" x14ac:dyDescent="0.3">
      <c r="V1134" s="7" t="b">
        <v>0</v>
      </c>
    </row>
    <row r="1135" spans="22:22" x14ac:dyDescent="0.3">
      <c r="V1135" s="7" t="b">
        <v>0</v>
      </c>
    </row>
    <row r="1136" spans="22:22" x14ac:dyDescent="0.3">
      <c r="V1136" s="7" t="b">
        <v>0</v>
      </c>
    </row>
    <row r="1137" spans="22:22" x14ac:dyDescent="0.3">
      <c r="V1137" s="7" t="b">
        <v>0</v>
      </c>
    </row>
    <row r="1138" spans="22:22" x14ac:dyDescent="0.3">
      <c r="V1138" s="7" t="b">
        <v>0</v>
      </c>
    </row>
    <row r="1139" spans="22:22" x14ac:dyDescent="0.3">
      <c r="V1139" s="7" t="b">
        <v>0</v>
      </c>
    </row>
    <row r="1140" spans="22:22" x14ac:dyDescent="0.3">
      <c r="V1140" s="7" t="b">
        <v>0</v>
      </c>
    </row>
    <row r="1141" spans="22:22" x14ac:dyDescent="0.3">
      <c r="V1141" s="7" t="b">
        <v>0</v>
      </c>
    </row>
    <row r="1142" spans="22:22" x14ac:dyDescent="0.3">
      <c r="V1142" s="7" t="b">
        <v>0</v>
      </c>
    </row>
    <row r="1143" spans="22:22" x14ac:dyDescent="0.3">
      <c r="V1143" s="7" t="b">
        <v>0</v>
      </c>
    </row>
    <row r="1144" spans="22:22" x14ac:dyDescent="0.3">
      <c r="V1144" s="7" t="b">
        <v>0</v>
      </c>
    </row>
    <row r="1145" spans="22:22" x14ac:dyDescent="0.3">
      <c r="V1145" s="7" t="b">
        <v>0</v>
      </c>
    </row>
    <row r="1146" spans="22:22" x14ac:dyDescent="0.3">
      <c r="V1146" s="7" t="b">
        <v>0</v>
      </c>
    </row>
    <row r="1147" spans="22:22" x14ac:dyDescent="0.3">
      <c r="V1147" s="7" t="b">
        <v>0</v>
      </c>
    </row>
    <row r="1148" spans="22:22" x14ac:dyDescent="0.3">
      <c r="V1148" s="7" t="b">
        <v>0</v>
      </c>
    </row>
    <row r="1149" spans="22:22" x14ac:dyDescent="0.3">
      <c r="V1149" s="7" t="b">
        <v>0</v>
      </c>
    </row>
    <row r="1150" spans="22:22" x14ac:dyDescent="0.3">
      <c r="V1150" s="7" t="b">
        <v>0</v>
      </c>
    </row>
    <row r="1151" spans="22:22" x14ac:dyDescent="0.3">
      <c r="V1151" s="7" t="b">
        <v>0</v>
      </c>
    </row>
    <row r="1152" spans="22:22" x14ac:dyDescent="0.3">
      <c r="V1152" s="7" t="b">
        <v>0</v>
      </c>
    </row>
    <row r="1153" spans="22:22" x14ac:dyDescent="0.3">
      <c r="V1153" s="7" t="b">
        <v>0</v>
      </c>
    </row>
    <row r="1154" spans="22:22" x14ac:dyDescent="0.3">
      <c r="V1154" s="7" t="b">
        <v>0</v>
      </c>
    </row>
    <row r="1155" spans="22:22" x14ac:dyDescent="0.3">
      <c r="V1155" s="7" t="b">
        <v>0</v>
      </c>
    </row>
    <row r="1156" spans="22:22" x14ac:dyDescent="0.3">
      <c r="V1156" s="7" t="b">
        <v>0</v>
      </c>
    </row>
    <row r="1157" spans="22:22" x14ac:dyDescent="0.3">
      <c r="V1157" s="7" t="b">
        <v>0</v>
      </c>
    </row>
    <row r="1158" spans="22:22" x14ac:dyDescent="0.3">
      <c r="V1158" s="7" t="b">
        <v>0</v>
      </c>
    </row>
    <row r="1159" spans="22:22" x14ac:dyDescent="0.3">
      <c r="V1159" s="7" t="b">
        <v>0</v>
      </c>
    </row>
    <row r="1160" spans="22:22" x14ac:dyDescent="0.3">
      <c r="V1160" s="7" t="b">
        <v>0</v>
      </c>
    </row>
    <row r="1161" spans="22:22" x14ac:dyDescent="0.3">
      <c r="V1161" s="7" t="b">
        <v>0</v>
      </c>
    </row>
    <row r="1162" spans="22:22" x14ac:dyDescent="0.3">
      <c r="V1162" s="7" t="b">
        <v>0</v>
      </c>
    </row>
    <row r="1163" spans="22:22" x14ac:dyDescent="0.3">
      <c r="V1163" s="7" t="b">
        <v>0</v>
      </c>
    </row>
    <row r="1164" spans="22:22" x14ac:dyDescent="0.3">
      <c r="V1164" s="7" t="b">
        <v>0</v>
      </c>
    </row>
    <row r="1165" spans="22:22" x14ac:dyDescent="0.3">
      <c r="V1165" s="7" t="b">
        <v>0</v>
      </c>
    </row>
    <row r="1166" spans="22:22" x14ac:dyDescent="0.3">
      <c r="V1166" s="7" t="b">
        <v>0</v>
      </c>
    </row>
    <row r="1167" spans="22:22" x14ac:dyDescent="0.3">
      <c r="V1167" s="7" t="b">
        <v>0</v>
      </c>
    </row>
    <row r="1168" spans="22:22" x14ac:dyDescent="0.3">
      <c r="V1168" s="7" t="b">
        <v>0</v>
      </c>
    </row>
    <row r="1169" spans="22:22" x14ac:dyDescent="0.3">
      <c r="V1169" s="7" t="b">
        <v>0</v>
      </c>
    </row>
    <row r="1170" spans="22:22" x14ac:dyDescent="0.3">
      <c r="V1170" s="7" t="b">
        <v>0</v>
      </c>
    </row>
    <row r="1171" spans="22:22" x14ac:dyDescent="0.3">
      <c r="V1171" s="7" t="b">
        <v>0</v>
      </c>
    </row>
    <row r="1172" spans="22:22" x14ac:dyDescent="0.3">
      <c r="V1172" s="7" t="b">
        <v>0</v>
      </c>
    </row>
    <row r="1173" spans="22:22" x14ac:dyDescent="0.3">
      <c r="V1173" s="7" t="b">
        <v>0</v>
      </c>
    </row>
    <row r="1174" spans="22:22" x14ac:dyDescent="0.3">
      <c r="V1174" s="7" t="b">
        <v>0</v>
      </c>
    </row>
    <row r="1175" spans="22:22" x14ac:dyDescent="0.3">
      <c r="V1175" s="7" t="b">
        <v>0</v>
      </c>
    </row>
    <row r="1176" spans="22:22" x14ac:dyDescent="0.3">
      <c r="V1176" s="7" t="b">
        <v>0</v>
      </c>
    </row>
    <row r="1177" spans="22:22" x14ac:dyDescent="0.3">
      <c r="V1177" s="7" t="b">
        <v>0</v>
      </c>
    </row>
    <row r="1178" spans="22:22" x14ac:dyDescent="0.3">
      <c r="V1178" s="7" t="b">
        <v>0</v>
      </c>
    </row>
    <row r="1179" spans="22:22" x14ac:dyDescent="0.3">
      <c r="V1179" s="7" t="b">
        <v>0</v>
      </c>
    </row>
    <row r="1180" spans="22:22" x14ac:dyDescent="0.3">
      <c r="V1180" s="7" t="b">
        <v>0</v>
      </c>
    </row>
    <row r="1181" spans="22:22" x14ac:dyDescent="0.3">
      <c r="V1181" s="7" t="b">
        <v>0</v>
      </c>
    </row>
    <row r="1182" spans="22:22" x14ac:dyDescent="0.3">
      <c r="V1182" s="7" t="b">
        <v>0</v>
      </c>
    </row>
    <row r="1183" spans="22:22" x14ac:dyDescent="0.3">
      <c r="V1183" s="7" t="b">
        <v>0</v>
      </c>
    </row>
    <row r="1184" spans="22:22" x14ac:dyDescent="0.3">
      <c r="V1184" s="7" t="b">
        <v>0</v>
      </c>
    </row>
    <row r="1185" spans="22:22" x14ac:dyDescent="0.3">
      <c r="V1185" s="7" t="b">
        <v>0</v>
      </c>
    </row>
    <row r="1186" spans="22:22" x14ac:dyDescent="0.3">
      <c r="V1186" s="7" t="b">
        <v>0</v>
      </c>
    </row>
    <row r="1187" spans="22:22" x14ac:dyDescent="0.3">
      <c r="V1187" s="7" t="b">
        <v>0</v>
      </c>
    </row>
    <row r="1188" spans="22:22" x14ac:dyDescent="0.3">
      <c r="V1188" s="7" t="b">
        <v>0</v>
      </c>
    </row>
    <row r="1189" spans="22:22" x14ac:dyDescent="0.3">
      <c r="V1189" s="7" t="b">
        <v>0</v>
      </c>
    </row>
    <row r="1190" spans="22:22" x14ac:dyDescent="0.3">
      <c r="V1190" s="7" t="b">
        <v>0</v>
      </c>
    </row>
    <row r="1191" spans="22:22" x14ac:dyDescent="0.3">
      <c r="V1191" s="7" t="b">
        <v>0</v>
      </c>
    </row>
    <row r="1192" spans="22:22" x14ac:dyDescent="0.3">
      <c r="V1192" s="7" t="b">
        <v>0</v>
      </c>
    </row>
    <row r="1193" spans="22:22" x14ac:dyDescent="0.3">
      <c r="V1193" s="7" t="b">
        <v>0</v>
      </c>
    </row>
    <row r="1194" spans="22:22" x14ac:dyDescent="0.3">
      <c r="V1194" s="7" t="b">
        <v>0</v>
      </c>
    </row>
    <row r="1195" spans="22:22" x14ac:dyDescent="0.3">
      <c r="V1195" s="7" t="b">
        <v>0</v>
      </c>
    </row>
    <row r="1196" spans="22:22" x14ac:dyDescent="0.3">
      <c r="V1196" s="7" t="b">
        <v>0</v>
      </c>
    </row>
    <row r="1197" spans="22:22" x14ac:dyDescent="0.3">
      <c r="V1197" s="7" t="b">
        <v>0</v>
      </c>
    </row>
    <row r="1198" spans="22:22" x14ac:dyDescent="0.3">
      <c r="V1198" s="7" t="b">
        <v>0</v>
      </c>
    </row>
    <row r="1199" spans="22:22" x14ac:dyDescent="0.3">
      <c r="V1199" s="7" t="b">
        <v>0</v>
      </c>
    </row>
    <row r="1200" spans="22:22" x14ac:dyDescent="0.3">
      <c r="V1200" s="7" t="b">
        <v>0</v>
      </c>
    </row>
    <row r="1201" spans="22:22" x14ac:dyDescent="0.3">
      <c r="V1201" s="7" t="b">
        <v>0</v>
      </c>
    </row>
    <row r="1202" spans="22:22" x14ac:dyDescent="0.3">
      <c r="V1202" s="7" t="b">
        <v>0</v>
      </c>
    </row>
    <row r="1203" spans="22:22" x14ac:dyDescent="0.3">
      <c r="V1203" s="7" t="b">
        <v>0</v>
      </c>
    </row>
    <row r="1204" spans="22:22" x14ac:dyDescent="0.3">
      <c r="V1204" s="7" t="b">
        <v>0</v>
      </c>
    </row>
    <row r="1205" spans="22:22" x14ac:dyDescent="0.3">
      <c r="V1205" s="7" t="b">
        <v>0</v>
      </c>
    </row>
    <row r="1206" spans="22:22" x14ac:dyDescent="0.3">
      <c r="V1206" s="7" t="b">
        <v>0</v>
      </c>
    </row>
    <row r="1207" spans="22:22" x14ac:dyDescent="0.3">
      <c r="V1207" s="7" t="b">
        <v>0</v>
      </c>
    </row>
    <row r="1208" spans="22:22" x14ac:dyDescent="0.3">
      <c r="V1208" s="7" t="b">
        <v>0</v>
      </c>
    </row>
    <row r="1209" spans="22:22" x14ac:dyDescent="0.3">
      <c r="V1209" s="7" t="b">
        <v>0</v>
      </c>
    </row>
    <row r="1210" spans="22:22" x14ac:dyDescent="0.3">
      <c r="V1210" s="7" t="b">
        <v>0</v>
      </c>
    </row>
    <row r="1211" spans="22:22" x14ac:dyDescent="0.3">
      <c r="V1211" s="7" t="b">
        <v>0</v>
      </c>
    </row>
    <row r="1212" spans="22:22" x14ac:dyDescent="0.3">
      <c r="V1212" s="7" t="b">
        <v>0</v>
      </c>
    </row>
    <row r="1213" spans="22:22" x14ac:dyDescent="0.3">
      <c r="V1213" s="7" t="b">
        <v>0</v>
      </c>
    </row>
    <row r="1214" spans="22:22" x14ac:dyDescent="0.3">
      <c r="V1214" s="7" t="b">
        <v>0</v>
      </c>
    </row>
    <row r="1215" spans="22:22" x14ac:dyDescent="0.3">
      <c r="V1215" s="7" t="b">
        <v>0</v>
      </c>
    </row>
    <row r="1216" spans="22:22" x14ac:dyDescent="0.3">
      <c r="V1216" s="7" t="b">
        <v>0</v>
      </c>
    </row>
    <row r="1217" spans="22:22" x14ac:dyDescent="0.3">
      <c r="V1217" s="7" t="b">
        <v>0</v>
      </c>
    </row>
    <row r="1218" spans="22:22" x14ac:dyDescent="0.3">
      <c r="V1218" s="7" t="b">
        <v>0</v>
      </c>
    </row>
    <row r="1219" spans="22:22" x14ac:dyDescent="0.3">
      <c r="V1219" s="7" t="b">
        <v>0</v>
      </c>
    </row>
    <row r="1220" spans="22:22" x14ac:dyDescent="0.3">
      <c r="V1220" s="7" t="b">
        <v>0</v>
      </c>
    </row>
    <row r="1221" spans="22:22" x14ac:dyDescent="0.3">
      <c r="V1221" s="7" t="b">
        <v>0</v>
      </c>
    </row>
    <row r="1222" spans="22:22" x14ac:dyDescent="0.3">
      <c r="V1222" s="7" t="b">
        <v>0</v>
      </c>
    </row>
    <row r="1223" spans="22:22" x14ac:dyDescent="0.3">
      <c r="V1223" s="7" t="b">
        <v>0</v>
      </c>
    </row>
    <row r="1224" spans="22:22" x14ac:dyDescent="0.3">
      <c r="V1224" s="7" t="b">
        <v>0</v>
      </c>
    </row>
    <row r="1225" spans="22:22" x14ac:dyDescent="0.3">
      <c r="V1225" s="7" t="b">
        <v>0</v>
      </c>
    </row>
    <row r="1226" spans="22:22" x14ac:dyDescent="0.3">
      <c r="V1226" s="7" t="b">
        <v>0</v>
      </c>
    </row>
    <row r="1227" spans="22:22" x14ac:dyDescent="0.3">
      <c r="V1227" s="7" t="b">
        <v>0</v>
      </c>
    </row>
    <row r="1228" spans="22:22" x14ac:dyDescent="0.3">
      <c r="V1228" s="7" t="b">
        <v>0</v>
      </c>
    </row>
    <row r="1229" spans="22:22" x14ac:dyDescent="0.3">
      <c r="V1229" s="7" t="b">
        <v>0</v>
      </c>
    </row>
    <row r="1230" spans="22:22" x14ac:dyDescent="0.3">
      <c r="V1230" s="7" t="b">
        <v>0</v>
      </c>
    </row>
    <row r="1231" spans="22:22" x14ac:dyDescent="0.3">
      <c r="V1231" s="7" t="b">
        <v>0</v>
      </c>
    </row>
    <row r="1232" spans="22:22" x14ac:dyDescent="0.3">
      <c r="V1232" s="7" t="b">
        <v>0</v>
      </c>
    </row>
    <row r="1233" spans="22:22" x14ac:dyDescent="0.3">
      <c r="V1233" s="7" t="b">
        <v>0</v>
      </c>
    </row>
    <row r="1234" spans="22:22" x14ac:dyDescent="0.3">
      <c r="V1234" s="7" t="b">
        <v>0</v>
      </c>
    </row>
    <row r="1235" spans="22:22" x14ac:dyDescent="0.3">
      <c r="V1235" s="7" t="b">
        <v>0</v>
      </c>
    </row>
    <row r="1236" spans="22:22" x14ac:dyDescent="0.3">
      <c r="V1236" s="7" t="b">
        <v>0</v>
      </c>
    </row>
    <row r="1237" spans="22:22" x14ac:dyDescent="0.3">
      <c r="V1237" s="7" t="b">
        <v>0</v>
      </c>
    </row>
    <row r="1238" spans="22:22" x14ac:dyDescent="0.3">
      <c r="V1238" s="7" t="b">
        <v>0</v>
      </c>
    </row>
    <row r="1239" spans="22:22" x14ac:dyDescent="0.3">
      <c r="V1239" s="7" t="b">
        <v>0</v>
      </c>
    </row>
    <row r="1240" spans="22:22" x14ac:dyDescent="0.3">
      <c r="V1240" s="7" t="b">
        <v>0</v>
      </c>
    </row>
    <row r="1241" spans="22:22" x14ac:dyDescent="0.3">
      <c r="V1241" s="7" t="b">
        <v>0</v>
      </c>
    </row>
    <row r="1242" spans="22:22" x14ac:dyDescent="0.3">
      <c r="V1242" s="7" t="b">
        <v>0</v>
      </c>
    </row>
    <row r="1243" spans="22:22" x14ac:dyDescent="0.3">
      <c r="V1243" s="7" t="b">
        <v>0</v>
      </c>
    </row>
    <row r="1244" spans="22:22" x14ac:dyDescent="0.3">
      <c r="V1244" s="7" t="b">
        <v>0</v>
      </c>
    </row>
    <row r="1245" spans="22:22" x14ac:dyDescent="0.3">
      <c r="V1245" s="7" t="b">
        <v>0</v>
      </c>
    </row>
    <row r="1246" spans="22:22" x14ac:dyDescent="0.3">
      <c r="V1246" s="7" t="b">
        <v>0</v>
      </c>
    </row>
    <row r="1247" spans="22:22" x14ac:dyDescent="0.3">
      <c r="V1247" s="7" t="b">
        <v>0</v>
      </c>
    </row>
    <row r="1248" spans="22:22" x14ac:dyDescent="0.3">
      <c r="V1248" s="7" t="b">
        <v>0</v>
      </c>
    </row>
    <row r="1249" spans="15:22" x14ac:dyDescent="0.3">
      <c r="V1249" s="7" t="b">
        <v>0</v>
      </c>
    </row>
    <row r="1250" spans="15:22" x14ac:dyDescent="0.3">
      <c r="V1250" s="7" t="b">
        <v>0</v>
      </c>
    </row>
    <row r="1251" spans="15:22" x14ac:dyDescent="0.3">
      <c r="V1251" s="7" t="b">
        <v>0</v>
      </c>
    </row>
    <row r="1252" spans="15:22" x14ac:dyDescent="0.3">
      <c r="V1252" s="7" t="b">
        <v>0</v>
      </c>
    </row>
    <row r="1253" spans="15:22" x14ac:dyDescent="0.3">
      <c r="V1253" s="7" t="b">
        <v>0</v>
      </c>
    </row>
    <row r="1254" spans="15:22" x14ac:dyDescent="0.3">
      <c r="V1254" s="7" t="b">
        <v>0</v>
      </c>
    </row>
    <row r="1255" spans="15:22" x14ac:dyDescent="0.3">
      <c r="V1255" s="7" t="b">
        <v>0</v>
      </c>
    </row>
    <row r="1256" spans="15:22" x14ac:dyDescent="0.3">
      <c r="V1256" s="7" t="b">
        <v>0</v>
      </c>
    </row>
    <row r="1257" spans="15:22" x14ac:dyDescent="0.3">
      <c r="V1257" s="7" t="b">
        <v>0</v>
      </c>
    </row>
    <row r="1258" spans="15:22" x14ac:dyDescent="0.3">
      <c r="V1258" s="7" t="b">
        <v>0</v>
      </c>
    </row>
    <row r="1259" spans="15:22" x14ac:dyDescent="0.3">
      <c r="V1259" s="7" t="b">
        <v>0</v>
      </c>
    </row>
    <row r="1260" spans="15:22" x14ac:dyDescent="0.3">
      <c r="V1260" s="7" t="b">
        <v>0</v>
      </c>
    </row>
    <row r="1261" spans="15:22" x14ac:dyDescent="0.3">
      <c r="V1261" s="7" t="b">
        <v>0</v>
      </c>
    </row>
    <row r="1262" spans="15:22" x14ac:dyDescent="0.3">
      <c r="V1262" s="7" t="b">
        <v>0</v>
      </c>
    </row>
    <row r="1263" spans="15:22" x14ac:dyDescent="0.3">
      <c r="V1263" s="7" t="b">
        <v>0</v>
      </c>
    </row>
    <row r="1264" spans="15:22" x14ac:dyDescent="0.3">
      <c r="O1264" t="s">
        <v>1421</v>
      </c>
      <c r="V1264" s="7" t="b">
        <v>0</v>
      </c>
    </row>
    <row r="1265" spans="15:22" x14ac:dyDescent="0.3">
      <c r="O1265" t="s">
        <v>1421</v>
      </c>
      <c r="V1265" s="7" t="b">
        <v>0</v>
      </c>
    </row>
    <row r="1266" spans="15:22" x14ac:dyDescent="0.3">
      <c r="V1266" s="7" t="b">
        <v>0</v>
      </c>
    </row>
  </sheetData>
  <autoFilter ref="G1:G1266" xr:uid="{76BECD7B-BE26-4833-8AB8-E36D9DEC44DD}"/>
  <conditionalFormatting sqref="G1:I1048576">
    <cfRule type="cellIs" dxfId="1" priority="1" operator="lessThan">
      <formula>0</formula>
    </cfRule>
  </conditionalFormatting>
  <conditionalFormatting sqref="T1:T1048576">
    <cfRule type="cellIs" dxfId="0" priority="2" operator="lessThanOrEqual">
      <formula>0</formula>
    </cfRule>
    <cfRule type="cellIs" priority="3" operator="lessThanOrEqual">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E6FF-44E1-4121-8CB6-179338822AFF}">
  <dimension ref="A3:H9"/>
  <sheetViews>
    <sheetView workbookViewId="0">
      <selection activeCell="G8" sqref="G8"/>
    </sheetView>
  </sheetViews>
  <sheetFormatPr defaultRowHeight="14.4" x14ac:dyDescent="0.3"/>
  <cols>
    <col min="1" max="1" width="19.5546875" bestFit="1" customWidth="1"/>
    <col min="2" max="2" width="15.5546875" bestFit="1" customWidth="1"/>
    <col min="3" max="4" width="12" bestFit="1" customWidth="1"/>
    <col min="5" max="5" width="13.77734375" bestFit="1" customWidth="1"/>
    <col min="6" max="9" width="12" bestFit="1" customWidth="1"/>
  </cols>
  <sheetData>
    <row r="3" spans="1:8" x14ac:dyDescent="0.3">
      <c r="A3" s="12" t="s">
        <v>1436</v>
      </c>
      <c r="B3" s="12" t="s">
        <v>1440</v>
      </c>
    </row>
    <row r="4" spans="1:8" x14ac:dyDescent="0.3">
      <c r="A4" s="12" t="s">
        <v>1433</v>
      </c>
      <c r="B4" t="s">
        <v>711</v>
      </c>
      <c r="C4" t="s">
        <v>710</v>
      </c>
      <c r="D4" t="s">
        <v>709</v>
      </c>
      <c r="E4" t="s">
        <v>1421</v>
      </c>
      <c r="F4" t="s">
        <v>708</v>
      </c>
      <c r="G4" t="s">
        <v>707</v>
      </c>
      <c r="H4" t="s">
        <v>1435</v>
      </c>
    </row>
    <row r="5" spans="1:8" x14ac:dyDescent="0.3">
      <c r="A5" s="13" t="s">
        <v>646</v>
      </c>
      <c r="B5" s="24">
        <v>461428.95969999989</v>
      </c>
      <c r="C5" s="24">
        <v>623894.11206999992</v>
      </c>
      <c r="D5" s="24">
        <v>527467.87456000003</v>
      </c>
      <c r="E5" s="24">
        <v>32716.924230000001</v>
      </c>
      <c r="F5" s="24">
        <v>433406.33626999997</v>
      </c>
      <c r="G5" s="24">
        <v>530851.58854999999</v>
      </c>
      <c r="H5" s="24">
        <v>2609765.7953799996</v>
      </c>
    </row>
    <row r="6" spans="1:8" x14ac:dyDescent="0.3">
      <c r="A6" s="13" t="s">
        <v>648</v>
      </c>
      <c r="B6" s="24">
        <v>751887.68591000012</v>
      </c>
      <c r="C6" s="24">
        <v>568425.23432000005</v>
      </c>
      <c r="D6" s="24">
        <v>366375.92751999997</v>
      </c>
      <c r="E6" s="24">
        <v>9256.14</v>
      </c>
      <c r="F6" s="24">
        <v>689951.45437000017</v>
      </c>
      <c r="G6" s="24">
        <v>302853.57922000001</v>
      </c>
      <c r="H6" s="24">
        <v>2688750.0213400004</v>
      </c>
    </row>
    <row r="7" spans="1:8" x14ac:dyDescent="0.3">
      <c r="A7" s="13" t="s">
        <v>647</v>
      </c>
      <c r="B7" s="24">
        <v>642428.78857999993</v>
      </c>
      <c r="C7" s="24">
        <v>509418.80598999996</v>
      </c>
      <c r="D7" s="24">
        <v>541441.73805999989</v>
      </c>
      <c r="E7" s="24">
        <v>41379.395489999995</v>
      </c>
      <c r="F7" s="24">
        <v>413661.50969000004</v>
      </c>
      <c r="G7" s="24">
        <v>693141.67984</v>
      </c>
      <c r="H7" s="24">
        <v>2841471.9176499997</v>
      </c>
    </row>
    <row r="8" spans="1:8" x14ac:dyDescent="0.3">
      <c r="A8" s="13" t="s">
        <v>649</v>
      </c>
      <c r="B8" s="24">
        <v>842614.45203999989</v>
      </c>
      <c r="C8" s="24">
        <v>318736.67219999997</v>
      </c>
      <c r="D8" s="24">
        <v>631246.01024999993</v>
      </c>
      <c r="E8" s="24">
        <v>18050.446459999999</v>
      </c>
      <c r="F8" s="24">
        <v>585406.72276999988</v>
      </c>
      <c r="G8" s="24">
        <v>495675.43253000005</v>
      </c>
      <c r="H8" s="24">
        <v>2891729.7362499991</v>
      </c>
    </row>
    <row r="9" spans="1:8" x14ac:dyDescent="0.3">
      <c r="A9" s="13" t="s">
        <v>1435</v>
      </c>
      <c r="B9" s="24">
        <v>2698359.8862299998</v>
      </c>
      <c r="C9" s="24">
        <v>2020474.82458</v>
      </c>
      <c r="D9" s="24">
        <v>2066531.55039</v>
      </c>
      <c r="E9" s="24">
        <v>101402.90617999999</v>
      </c>
      <c r="F9" s="24">
        <v>2122426.0230999999</v>
      </c>
      <c r="G9" s="24">
        <v>2022522.2801400002</v>
      </c>
      <c r="H9" s="24">
        <v>11031717.470619999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AEE6F-A3E2-45D3-BE57-B21288742252}">
  <dimension ref="A3:D12"/>
  <sheetViews>
    <sheetView workbookViewId="0">
      <selection activeCell="A4" sqref="A4"/>
    </sheetView>
  </sheetViews>
  <sheetFormatPr defaultRowHeight="14.4" x14ac:dyDescent="0.3"/>
  <cols>
    <col min="1" max="1" width="13.77734375" bestFit="1" customWidth="1"/>
    <col min="2" max="2" width="16.109375" bestFit="1" customWidth="1"/>
  </cols>
  <sheetData>
    <row r="3" spans="1:4" x14ac:dyDescent="0.3">
      <c r="A3" s="12" t="s">
        <v>1433</v>
      </c>
      <c r="B3" t="s">
        <v>1437</v>
      </c>
    </row>
    <row r="4" spans="1:4" x14ac:dyDescent="0.3">
      <c r="A4" s="13" t="s">
        <v>729</v>
      </c>
      <c r="B4" s="7">
        <v>0.16201257696538898</v>
      </c>
    </row>
    <row r="5" spans="1:4" x14ac:dyDescent="0.3">
      <c r="A5" s="13" t="s">
        <v>731</v>
      </c>
      <c r="B5" s="7">
        <v>0.15517524954250722</v>
      </c>
      <c r="C5" s="14"/>
      <c r="D5" s="7"/>
    </row>
    <row r="6" spans="1:4" x14ac:dyDescent="0.3">
      <c r="A6" s="13" t="s">
        <v>728</v>
      </c>
      <c r="B6" s="7">
        <v>0.1465606666739912</v>
      </c>
      <c r="C6" s="14"/>
    </row>
    <row r="7" spans="1:4" x14ac:dyDescent="0.3">
      <c r="A7" s="13" t="s">
        <v>732</v>
      </c>
      <c r="B7" s="7">
        <v>0.14331607471479521</v>
      </c>
    </row>
    <row r="8" spans="1:4" x14ac:dyDescent="0.3">
      <c r="A8" s="13" t="s">
        <v>727</v>
      </c>
      <c r="B8" s="7">
        <v>0.13972988743236919</v>
      </c>
    </row>
    <row r="9" spans="1:4" x14ac:dyDescent="0.3">
      <c r="A9" s="13" t="s">
        <v>730</v>
      </c>
      <c r="B9" s="7">
        <v>0.12685774345813108</v>
      </c>
    </row>
    <row r="10" spans="1:4" x14ac:dyDescent="0.3">
      <c r="A10" s="13" t="s">
        <v>733</v>
      </c>
      <c r="B10" s="7">
        <v>0.12634780121281722</v>
      </c>
    </row>
    <row r="11" spans="1:4" x14ac:dyDescent="0.3">
      <c r="A11" s="13" t="s">
        <v>1434</v>
      </c>
      <c r="B11" s="7">
        <v>0</v>
      </c>
    </row>
    <row r="12" spans="1:4" x14ac:dyDescent="0.3">
      <c r="A12" s="13" t="s">
        <v>1435</v>
      </c>
      <c r="B12" s="7">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CAFF0-EC91-4C2E-BAB7-132271A9020B}">
  <dimension ref="A3:C21"/>
  <sheetViews>
    <sheetView workbookViewId="0">
      <selection activeCell="E7" sqref="E7"/>
    </sheetView>
  </sheetViews>
  <sheetFormatPr defaultRowHeight="14.4" x14ac:dyDescent="0.3"/>
  <cols>
    <col min="1" max="1" width="13.44140625" bestFit="1" customWidth="1"/>
    <col min="2" max="2" width="16.109375" bestFit="1" customWidth="1"/>
    <col min="3" max="3" width="24.109375" bestFit="1" customWidth="1"/>
    <col min="4" max="631" width="16.109375" bestFit="1" customWidth="1"/>
    <col min="632" max="632" width="7" bestFit="1" customWidth="1"/>
    <col min="633" max="633" width="10.77734375" bestFit="1" customWidth="1"/>
  </cols>
  <sheetData>
    <row r="3" spans="1:3" x14ac:dyDescent="0.3">
      <c r="A3" s="12" t="s">
        <v>1433</v>
      </c>
      <c r="B3" t="s">
        <v>1439</v>
      </c>
      <c r="C3" t="s">
        <v>1438</v>
      </c>
    </row>
    <row r="4" spans="1:3" x14ac:dyDescent="0.3">
      <c r="A4" s="13" t="s">
        <v>720</v>
      </c>
      <c r="B4">
        <v>281944.47093000001</v>
      </c>
      <c r="C4">
        <v>46</v>
      </c>
    </row>
    <row r="5" spans="1:3" x14ac:dyDescent="0.3">
      <c r="A5" s="13" t="s">
        <v>717</v>
      </c>
      <c r="B5">
        <v>315969.97084999998</v>
      </c>
      <c r="C5">
        <v>48</v>
      </c>
    </row>
    <row r="6" spans="1:3" x14ac:dyDescent="0.3">
      <c r="A6" s="13" t="s">
        <v>712</v>
      </c>
      <c r="B6">
        <v>223341.85112000001</v>
      </c>
      <c r="C6">
        <v>36</v>
      </c>
    </row>
    <row r="7" spans="1:3" x14ac:dyDescent="0.3">
      <c r="A7" s="13" t="s">
        <v>726</v>
      </c>
      <c r="B7">
        <v>180249.25115000005</v>
      </c>
      <c r="C7">
        <v>38</v>
      </c>
    </row>
    <row r="8" spans="1:3" x14ac:dyDescent="0.3">
      <c r="A8" s="13" t="s">
        <v>718</v>
      </c>
      <c r="B8">
        <v>204981.34053000004</v>
      </c>
      <c r="C8">
        <v>34</v>
      </c>
    </row>
    <row r="9" spans="1:3" x14ac:dyDescent="0.3">
      <c r="A9" s="13" t="s">
        <v>721</v>
      </c>
      <c r="B9">
        <v>251733.01232000004</v>
      </c>
      <c r="C9">
        <v>51</v>
      </c>
    </row>
    <row r="10" spans="1:3" x14ac:dyDescent="0.3">
      <c r="A10" s="13" t="s">
        <v>715</v>
      </c>
      <c r="B10">
        <v>172441.87305000005</v>
      </c>
      <c r="C10">
        <v>30</v>
      </c>
    </row>
    <row r="11" spans="1:3" x14ac:dyDescent="0.3">
      <c r="A11" s="13" t="s">
        <v>722</v>
      </c>
      <c r="B11">
        <v>198590.28852999996</v>
      </c>
      <c r="C11">
        <v>45</v>
      </c>
    </row>
    <row r="12" spans="1:3" x14ac:dyDescent="0.3">
      <c r="A12" s="13" t="s">
        <v>714</v>
      </c>
      <c r="B12">
        <v>152151.64569999996</v>
      </c>
      <c r="C12">
        <v>38</v>
      </c>
    </row>
    <row r="13" spans="1:3" x14ac:dyDescent="0.3">
      <c r="A13" s="13" t="s">
        <v>713</v>
      </c>
      <c r="B13">
        <v>273113.11228</v>
      </c>
      <c r="C13">
        <v>50</v>
      </c>
    </row>
    <row r="14" spans="1:3" x14ac:dyDescent="0.3">
      <c r="A14" s="13" t="s">
        <v>723</v>
      </c>
      <c r="B14">
        <v>278762.26935999998</v>
      </c>
      <c r="C14">
        <v>44</v>
      </c>
    </row>
    <row r="15" spans="1:3" x14ac:dyDescent="0.3">
      <c r="A15" s="13" t="s">
        <v>716</v>
      </c>
      <c r="B15">
        <v>269716.55345000006</v>
      </c>
      <c r="C15">
        <v>46</v>
      </c>
    </row>
    <row r="16" spans="1:3" x14ac:dyDescent="0.3">
      <c r="A16" s="13" t="s">
        <v>724</v>
      </c>
      <c r="B16">
        <v>302657.05754999985</v>
      </c>
      <c r="C16">
        <v>48</v>
      </c>
    </row>
    <row r="17" spans="1:3" x14ac:dyDescent="0.3">
      <c r="A17" s="13" t="s">
        <v>725</v>
      </c>
      <c r="B17">
        <v>110646.45659</v>
      </c>
      <c r="C17">
        <v>32</v>
      </c>
    </row>
    <row r="18" spans="1:3" x14ac:dyDescent="0.3">
      <c r="A18" s="13" t="s">
        <v>1421</v>
      </c>
      <c r="B18">
        <v>100098.00146999997</v>
      </c>
      <c r="C18">
        <v>8</v>
      </c>
    </row>
    <row r="19" spans="1:3" x14ac:dyDescent="0.3">
      <c r="A19" s="13" t="s">
        <v>719</v>
      </c>
      <c r="B19">
        <v>185219.43694000004</v>
      </c>
      <c r="C19">
        <v>37</v>
      </c>
    </row>
    <row r="20" spans="1:3" x14ac:dyDescent="0.3">
      <c r="A20" s="13" t="s">
        <v>1434</v>
      </c>
    </row>
    <row r="21" spans="1:3" x14ac:dyDescent="0.3">
      <c r="A21" s="13" t="s">
        <v>1435</v>
      </c>
      <c r="B21">
        <v>3501616.5918199988</v>
      </c>
      <c r="C21">
        <v>631</v>
      </c>
    </row>
  </sheetData>
  <sortState xmlns:xlrd2="http://schemas.microsoft.com/office/spreadsheetml/2017/richdata2" columnSort="1" ref="A3:C21">
    <sortCondition descending="1" ref="C3"/>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8DD0-73F1-45AA-B956-DD6807D34BE1}">
  <dimension ref="A3:E4"/>
  <sheetViews>
    <sheetView workbookViewId="0">
      <selection activeCell="E4" sqref="E4"/>
    </sheetView>
  </sheetViews>
  <sheetFormatPr defaultRowHeight="14.4" x14ac:dyDescent="0.3"/>
  <cols>
    <col min="1" max="4" width="15.5546875" bestFit="1" customWidth="1"/>
    <col min="5" max="6" width="10.77734375" bestFit="1" customWidth="1"/>
    <col min="7" max="7" width="11.6640625" bestFit="1" customWidth="1"/>
    <col min="8" max="8" width="10.77734375" bestFit="1" customWidth="1"/>
    <col min="9" max="10" width="10.6640625" bestFit="1" customWidth="1"/>
    <col min="11" max="11" width="13.44140625" bestFit="1" customWidth="1"/>
    <col min="12" max="15" width="16.77734375" bestFit="1" customWidth="1"/>
    <col min="16" max="16" width="19.5546875" bestFit="1" customWidth="1"/>
    <col min="17" max="17" width="11.6640625" bestFit="1" customWidth="1"/>
    <col min="18" max="18" width="9" bestFit="1" customWidth="1"/>
    <col min="19" max="20" width="11.6640625" bestFit="1" customWidth="1"/>
    <col min="21" max="21" width="10.77734375" bestFit="1" customWidth="1"/>
    <col min="22" max="22" width="11.21875" bestFit="1" customWidth="1"/>
    <col min="23" max="25" width="10.6640625" bestFit="1" customWidth="1"/>
    <col min="26" max="26" width="13.44140625" bestFit="1" customWidth="1"/>
    <col min="27" max="30" width="16.77734375" bestFit="1" customWidth="1"/>
    <col min="31" max="31" width="19.5546875" bestFit="1" customWidth="1"/>
    <col min="32" max="32" width="11.6640625" bestFit="1" customWidth="1"/>
    <col min="33" max="33" width="9" bestFit="1" customWidth="1"/>
    <col min="34" max="35" width="11.6640625" bestFit="1" customWidth="1"/>
    <col min="36" max="36" width="10.77734375" bestFit="1" customWidth="1"/>
    <col min="37" max="37" width="11.21875" bestFit="1" customWidth="1"/>
    <col min="38" max="40" width="10.6640625" bestFit="1" customWidth="1"/>
    <col min="41" max="41" width="13.44140625" bestFit="1" customWidth="1"/>
    <col min="42" max="45" width="16.77734375" bestFit="1" customWidth="1"/>
    <col min="46" max="46" width="19.5546875" bestFit="1" customWidth="1"/>
    <col min="47" max="47" width="11.6640625" bestFit="1" customWidth="1"/>
    <col min="48" max="48" width="9" bestFit="1" customWidth="1"/>
    <col min="49" max="50" width="11.6640625" bestFit="1" customWidth="1"/>
    <col min="51" max="51" width="10.77734375" bestFit="1" customWidth="1"/>
    <col min="52" max="54" width="10.6640625" bestFit="1" customWidth="1"/>
    <col min="55" max="55" width="13.44140625" bestFit="1" customWidth="1"/>
    <col min="56" max="59" width="16.77734375" bestFit="1" customWidth="1"/>
    <col min="60" max="60" width="19.5546875" bestFit="1" customWidth="1"/>
    <col min="61" max="61" width="11.6640625" bestFit="1" customWidth="1"/>
    <col min="62" max="62" width="9" bestFit="1" customWidth="1"/>
    <col min="63" max="64" width="11.6640625" bestFit="1" customWidth="1"/>
    <col min="65" max="65" width="10.77734375" bestFit="1" customWidth="1"/>
    <col min="66" max="66" width="13.5546875" bestFit="1" customWidth="1"/>
    <col min="67" max="67" width="11.21875" bestFit="1" customWidth="1"/>
    <col min="68" max="68" width="14" bestFit="1" customWidth="1"/>
    <col min="69" max="69" width="8.21875" bestFit="1" customWidth="1"/>
    <col min="70" max="70" width="10.88671875" bestFit="1" customWidth="1"/>
    <col min="71" max="71" width="9.109375" bestFit="1" customWidth="1"/>
    <col min="72" max="72" width="9" bestFit="1" customWidth="1"/>
    <col min="73" max="73" width="10.44140625" bestFit="1" customWidth="1"/>
    <col min="74" max="74" width="14.77734375" bestFit="1" customWidth="1"/>
    <col min="75" max="75" width="16" bestFit="1" customWidth="1"/>
    <col min="76" max="76" width="10.77734375" bestFit="1" customWidth="1"/>
    <col min="77" max="77" width="13.5546875" bestFit="1" customWidth="1"/>
    <col min="78" max="78" width="14.77734375" bestFit="1" customWidth="1"/>
    <col min="79" max="79" width="12.109375" bestFit="1" customWidth="1"/>
    <col min="80" max="80" width="7.109375" bestFit="1" customWidth="1"/>
    <col min="81" max="81" width="9.77734375" bestFit="1" customWidth="1"/>
    <col min="82" max="82" width="14.77734375" bestFit="1" customWidth="1"/>
    <col min="83" max="83" width="15.77734375" bestFit="1" customWidth="1"/>
    <col min="84" max="84" width="10.5546875" bestFit="1" customWidth="1"/>
    <col min="85" max="85" width="13.33203125" bestFit="1" customWidth="1"/>
    <col min="86" max="86" width="9.44140625" bestFit="1" customWidth="1"/>
    <col min="87" max="87" width="12.109375" bestFit="1" customWidth="1"/>
    <col min="88" max="88" width="15.77734375" bestFit="1" customWidth="1"/>
    <col min="89" max="89" width="18.5546875" bestFit="1" customWidth="1"/>
    <col min="90" max="90" width="7" bestFit="1" customWidth="1"/>
    <col min="91" max="91" width="9.6640625" bestFit="1" customWidth="1"/>
    <col min="92" max="92" width="11.6640625" bestFit="1" customWidth="1"/>
    <col min="93" max="93" width="9" bestFit="1" customWidth="1"/>
    <col min="94" max="95" width="11.6640625" bestFit="1" customWidth="1"/>
    <col min="96" max="96" width="10.77734375" bestFit="1" customWidth="1"/>
    <col min="97" max="97" width="9.109375" bestFit="1" customWidth="1"/>
    <col min="98" max="98" width="10.77734375" bestFit="1" customWidth="1"/>
    <col min="99" max="99" width="9" bestFit="1" customWidth="1"/>
    <col min="100" max="100" width="11.6640625" bestFit="1" customWidth="1"/>
    <col min="101" max="101" width="9.6640625" bestFit="1" customWidth="1"/>
    <col min="102" max="102" width="14.33203125" bestFit="1" customWidth="1"/>
    <col min="103" max="103" width="10.5546875" bestFit="1" customWidth="1"/>
    <col min="104" max="104" width="17.21875" bestFit="1" customWidth="1"/>
    <col min="105" max="105" width="14.6640625" bestFit="1" customWidth="1"/>
    <col min="106" max="106" width="13.44140625" bestFit="1" customWidth="1"/>
    <col min="107" max="107" width="17.5546875" bestFit="1" customWidth="1"/>
    <col min="108" max="108" width="14.33203125" bestFit="1" customWidth="1"/>
    <col min="109" max="109" width="13.44140625" bestFit="1" customWidth="1"/>
    <col min="110" max="110" width="17.21875" bestFit="1" customWidth="1"/>
    <col min="111" max="111" width="11.33203125" bestFit="1" customWidth="1"/>
    <col min="112" max="112" width="13.44140625" bestFit="1" customWidth="1"/>
    <col min="113" max="113" width="14.109375" bestFit="1" customWidth="1"/>
    <col min="114" max="114" width="10.77734375" bestFit="1" customWidth="1"/>
    <col min="115" max="115" width="9.109375" bestFit="1" customWidth="1"/>
    <col min="116" max="116" width="13.5546875" bestFit="1" customWidth="1"/>
    <col min="117" max="117" width="11.21875" bestFit="1" customWidth="1"/>
    <col min="118" max="118" width="9.109375" bestFit="1" customWidth="1"/>
    <col min="119" max="119" width="14" bestFit="1" customWidth="1"/>
    <col min="120" max="120" width="8.21875" bestFit="1" customWidth="1"/>
    <col min="121" max="121" width="9.109375" bestFit="1" customWidth="1"/>
    <col min="122" max="122" width="10.88671875" bestFit="1" customWidth="1"/>
    <col min="123" max="123" width="10.6640625" bestFit="1" customWidth="1"/>
    <col min="124" max="124" width="13.44140625" bestFit="1" customWidth="1"/>
    <col min="125" max="125" width="12.44140625" bestFit="1" customWidth="1"/>
    <col min="126" max="126" width="12.109375" bestFit="1" customWidth="1"/>
    <col min="127" max="127" width="13.44140625" bestFit="1" customWidth="1"/>
    <col min="128" max="128" width="14.88671875" bestFit="1" customWidth="1"/>
    <col min="129" max="129" width="9" bestFit="1" customWidth="1"/>
    <col min="130" max="131" width="11.6640625" bestFit="1" customWidth="1"/>
    <col min="132" max="132" width="10.77734375" bestFit="1" customWidth="1"/>
  </cols>
  <sheetData>
    <row r="3" spans="1:5" x14ac:dyDescent="0.3">
      <c r="A3" s="12" t="s">
        <v>1440</v>
      </c>
    </row>
    <row r="4" spans="1:5" x14ac:dyDescent="0.3">
      <c r="A4" t="s">
        <v>646</v>
      </c>
      <c r="B4" t="s">
        <v>648</v>
      </c>
      <c r="C4" t="s">
        <v>647</v>
      </c>
      <c r="D4" t="s">
        <v>649</v>
      </c>
      <c r="E4" t="s">
        <v>1435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Slicers</vt:lpstr>
      <vt:lpstr>First time sales(country )</vt:lpstr>
      <vt:lpstr>DASHBOARD</vt:lpstr>
      <vt:lpstr>Service level Proxy</vt:lpstr>
      <vt:lpstr>price compliance</vt:lpstr>
      <vt:lpstr>Brief</vt:lpstr>
      <vt:lpstr>KPIS</vt:lpstr>
      <vt:lpstr>Rvenue by month</vt:lpstr>
      <vt:lpstr>profit by regchannel</vt:lpstr>
      <vt:lpstr>Top 10 SKU</vt:lpstr>
      <vt:lpstr>Discount outliers</vt:lpstr>
      <vt:lpstr>STAGING DATA</vt:lpstr>
      <vt:lpstr>Channel mix</vt:lpstr>
      <vt:lpstr>SKU (pt)</vt:lpstr>
      <vt:lpstr>Salesperson prod</vt:lpstr>
      <vt:lpstr>Region heirachy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faith neno</cp:lastModifiedBy>
  <dcterms:created xsi:type="dcterms:W3CDTF">2025-09-28T10:49:35Z</dcterms:created>
  <dcterms:modified xsi:type="dcterms:W3CDTF">2026-02-01T18:28:37Z</dcterms:modified>
</cp:coreProperties>
</file>